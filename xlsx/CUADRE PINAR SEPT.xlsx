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4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E4158915-4E03-4B29-ABA4-A4F45A281C25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1 9 26" sheetId="163" r:id="rId1"/>
    <sheet name="3 9 26" sheetId="164" r:id="rId2"/>
    <sheet name="4 9 26" sheetId="165" r:id="rId3"/>
    <sheet name="5 9 26" sheetId="166" r:id="rId4"/>
    <sheet name="7 9 26" sheetId="167" r:id="rId5"/>
    <sheet name="8 9 26" sheetId="168" r:id="rId6"/>
    <sheet name="9 9 26" sheetId="169" r:id="rId7"/>
    <sheet name="INVENTARIO" sheetId="170" r:id="rId8"/>
    <sheet name="10 9 26" sheetId="171" r:id="rId9"/>
    <sheet name="11 9 26" sheetId="172" r:id="rId10"/>
    <sheet name="12 9 26" sheetId="173" r:id="rId11"/>
    <sheet name="14 9 26" sheetId="174" r:id="rId12"/>
    <sheet name="15 9 26" sheetId="175" r:id="rId13"/>
    <sheet name="16 9 26" sheetId="176" r:id="rId14"/>
    <sheet name="17 9 26" sheetId="177" r:id="rId15"/>
    <sheet name="18 9 26" sheetId="178" r:id="rId16"/>
    <sheet name="19 9 26" sheetId="179" r:id="rId17"/>
    <sheet name="21 9 26" sheetId="180" r:id="rId18"/>
    <sheet name="22 9 26" sheetId="181" r:id="rId19"/>
    <sheet name="23 9 26" sheetId="182" r:id="rId20"/>
    <sheet name="24 9 26" sheetId="183" r:id="rId21"/>
    <sheet name="25 9 26" sheetId="184" r:id="rId22"/>
  </sheets>
  <definedNames>
    <definedName name="_xlnm._FilterDatabase" localSheetId="21" hidden="1">'25 9 26'!$A$1:$Y$1</definedName>
    <definedName name="_xlnm._FilterDatabase" localSheetId="2" hidden="1">'4 9 26'!$A$1:$P$254</definedName>
    <definedName name="_xlnm._FilterDatabase" localSheetId="7" hidden="1">INVENTARIO!$A$1:$P$253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9" i="184" l="1"/>
  <c r="B260" i="184"/>
  <c r="B259" i="184"/>
  <c r="B273" i="184" s="1"/>
  <c r="B252" i="184"/>
  <c r="B253" i="184" s="1"/>
  <c r="B250" i="184"/>
  <c r="B249" i="184"/>
  <c r="B248" i="184"/>
  <c r="B251" i="184" s="1"/>
  <c r="B244" i="184"/>
  <c r="B242" i="184"/>
  <c r="B245" i="184" s="1"/>
  <c r="B238" i="184"/>
  <c r="B237" i="184"/>
  <c r="B236" i="184"/>
  <c r="B240" i="184" s="1"/>
  <c r="B233" i="184"/>
  <c r="B231" i="184"/>
  <c r="P229" i="184"/>
  <c r="K229" i="184"/>
  <c r="I229" i="184"/>
  <c r="N228" i="184"/>
  <c r="N227" i="184"/>
  <c r="N226" i="184"/>
  <c r="N225" i="184"/>
  <c r="N224" i="184"/>
  <c r="N223" i="184"/>
  <c r="N222" i="184"/>
  <c r="N221" i="184"/>
  <c r="N220" i="184"/>
  <c r="O219" i="184"/>
  <c r="N219" i="184"/>
  <c r="H219" i="184"/>
  <c r="O218" i="184"/>
  <c r="N218" i="184"/>
  <c r="H218" i="184"/>
  <c r="O217" i="184"/>
  <c r="N217" i="184"/>
  <c r="H217" i="184"/>
  <c r="O216" i="184"/>
  <c r="N216" i="184"/>
  <c r="H216" i="184"/>
  <c r="O215" i="184"/>
  <c r="N215" i="184"/>
  <c r="H215" i="184"/>
  <c r="O214" i="184"/>
  <c r="N214" i="184"/>
  <c r="O213" i="184"/>
  <c r="N213" i="184"/>
  <c r="H213" i="184"/>
  <c r="O212" i="184"/>
  <c r="N212" i="184"/>
  <c r="H212" i="184"/>
  <c r="O211" i="184"/>
  <c r="N211" i="184"/>
  <c r="H211" i="184"/>
  <c r="O210" i="184"/>
  <c r="N210" i="184"/>
  <c r="H210" i="184"/>
  <c r="O209" i="184"/>
  <c r="N209" i="184"/>
  <c r="H209" i="184"/>
  <c r="O208" i="184"/>
  <c r="N208" i="184"/>
  <c r="H208" i="184"/>
  <c r="O207" i="184"/>
  <c r="N207" i="184"/>
  <c r="H207" i="184"/>
  <c r="O206" i="184"/>
  <c r="N206" i="184"/>
  <c r="H206" i="184"/>
  <c r="O205" i="184"/>
  <c r="N205" i="184"/>
  <c r="H205" i="184"/>
  <c r="O204" i="184"/>
  <c r="N204" i="184"/>
  <c r="H204" i="184"/>
  <c r="O203" i="184"/>
  <c r="N203" i="184"/>
  <c r="H203" i="184"/>
  <c r="O202" i="184"/>
  <c r="N202" i="184"/>
  <c r="H202" i="184"/>
  <c r="O201" i="184"/>
  <c r="N201" i="184"/>
  <c r="H201" i="184"/>
  <c r="O200" i="184"/>
  <c r="N200" i="184"/>
  <c r="H200" i="184"/>
  <c r="O199" i="184"/>
  <c r="N199" i="184"/>
  <c r="H199" i="184"/>
  <c r="O198" i="184"/>
  <c r="N198" i="184"/>
  <c r="H198" i="184"/>
  <c r="O197" i="184"/>
  <c r="N197" i="184"/>
  <c r="H197" i="184"/>
  <c r="O196" i="184"/>
  <c r="N196" i="184"/>
  <c r="H196" i="184"/>
  <c r="O195" i="184"/>
  <c r="N195" i="184"/>
  <c r="H195" i="184"/>
  <c r="O194" i="184"/>
  <c r="N194" i="184"/>
  <c r="H194" i="184"/>
  <c r="O193" i="184"/>
  <c r="N193" i="184"/>
  <c r="H193" i="184"/>
  <c r="O192" i="184"/>
  <c r="N192" i="184"/>
  <c r="O191" i="184"/>
  <c r="N191" i="184"/>
  <c r="H191" i="184"/>
  <c r="O190" i="184"/>
  <c r="N190" i="184"/>
  <c r="H190" i="184"/>
  <c r="O189" i="184"/>
  <c r="N189" i="184"/>
  <c r="H189" i="184"/>
  <c r="O188" i="184"/>
  <c r="N188" i="184"/>
  <c r="H188" i="184"/>
  <c r="O187" i="184"/>
  <c r="N187" i="184"/>
  <c r="H187" i="184"/>
  <c r="O186" i="184"/>
  <c r="N186" i="184"/>
  <c r="H186" i="184"/>
  <c r="O185" i="184"/>
  <c r="N185" i="184"/>
  <c r="H185" i="184"/>
  <c r="O184" i="184"/>
  <c r="N184" i="184"/>
  <c r="H184" i="184"/>
  <c r="O183" i="184"/>
  <c r="N183" i="184"/>
  <c r="H183" i="184"/>
  <c r="O182" i="184"/>
  <c r="N182" i="184"/>
  <c r="H182" i="184"/>
  <c r="O181" i="184"/>
  <c r="N181" i="184"/>
  <c r="H181" i="184"/>
  <c r="O180" i="184"/>
  <c r="N180" i="184"/>
  <c r="H180" i="184"/>
  <c r="O179" i="184"/>
  <c r="N179" i="184"/>
  <c r="H179" i="184"/>
  <c r="O178" i="184"/>
  <c r="N178" i="184"/>
  <c r="H178" i="184"/>
  <c r="O177" i="184"/>
  <c r="N177" i="184"/>
  <c r="H177" i="184"/>
  <c r="O176" i="184"/>
  <c r="N176" i="184"/>
  <c r="H176" i="184"/>
  <c r="O175" i="184"/>
  <c r="N175" i="184"/>
  <c r="H175" i="184"/>
  <c r="O174" i="184"/>
  <c r="N174" i="184"/>
  <c r="H174" i="184"/>
  <c r="O173" i="184"/>
  <c r="N173" i="184"/>
  <c r="H173" i="184"/>
  <c r="O172" i="184"/>
  <c r="N172" i="184"/>
  <c r="H172" i="184"/>
  <c r="O171" i="184"/>
  <c r="N171" i="184"/>
  <c r="H171" i="184"/>
  <c r="O170" i="184"/>
  <c r="N170" i="184"/>
  <c r="H170" i="184"/>
  <c r="O169" i="184"/>
  <c r="N169" i="184"/>
  <c r="H169" i="184"/>
  <c r="O168" i="184"/>
  <c r="N168" i="184"/>
  <c r="O167" i="184"/>
  <c r="N167" i="184"/>
  <c r="H167" i="184"/>
  <c r="O166" i="184"/>
  <c r="N166" i="184"/>
  <c r="H166" i="184"/>
  <c r="O165" i="184"/>
  <c r="N165" i="184"/>
  <c r="H165" i="184"/>
  <c r="O164" i="184"/>
  <c r="N164" i="184"/>
  <c r="H164" i="184"/>
  <c r="O163" i="184"/>
  <c r="N163" i="184"/>
  <c r="H163" i="184"/>
  <c r="O162" i="184"/>
  <c r="N162" i="184"/>
  <c r="H162" i="184"/>
  <c r="O161" i="184"/>
  <c r="N161" i="184"/>
  <c r="H161" i="184"/>
  <c r="O160" i="184"/>
  <c r="N160" i="184"/>
  <c r="H160" i="184"/>
  <c r="O159" i="184"/>
  <c r="N159" i="184"/>
  <c r="N158" i="184"/>
  <c r="O157" i="184"/>
  <c r="N157" i="184"/>
  <c r="H157" i="184"/>
  <c r="O156" i="184"/>
  <c r="N156" i="184"/>
  <c r="H156" i="184"/>
  <c r="O155" i="184"/>
  <c r="N155" i="184"/>
  <c r="H155" i="184"/>
  <c r="O154" i="184"/>
  <c r="N154" i="184"/>
  <c r="H154" i="184"/>
  <c r="O153" i="184"/>
  <c r="N153" i="184"/>
  <c r="H153" i="184"/>
  <c r="O152" i="184"/>
  <c r="N152" i="184"/>
  <c r="H152" i="184"/>
  <c r="O151" i="184"/>
  <c r="N151" i="184"/>
  <c r="H151" i="184"/>
  <c r="O150" i="184"/>
  <c r="N150" i="184"/>
  <c r="H150" i="184"/>
  <c r="O149" i="184"/>
  <c r="N149" i="184"/>
  <c r="H149" i="184"/>
  <c r="O148" i="184"/>
  <c r="N148" i="184"/>
  <c r="H148" i="184"/>
  <c r="O147" i="184"/>
  <c r="N147" i="184"/>
  <c r="H147" i="184"/>
  <c r="O146" i="184"/>
  <c r="N146" i="184"/>
  <c r="H146" i="184"/>
  <c r="O145" i="184"/>
  <c r="N145" i="184"/>
  <c r="O144" i="184"/>
  <c r="N144" i="184"/>
  <c r="H144" i="184"/>
  <c r="O143" i="184"/>
  <c r="N143" i="184"/>
  <c r="H143" i="184"/>
  <c r="O142" i="184"/>
  <c r="N142" i="184"/>
  <c r="H142" i="184"/>
  <c r="O141" i="184"/>
  <c r="N141" i="184"/>
  <c r="H141" i="184"/>
  <c r="O140" i="184"/>
  <c r="N140" i="184"/>
  <c r="H140" i="184"/>
  <c r="O139" i="184"/>
  <c r="N139" i="184"/>
  <c r="H139" i="184"/>
  <c r="O138" i="184"/>
  <c r="N138" i="184"/>
  <c r="H138" i="184"/>
  <c r="O137" i="184"/>
  <c r="N137" i="184"/>
  <c r="H137" i="184"/>
  <c r="O136" i="184"/>
  <c r="N136" i="184"/>
  <c r="H136" i="184"/>
  <c r="O135" i="184"/>
  <c r="N135" i="184"/>
  <c r="H135" i="184"/>
  <c r="O134" i="184"/>
  <c r="N134" i="184"/>
  <c r="H134" i="184"/>
  <c r="O133" i="184"/>
  <c r="N133" i="184"/>
  <c r="H133" i="184"/>
  <c r="O132" i="184"/>
  <c r="N132" i="184"/>
  <c r="H132" i="184"/>
  <c r="O131" i="184"/>
  <c r="N131" i="184"/>
  <c r="H131" i="184"/>
  <c r="O130" i="184"/>
  <c r="N130" i="184"/>
  <c r="H130" i="184"/>
  <c r="O129" i="184"/>
  <c r="N129" i="184"/>
  <c r="H129" i="184"/>
  <c r="O128" i="184"/>
  <c r="N128" i="184"/>
  <c r="H128" i="184"/>
  <c r="O127" i="184"/>
  <c r="N127" i="184"/>
  <c r="H127" i="184"/>
  <c r="O126" i="184"/>
  <c r="N126" i="184"/>
  <c r="H126" i="184"/>
  <c r="O125" i="184"/>
  <c r="N125" i="184"/>
  <c r="H125" i="184"/>
  <c r="O124" i="184"/>
  <c r="N124" i="184"/>
  <c r="H124" i="184"/>
  <c r="O123" i="184"/>
  <c r="N123" i="184"/>
  <c r="H123" i="184"/>
  <c r="O122" i="184"/>
  <c r="N122" i="184"/>
  <c r="H122" i="184"/>
  <c r="O121" i="184"/>
  <c r="N121" i="184"/>
  <c r="H121" i="184"/>
  <c r="O120" i="184"/>
  <c r="N120" i="184"/>
  <c r="H120" i="184"/>
  <c r="O119" i="184"/>
  <c r="N119" i="184"/>
  <c r="H119" i="184"/>
  <c r="O118" i="184"/>
  <c r="N118" i="184"/>
  <c r="H118" i="184"/>
  <c r="O117" i="184"/>
  <c r="N117" i="184"/>
  <c r="H117" i="184"/>
  <c r="O116" i="184"/>
  <c r="N116" i="184"/>
  <c r="H116" i="184"/>
  <c r="O115" i="184"/>
  <c r="N115" i="184"/>
  <c r="H115" i="184"/>
  <c r="O114" i="184"/>
  <c r="N114" i="184"/>
  <c r="H114" i="184"/>
  <c r="O113" i="184"/>
  <c r="N113" i="184"/>
  <c r="H113" i="184"/>
  <c r="O112" i="184"/>
  <c r="N112" i="184"/>
  <c r="H112" i="184"/>
  <c r="O111" i="184"/>
  <c r="N111" i="184"/>
  <c r="H111" i="184"/>
  <c r="O110" i="184"/>
  <c r="N110" i="184"/>
  <c r="H110" i="184"/>
  <c r="O109" i="184"/>
  <c r="N109" i="184"/>
  <c r="H109" i="184"/>
  <c r="O108" i="184"/>
  <c r="N108" i="184"/>
  <c r="H108" i="184"/>
  <c r="O107" i="184"/>
  <c r="N107" i="184"/>
  <c r="H107" i="184"/>
  <c r="O106" i="184"/>
  <c r="N106" i="184"/>
  <c r="H106" i="184"/>
  <c r="O105" i="184"/>
  <c r="N105" i="184"/>
  <c r="H105" i="184"/>
  <c r="O104" i="184"/>
  <c r="N104" i="184"/>
  <c r="H104" i="184"/>
  <c r="O103" i="184"/>
  <c r="N103" i="184"/>
  <c r="H103" i="184"/>
  <c r="O102" i="184"/>
  <c r="N102" i="184"/>
  <c r="H102" i="184"/>
  <c r="O101" i="184"/>
  <c r="N101" i="184"/>
  <c r="H101" i="184"/>
  <c r="O100" i="184"/>
  <c r="N100" i="184"/>
  <c r="H100" i="184"/>
  <c r="O99" i="184"/>
  <c r="N99" i="184"/>
  <c r="H99" i="184"/>
  <c r="O98" i="184"/>
  <c r="N98" i="184"/>
  <c r="H98" i="184"/>
  <c r="O97" i="184"/>
  <c r="N97" i="184"/>
  <c r="H97" i="184"/>
  <c r="O96" i="184"/>
  <c r="N96" i="184"/>
  <c r="H96" i="184"/>
  <c r="O95" i="184"/>
  <c r="N95" i="184"/>
  <c r="H95" i="184"/>
  <c r="O94" i="184"/>
  <c r="N94" i="184"/>
  <c r="H94" i="184"/>
  <c r="O93" i="184"/>
  <c r="N93" i="184"/>
  <c r="H93" i="184"/>
  <c r="N92" i="184"/>
  <c r="H92" i="184"/>
  <c r="N91" i="184"/>
  <c r="H91" i="184"/>
  <c r="N90" i="184"/>
  <c r="H90" i="184"/>
  <c r="O89" i="184"/>
  <c r="N89" i="184"/>
  <c r="H89" i="184"/>
  <c r="O88" i="184"/>
  <c r="N88" i="184"/>
  <c r="H88" i="184"/>
  <c r="O87" i="184"/>
  <c r="N87" i="184"/>
  <c r="H87" i="184"/>
  <c r="O86" i="184"/>
  <c r="N86" i="184"/>
  <c r="H86" i="184"/>
  <c r="O85" i="184"/>
  <c r="N85" i="184"/>
  <c r="H85" i="184"/>
  <c r="O84" i="184"/>
  <c r="N84" i="184"/>
  <c r="H84" i="184"/>
  <c r="O83" i="184"/>
  <c r="N83" i="184"/>
  <c r="H83" i="184"/>
  <c r="O82" i="184"/>
  <c r="N82" i="184"/>
  <c r="O81" i="184"/>
  <c r="N81" i="184"/>
  <c r="O80" i="184"/>
  <c r="N80" i="184"/>
  <c r="H80" i="184"/>
  <c r="O79" i="184"/>
  <c r="N79" i="184"/>
  <c r="H79" i="184"/>
  <c r="O78" i="184"/>
  <c r="N78" i="184"/>
  <c r="O77" i="184"/>
  <c r="N77" i="184"/>
  <c r="H77" i="184"/>
  <c r="O76" i="184"/>
  <c r="N76" i="184"/>
  <c r="H76" i="184"/>
  <c r="O75" i="184"/>
  <c r="N75" i="184"/>
  <c r="H75" i="184"/>
  <c r="O74" i="184"/>
  <c r="N74" i="184"/>
  <c r="H74" i="184"/>
  <c r="O73" i="184"/>
  <c r="N73" i="184"/>
  <c r="H73" i="184"/>
  <c r="O72" i="184"/>
  <c r="N72" i="184"/>
  <c r="H72" i="184"/>
  <c r="O71" i="184"/>
  <c r="N71" i="184"/>
  <c r="H71" i="184"/>
  <c r="O70" i="184"/>
  <c r="N70" i="184"/>
  <c r="H70" i="184"/>
  <c r="T69" i="184"/>
  <c r="T96" i="184" s="1"/>
  <c r="O69" i="184"/>
  <c r="N69" i="184"/>
  <c r="H69" i="184"/>
  <c r="O68" i="184"/>
  <c r="N68" i="184"/>
  <c r="H68" i="184"/>
  <c r="O67" i="184"/>
  <c r="N67" i="184"/>
  <c r="H67" i="184"/>
  <c r="O66" i="184"/>
  <c r="N66" i="184"/>
  <c r="H66" i="184"/>
  <c r="O65" i="184"/>
  <c r="N65" i="184"/>
  <c r="H65" i="184"/>
  <c r="O64" i="184"/>
  <c r="N64" i="184"/>
  <c r="H64" i="184"/>
  <c r="O63" i="184"/>
  <c r="N63" i="184"/>
  <c r="H63" i="184"/>
  <c r="O62" i="184"/>
  <c r="N62" i="184"/>
  <c r="H62" i="184"/>
  <c r="O61" i="184"/>
  <c r="N61" i="184"/>
  <c r="H61" i="184"/>
  <c r="O60" i="184"/>
  <c r="N60" i="184"/>
  <c r="H60" i="184"/>
  <c r="O59" i="184"/>
  <c r="N59" i="184"/>
  <c r="H59" i="184"/>
  <c r="O58" i="184"/>
  <c r="N58" i="184"/>
  <c r="H58" i="184"/>
  <c r="O57" i="184"/>
  <c r="N57" i="184"/>
  <c r="H57" i="184"/>
  <c r="O56" i="184"/>
  <c r="N56" i="184"/>
  <c r="H56" i="184"/>
  <c r="O55" i="184"/>
  <c r="N55" i="184"/>
  <c r="O54" i="184"/>
  <c r="N54" i="184"/>
  <c r="H54" i="184"/>
  <c r="O53" i="184"/>
  <c r="N53" i="184"/>
  <c r="H53" i="184"/>
  <c r="O52" i="184"/>
  <c r="N52" i="184"/>
  <c r="O51" i="184"/>
  <c r="N51" i="184"/>
  <c r="O50" i="184"/>
  <c r="N50" i="184"/>
  <c r="H50" i="184"/>
  <c r="O49" i="184"/>
  <c r="N49" i="184"/>
  <c r="H49" i="184"/>
  <c r="O48" i="184"/>
  <c r="N48" i="184"/>
  <c r="H48" i="184"/>
  <c r="O47" i="184"/>
  <c r="N47" i="184"/>
  <c r="H47" i="184"/>
  <c r="O46" i="184"/>
  <c r="N46" i="184"/>
  <c r="H46" i="184"/>
  <c r="O45" i="184"/>
  <c r="N45" i="184"/>
  <c r="H45" i="184"/>
  <c r="O44" i="184"/>
  <c r="N44" i="184"/>
  <c r="H44" i="184"/>
  <c r="O43" i="184"/>
  <c r="N43" i="184"/>
  <c r="H43" i="184"/>
  <c r="O42" i="184"/>
  <c r="N42" i="184"/>
  <c r="H42" i="184"/>
  <c r="O41" i="184"/>
  <c r="N41" i="184"/>
  <c r="H41" i="184"/>
  <c r="O40" i="184"/>
  <c r="N40" i="184"/>
  <c r="H40" i="184"/>
  <c r="O39" i="184"/>
  <c r="N39" i="184"/>
  <c r="H39" i="184"/>
  <c r="O38" i="184"/>
  <c r="N38" i="184"/>
  <c r="H38" i="184"/>
  <c r="O37" i="184"/>
  <c r="N37" i="184"/>
  <c r="H37" i="184"/>
  <c r="O36" i="184"/>
  <c r="N36" i="184"/>
  <c r="H36" i="184"/>
  <c r="O35" i="184"/>
  <c r="N35" i="184"/>
  <c r="H35" i="184"/>
  <c r="N34" i="184"/>
  <c r="H34" i="184"/>
  <c r="O33" i="184"/>
  <c r="N33" i="184"/>
  <c r="H33" i="184"/>
  <c r="O32" i="184"/>
  <c r="N32" i="184"/>
  <c r="H32" i="184"/>
  <c r="O31" i="184"/>
  <c r="N31" i="184"/>
  <c r="H31" i="184"/>
  <c r="O30" i="184"/>
  <c r="N30" i="184"/>
  <c r="H30" i="184"/>
  <c r="O29" i="184"/>
  <c r="N29" i="184"/>
  <c r="H29" i="184"/>
  <c r="O28" i="184"/>
  <c r="N28" i="184"/>
  <c r="H28" i="184"/>
  <c r="O27" i="184"/>
  <c r="N27" i="184"/>
  <c r="H27" i="184"/>
  <c r="O26" i="184"/>
  <c r="N26" i="184"/>
  <c r="H26" i="184"/>
  <c r="O25" i="184"/>
  <c r="N25" i="184"/>
  <c r="H25" i="184"/>
  <c r="O24" i="184"/>
  <c r="N24" i="184"/>
  <c r="H24" i="184"/>
  <c r="O23" i="184"/>
  <c r="N23" i="184"/>
  <c r="H23" i="184"/>
  <c r="O22" i="184"/>
  <c r="N22" i="184"/>
  <c r="H22" i="184"/>
  <c r="O21" i="184"/>
  <c r="N21" i="184"/>
  <c r="H21" i="184"/>
  <c r="O20" i="184"/>
  <c r="N20" i="184"/>
  <c r="H20" i="184"/>
  <c r="O19" i="184"/>
  <c r="N19" i="184"/>
  <c r="H19" i="184"/>
  <c r="O18" i="184"/>
  <c r="N18" i="184"/>
  <c r="N17" i="184"/>
  <c r="O16" i="184"/>
  <c r="N16" i="184"/>
  <c r="O15" i="184"/>
  <c r="N15" i="184"/>
  <c r="H15" i="184"/>
  <c r="S14" i="184"/>
  <c r="O14" i="184"/>
  <c r="N14" i="184"/>
  <c r="O13" i="184"/>
  <c r="N13" i="184"/>
  <c r="H13" i="184"/>
  <c r="O12" i="184"/>
  <c r="N12" i="184"/>
  <c r="H12" i="184"/>
  <c r="O11" i="184"/>
  <c r="N11" i="184"/>
  <c r="H11" i="184"/>
  <c r="O10" i="184"/>
  <c r="N10" i="184"/>
  <c r="O9" i="184"/>
  <c r="N9" i="184"/>
  <c r="O8" i="184"/>
  <c r="N8" i="184"/>
  <c r="H8" i="184"/>
  <c r="O7" i="184"/>
  <c r="N7" i="184"/>
  <c r="O6" i="184"/>
  <c r="N6" i="184"/>
  <c r="H6" i="184"/>
  <c r="O5" i="184"/>
  <c r="N5" i="184"/>
  <c r="H5" i="184"/>
  <c r="O4" i="184"/>
  <c r="N4" i="184"/>
  <c r="H4" i="184"/>
  <c r="O3" i="184"/>
  <c r="N3" i="184"/>
  <c r="H3" i="184"/>
  <c r="O2" i="184"/>
  <c r="O229" i="184" s="1"/>
  <c r="B230" i="184" s="1"/>
  <c r="B235" i="184" s="1"/>
  <c r="B241" i="184" s="1"/>
  <c r="B254" i="184" s="1"/>
  <c r="N2" i="184"/>
  <c r="N229" i="184" s="1"/>
  <c r="H2" i="184"/>
  <c r="H229" i="184" s="1"/>
  <c r="B269" i="183"/>
  <c r="B260" i="183"/>
  <c r="B259" i="183"/>
  <c r="B273" i="183" s="1"/>
  <c r="B252" i="183"/>
  <c r="B253" i="183" s="1"/>
  <c r="B250" i="183"/>
  <c r="B249" i="183"/>
  <c r="B248" i="183"/>
  <c r="B251" i="183" s="1"/>
  <c r="B244" i="183"/>
  <c r="B242" i="183"/>
  <c r="B245" i="183" s="1"/>
  <c r="B238" i="183"/>
  <c r="B237" i="183"/>
  <c r="B236" i="183"/>
  <c r="B240" i="183" s="1"/>
  <c r="B233" i="183"/>
  <c r="B231" i="183"/>
  <c r="P229" i="183"/>
  <c r="K229" i="183"/>
  <c r="I229" i="183"/>
  <c r="N228" i="183"/>
  <c r="N227" i="183"/>
  <c r="N226" i="183"/>
  <c r="N225" i="183"/>
  <c r="N224" i="183"/>
  <c r="N223" i="183"/>
  <c r="N222" i="183"/>
  <c r="N221" i="183"/>
  <c r="N220" i="183"/>
  <c r="O219" i="183"/>
  <c r="N219" i="183"/>
  <c r="H219" i="183"/>
  <c r="O218" i="183"/>
  <c r="N218" i="183"/>
  <c r="H218" i="183"/>
  <c r="O217" i="183"/>
  <c r="N217" i="183"/>
  <c r="H217" i="183"/>
  <c r="O216" i="183"/>
  <c r="N216" i="183"/>
  <c r="H216" i="183"/>
  <c r="O215" i="183"/>
  <c r="N215" i="183"/>
  <c r="H215" i="183"/>
  <c r="O214" i="183"/>
  <c r="N214" i="183"/>
  <c r="O213" i="183"/>
  <c r="N213" i="183"/>
  <c r="H213" i="183"/>
  <c r="O212" i="183"/>
  <c r="N212" i="183"/>
  <c r="H212" i="183"/>
  <c r="O211" i="183"/>
  <c r="N211" i="183"/>
  <c r="H211" i="183"/>
  <c r="O210" i="183"/>
  <c r="N210" i="183"/>
  <c r="H210" i="183"/>
  <c r="O209" i="183"/>
  <c r="N209" i="183"/>
  <c r="H209" i="183"/>
  <c r="O208" i="183"/>
  <c r="N208" i="183"/>
  <c r="H208" i="183"/>
  <c r="O207" i="183"/>
  <c r="N207" i="183"/>
  <c r="H207" i="183"/>
  <c r="O206" i="183"/>
  <c r="N206" i="183"/>
  <c r="H206" i="183"/>
  <c r="O205" i="183"/>
  <c r="N205" i="183"/>
  <c r="H205" i="183"/>
  <c r="O204" i="183"/>
  <c r="N204" i="183"/>
  <c r="H204" i="183"/>
  <c r="O203" i="183"/>
  <c r="N203" i="183"/>
  <c r="H203" i="183"/>
  <c r="O202" i="183"/>
  <c r="N202" i="183"/>
  <c r="H202" i="183"/>
  <c r="O201" i="183"/>
  <c r="N201" i="183"/>
  <c r="H201" i="183"/>
  <c r="O200" i="183"/>
  <c r="N200" i="183"/>
  <c r="H200" i="183"/>
  <c r="O199" i="183"/>
  <c r="N199" i="183"/>
  <c r="H199" i="183"/>
  <c r="O198" i="183"/>
  <c r="N198" i="183"/>
  <c r="H198" i="183"/>
  <c r="O197" i="183"/>
  <c r="N197" i="183"/>
  <c r="H197" i="183"/>
  <c r="O196" i="183"/>
  <c r="N196" i="183"/>
  <c r="H196" i="183"/>
  <c r="O195" i="183"/>
  <c r="N195" i="183"/>
  <c r="H195" i="183"/>
  <c r="O194" i="183"/>
  <c r="N194" i="183"/>
  <c r="H194" i="183"/>
  <c r="O193" i="183"/>
  <c r="N193" i="183"/>
  <c r="H193" i="183"/>
  <c r="O192" i="183"/>
  <c r="N192" i="183"/>
  <c r="O191" i="183"/>
  <c r="N191" i="183"/>
  <c r="H191" i="183"/>
  <c r="O190" i="183"/>
  <c r="N190" i="183"/>
  <c r="H190" i="183"/>
  <c r="O189" i="183"/>
  <c r="N189" i="183"/>
  <c r="H189" i="183"/>
  <c r="O188" i="183"/>
  <c r="N188" i="183"/>
  <c r="H188" i="183"/>
  <c r="O187" i="183"/>
  <c r="N187" i="183"/>
  <c r="H187" i="183"/>
  <c r="O186" i="183"/>
  <c r="N186" i="183"/>
  <c r="H186" i="183"/>
  <c r="O185" i="183"/>
  <c r="N185" i="183"/>
  <c r="H185" i="183"/>
  <c r="O184" i="183"/>
  <c r="N184" i="183"/>
  <c r="H184" i="183"/>
  <c r="O183" i="183"/>
  <c r="N183" i="183"/>
  <c r="H183" i="183"/>
  <c r="O182" i="183"/>
  <c r="N182" i="183"/>
  <c r="H182" i="183"/>
  <c r="O181" i="183"/>
  <c r="N181" i="183"/>
  <c r="H181" i="183"/>
  <c r="O180" i="183"/>
  <c r="N180" i="183"/>
  <c r="H180" i="183"/>
  <c r="O179" i="183"/>
  <c r="N179" i="183"/>
  <c r="H179" i="183"/>
  <c r="O178" i="183"/>
  <c r="N178" i="183"/>
  <c r="H178" i="183"/>
  <c r="O177" i="183"/>
  <c r="N177" i="183"/>
  <c r="H177" i="183"/>
  <c r="O176" i="183"/>
  <c r="N176" i="183"/>
  <c r="H176" i="183"/>
  <c r="O175" i="183"/>
  <c r="N175" i="183"/>
  <c r="H175" i="183"/>
  <c r="O174" i="183"/>
  <c r="N174" i="183"/>
  <c r="H174" i="183"/>
  <c r="O173" i="183"/>
  <c r="N173" i="183"/>
  <c r="H173" i="183"/>
  <c r="O172" i="183"/>
  <c r="N172" i="183"/>
  <c r="H172" i="183"/>
  <c r="O171" i="183"/>
  <c r="N171" i="183"/>
  <c r="H171" i="183"/>
  <c r="O170" i="183"/>
  <c r="N170" i="183"/>
  <c r="H170" i="183"/>
  <c r="O169" i="183"/>
  <c r="N169" i="183"/>
  <c r="H169" i="183"/>
  <c r="O168" i="183"/>
  <c r="N168" i="183"/>
  <c r="O167" i="183"/>
  <c r="N167" i="183"/>
  <c r="H167" i="183"/>
  <c r="O166" i="183"/>
  <c r="N166" i="183"/>
  <c r="H166" i="183"/>
  <c r="O165" i="183"/>
  <c r="N165" i="183"/>
  <c r="H165" i="183"/>
  <c r="O164" i="183"/>
  <c r="N164" i="183"/>
  <c r="H164" i="183"/>
  <c r="O163" i="183"/>
  <c r="N163" i="183"/>
  <c r="H163" i="183"/>
  <c r="O162" i="183"/>
  <c r="N162" i="183"/>
  <c r="H162" i="183"/>
  <c r="O161" i="183"/>
  <c r="N161" i="183"/>
  <c r="H161" i="183"/>
  <c r="O160" i="183"/>
  <c r="N160" i="183"/>
  <c r="H160" i="183"/>
  <c r="O159" i="183"/>
  <c r="N159" i="183"/>
  <c r="N158" i="183"/>
  <c r="O157" i="183"/>
  <c r="N157" i="183"/>
  <c r="H157" i="183"/>
  <c r="O156" i="183"/>
  <c r="N156" i="183"/>
  <c r="H156" i="183"/>
  <c r="O155" i="183"/>
  <c r="N155" i="183"/>
  <c r="H155" i="183"/>
  <c r="O154" i="183"/>
  <c r="N154" i="183"/>
  <c r="H154" i="183"/>
  <c r="O153" i="183"/>
  <c r="N153" i="183"/>
  <c r="H153" i="183"/>
  <c r="O152" i="183"/>
  <c r="N152" i="183"/>
  <c r="H152" i="183"/>
  <c r="O151" i="183"/>
  <c r="N151" i="183"/>
  <c r="H151" i="183"/>
  <c r="O150" i="183"/>
  <c r="N150" i="183"/>
  <c r="H150" i="183"/>
  <c r="O149" i="183"/>
  <c r="N149" i="183"/>
  <c r="H149" i="183"/>
  <c r="O148" i="183"/>
  <c r="N148" i="183"/>
  <c r="H148" i="183"/>
  <c r="O147" i="183"/>
  <c r="N147" i="183"/>
  <c r="H147" i="183"/>
  <c r="O146" i="183"/>
  <c r="N146" i="183"/>
  <c r="H146" i="183"/>
  <c r="O145" i="183"/>
  <c r="N145" i="183"/>
  <c r="H145" i="183"/>
  <c r="O144" i="183"/>
  <c r="N144" i="183"/>
  <c r="H144" i="183"/>
  <c r="O143" i="183"/>
  <c r="N143" i="183"/>
  <c r="H143" i="183"/>
  <c r="O142" i="183"/>
  <c r="N142" i="183"/>
  <c r="H142" i="183"/>
  <c r="O141" i="183"/>
  <c r="N141" i="183"/>
  <c r="H141" i="183"/>
  <c r="O140" i="183"/>
  <c r="N140" i="183"/>
  <c r="H140" i="183"/>
  <c r="O139" i="183"/>
  <c r="N139" i="183"/>
  <c r="H139" i="183"/>
  <c r="O138" i="183"/>
  <c r="N138" i="183"/>
  <c r="H138" i="183"/>
  <c r="O137" i="183"/>
  <c r="N137" i="183"/>
  <c r="H137" i="183"/>
  <c r="O136" i="183"/>
  <c r="N136" i="183"/>
  <c r="H136" i="183"/>
  <c r="O135" i="183"/>
  <c r="N135" i="183"/>
  <c r="H135" i="183"/>
  <c r="O134" i="183"/>
  <c r="N134" i="183"/>
  <c r="H134" i="183"/>
  <c r="O133" i="183"/>
  <c r="N133" i="183"/>
  <c r="H133" i="183"/>
  <c r="O132" i="183"/>
  <c r="N132" i="183"/>
  <c r="H132" i="183"/>
  <c r="O131" i="183"/>
  <c r="N131" i="183"/>
  <c r="H131" i="183"/>
  <c r="O130" i="183"/>
  <c r="N130" i="183"/>
  <c r="H130" i="183"/>
  <c r="O129" i="183"/>
  <c r="N129" i="183"/>
  <c r="H129" i="183"/>
  <c r="O128" i="183"/>
  <c r="N128" i="183"/>
  <c r="H128" i="183"/>
  <c r="O127" i="183"/>
  <c r="N127" i="183"/>
  <c r="H127" i="183"/>
  <c r="O126" i="183"/>
  <c r="N126" i="183"/>
  <c r="H126" i="183"/>
  <c r="O125" i="183"/>
  <c r="N125" i="183"/>
  <c r="H125" i="183"/>
  <c r="O124" i="183"/>
  <c r="N124" i="183"/>
  <c r="H124" i="183"/>
  <c r="O123" i="183"/>
  <c r="N123" i="183"/>
  <c r="H123" i="183"/>
  <c r="O122" i="183"/>
  <c r="N122" i="183"/>
  <c r="H122" i="183"/>
  <c r="O121" i="183"/>
  <c r="N121" i="183"/>
  <c r="H121" i="183"/>
  <c r="O120" i="183"/>
  <c r="N120" i="183"/>
  <c r="H120" i="183"/>
  <c r="O119" i="183"/>
  <c r="N119" i="183"/>
  <c r="H119" i="183"/>
  <c r="O118" i="183"/>
  <c r="N118" i="183"/>
  <c r="H118" i="183"/>
  <c r="O117" i="183"/>
  <c r="N117" i="183"/>
  <c r="H117" i="183"/>
  <c r="O116" i="183"/>
  <c r="N116" i="183"/>
  <c r="H116" i="183"/>
  <c r="O115" i="183"/>
  <c r="N115" i="183"/>
  <c r="H115" i="183"/>
  <c r="O114" i="183"/>
  <c r="N114" i="183"/>
  <c r="H114" i="183"/>
  <c r="O113" i="183"/>
  <c r="N113" i="183"/>
  <c r="H113" i="183"/>
  <c r="O112" i="183"/>
  <c r="N112" i="183"/>
  <c r="H112" i="183"/>
  <c r="O111" i="183"/>
  <c r="N111" i="183"/>
  <c r="H111" i="183"/>
  <c r="O110" i="183"/>
  <c r="N110" i="183"/>
  <c r="H110" i="183"/>
  <c r="O109" i="183"/>
  <c r="N109" i="183"/>
  <c r="H109" i="183"/>
  <c r="O108" i="183"/>
  <c r="N108" i="183"/>
  <c r="H108" i="183"/>
  <c r="O107" i="183"/>
  <c r="N107" i="183"/>
  <c r="H107" i="183"/>
  <c r="O106" i="183"/>
  <c r="N106" i="183"/>
  <c r="H106" i="183"/>
  <c r="O105" i="183"/>
  <c r="N105" i="183"/>
  <c r="H105" i="183"/>
  <c r="O104" i="183"/>
  <c r="N104" i="183"/>
  <c r="H104" i="183"/>
  <c r="O103" i="183"/>
  <c r="N103" i="183"/>
  <c r="H103" i="183"/>
  <c r="O102" i="183"/>
  <c r="N102" i="183"/>
  <c r="H102" i="183"/>
  <c r="O101" i="183"/>
  <c r="N101" i="183"/>
  <c r="H101" i="183"/>
  <c r="O100" i="183"/>
  <c r="N100" i="183"/>
  <c r="H100" i="183"/>
  <c r="O99" i="183"/>
  <c r="N99" i="183"/>
  <c r="H99" i="183"/>
  <c r="O98" i="183"/>
  <c r="N98" i="183"/>
  <c r="H98" i="183"/>
  <c r="O97" i="183"/>
  <c r="N97" i="183"/>
  <c r="H97" i="183"/>
  <c r="O96" i="183"/>
  <c r="N96" i="183"/>
  <c r="H96" i="183"/>
  <c r="O95" i="183"/>
  <c r="N95" i="183"/>
  <c r="H95" i="183"/>
  <c r="O94" i="183"/>
  <c r="N94" i="183"/>
  <c r="H94" i="183"/>
  <c r="O93" i="183"/>
  <c r="N93" i="183"/>
  <c r="H93" i="183"/>
  <c r="N92" i="183"/>
  <c r="H92" i="183"/>
  <c r="N91" i="183"/>
  <c r="H91" i="183"/>
  <c r="N90" i="183"/>
  <c r="H90" i="183"/>
  <c r="O89" i="183"/>
  <c r="N89" i="183"/>
  <c r="H89" i="183"/>
  <c r="O88" i="183"/>
  <c r="N88" i="183"/>
  <c r="H88" i="183"/>
  <c r="O87" i="183"/>
  <c r="N87" i="183"/>
  <c r="H87" i="183"/>
  <c r="O86" i="183"/>
  <c r="N86" i="183"/>
  <c r="H86" i="183"/>
  <c r="O85" i="183"/>
  <c r="N85" i="183"/>
  <c r="H85" i="183"/>
  <c r="O84" i="183"/>
  <c r="N84" i="183"/>
  <c r="H84" i="183"/>
  <c r="O83" i="183"/>
  <c r="N83" i="183"/>
  <c r="H83" i="183"/>
  <c r="O82" i="183"/>
  <c r="N82" i="183"/>
  <c r="O81" i="183"/>
  <c r="N81" i="183"/>
  <c r="O80" i="183"/>
  <c r="N80" i="183"/>
  <c r="H80" i="183"/>
  <c r="O79" i="183"/>
  <c r="N79" i="183"/>
  <c r="H79" i="183"/>
  <c r="O78" i="183"/>
  <c r="N78" i="183"/>
  <c r="O77" i="183"/>
  <c r="N77" i="183"/>
  <c r="H77" i="183"/>
  <c r="O76" i="183"/>
  <c r="N76" i="183"/>
  <c r="H76" i="183"/>
  <c r="O75" i="183"/>
  <c r="N75" i="183"/>
  <c r="H75" i="183"/>
  <c r="O74" i="183"/>
  <c r="N74" i="183"/>
  <c r="H74" i="183"/>
  <c r="O73" i="183"/>
  <c r="N73" i="183"/>
  <c r="H73" i="183"/>
  <c r="O72" i="183"/>
  <c r="N72" i="183"/>
  <c r="H72" i="183"/>
  <c r="O71" i="183"/>
  <c r="N71" i="183"/>
  <c r="H71" i="183"/>
  <c r="O70" i="183"/>
  <c r="N70" i="183"/>
  <c r="H70" i="183"/>
  <c r="T69" i="183"/>
  <c r="T96" i="183" s="1"/>
  <c r="O69" i="183"/>
  <c r="N69" i="183"/>
  <c r="H69" i="183"/>
  <c r="O68" i="183"/>
  <c r="N68" i="183"/>
  <c r="H68" i="183"/>
  <c r="O67" i="183"/>
  <c r="N67" i="183"/>
  <c r="H67" i="183"/>
  <c r="O66" i="183"/>
  <c r="N66" i="183"/>
  <c r="H66" i="183"/>
  <c r="O65" i="183"/>
  <c r="N65" i="183"/>
  <c r="H65" i="183"/>
  <c r="O64" i="183"/>
  <c r="N64" i="183"/>
  <c r="H64" i="183"/>
  <c r="O63" i="183"/>
  <c r="N63" i="183"/>
  <c r="H63" i="183"/>
  <c r="O62" i="183"/>
  <c r="N62" i="183"/>
  <c r="H62" i="183"/>
  <c r="O61" i="183"/>
  <c r="N61" i="183"/>
  <c r="H61" i="183"/>
  <c r="O60" i="183"/>
  <c r="N60" i="183"/>
  <c r="H60" i="183"/>
  <c r="O59" i="183"/>
  <c r="N59" i="183"/>
  <c r="H59" i="183"/>
  <c r="O58" i="183"/>
  <c r="N58" i="183"/>
  <c r="H58" i="183"/>
  <c r="O57" i="183"/>
  <c r="N57" i="183"/>
  <c r="H57" i="183"/>
  <c r="O56" i="183"/>
  <c r="N56" i="183"/>
  <c r="H56" i="183"/>
  <c r="O55" i="183"/>
  <c r="N55" i="183"/>
  <c r="O54" i="183"/>
  <c r="N54" i="183"/>
  <c r="H54" i="183"/>
  <c r="O53" i="183"/>
  <c r="N53" i="183"/>
  <c r="H53" i="183"/>
  <c r="O52" i="183"/>
  <c r="N52" i="183"/>
  <c r="O51" i="183"/>
  <c r="N51" i="183"/>
  <c r="O50" i="183"/>
  <c r="N50" i="183"/>
  <c r="H50" i="183"/>
  <c r="O49" i="183"/>
  <c r="N49" i="183"/>
  <c r="H49" i="183"/>
  <c r="O48" i="183"/>
  <c r="N48" i="183"/>
  <c r="H48" i="183"/>
  <c r="O47" i="183"/>
  <c r="N47" i="183"/>
  <c r="H47" i="183"/>
  <c r="O46" i="183"/>
  <c r="N46" i="183"/>
  <c r="H46" i="183"/>
  <c r="O45" i="183"/>
  <c r="N45" i="183"/>
  <c r="H45" i="183"/>
  <c r="O44" i="183"/>
  <c r="N44" i="183"/>
  <c r="H44" i="183"/>
  <c r="O43" i="183"/>
  <c r="N43" i="183"/>
  <c r="H43" i="183"/>
  <c r="O42" i="183"/>
  <c r="N42" i="183"/>
  <c r="H42" i="183"/>
  <c r="O41" i="183"/>
  <c r="N41" i="183"/>
  <c r="H41" i="183"/>
  <c r="O40" i="183"/>
  <c r="N40" i="183"/>
  <c r="H40" i="183"/>
  <c r="O39" i="183"/>
  <c r="N39" i="183"/>
  <c r="H39" i="183"/>
  <c r="O38" i="183"/>
  <c r="N38" i="183"/>
  <c r="H38" i="183"/>
  <c r="O37" i="183"/>
  <c r="N37" i="183"/>
  <c r="H37" i="183"/>
  <c r="O36" i="183"/>
  <c r="N36" i="183"/>
  <c r="H36" i="183"/>
  <c r="O35" i="183"/>
  <c r="N35" i="183"/>
  <c r="H35" i="183"/>
  <c r="N34" i="183"/>
  <c r="H34" i="183"/>
  <c r="O33" i="183"/>
  <c r="N33" i="183"/>
  <c r="H33" i="183"/>
  <c r="O32" i="183"/>
  <c r="N32" i="183"/>
  <c r="H32" i="183"/>
  <c r="O31" i="183"/>
  <c r="N31" i="183"/>
  <c r="H31" i="183"/>
  <c r="O30" i="183"/>
  <c r="N30" i="183"/>
  <c r="H30" i="183"/>
  <c r="O29" i="183"/>
  <c r="N29" i="183"/>
  <c r="H29" i="183"/>
  <c r="O28" i="183"/>
  <c r="N28" i="183"/>
  <c r="H28" i="183"/>
  <c r="O27" i="183"/>
  <c r="N27" i="183"/>
  <c r="H27" i="183"/>
  <c r="O26" i="183"/>
  <c r="N26" i="183"/>
  <c r="H26" i="183"/>
  <c r="O25" i="183"/>
  <c r="N25" i="183"/>
  <c r="H25" i="183"/>
  <c r="O24" i="183"/>
  <c r="N24" i="183"/>
  <c r="H24" i="183"/>
  <c r="O23" i="183"/>
  <c r="N23" i="183"/>
  <c r="H23" i="183"/>
  <c r="O22" i="183"/>
  <c r="N22" i="183"/>
  <c r="H22" i="183"/>
  <c r="O21" i="183"/>
  <c r="N21" i="183"/>
  <c r="H21" i="183"/>
  <c r="O20" i="183"/>
  <c r="N20" i="183"/>
  <c r="H20" i="183"/>
  <c r="O19" i="183"/>
  <c r="N19" i="183"/>
  <c r="H19" i="183"/>
  <c r="O18" i="183"/>
  <c r="N18" i="183"/>
  <c r="N17" i="183"/>
  <c r="O16" i="183"/>
  <c r="N16" i="183"/>
  <c r="O15" i="183"/>
  <c r="N15" i="183"/>
  <c r="H15" i="183"/>
  <c r="S14" i="183"/>
  <c r="O14" i="183"/>
  <c r="N14" i="183"/>
  <c r="O13" i="183"/>
  <c r="N13" i="183"/>
  <c r="H13" i="183"/>
  <c r="O12" i="183"/>
  <c r="N12" i="183"/>
  <c r="H12" i="183"/>
  <c r="O11" i="183"/>
  <c r="N11" i="183"/>
  <c r="H11" i="183"/>
  <c r="O10" i="183"/>
  <c r="N10" i="183"/>
  <c r="O9" i="183"/>
  <c r="N9" i="183"/>
  <c r="O8" i="183"/>
  <c r="N8" i="183"/>
  <c r="H8" i="183"/>
  <c r="O7" i="183"/>
  <c r="N7" i="183"/>
  <c r="O6" i="183"/>
  <c r="N6" i="183"/>
  <c r="H6" i="183"/>
  <c r="O5" i="183"/>
  <c r="N5" i="183"/>
  <c r="H5" i="183"/>
  <c r="O4" i="183"/>
  <c r="N4" i="183"/>
  <c r="H4" i="183"/>
  <c r="O3" i="183"/>
  <c r="N3" i="183"/>
  <c r="H3" i="183"/>
  <c r="O2" i="183"/>
  <c r="O229" i="183" s="1"/>
  <c r="B230" i="183" s="1"/>
  <c r="B235" i="183" s="1"/>
  <c r="B241" i="183" s="1"/>
  <c r="B254" i="183" s="1"/>
  <c r="N2" i="183"/>
  <c r="N229" i="183" s="1"/>
  <c r="H2" i="183"/>
  <c r="H229" i="183" s="1"/>
  <c r="H165" i="182"/>
  <c r="O160" i="182"/>
  <c r="B269" i="182"/>
  <c r="B260" i="182"/>
  <c r="B259" i="182"/>
  <c r="B273" i="182" s="1"/>
  <c r="B252" i="182"/>
  <c r="B253" i="182" s="1"/>
  <c r="B250" i="182"/>
  <c r="B249" i="182"/>
  <c r="B248" i="182"/>
  <c r="B251" i="182" s="1"/>
  <c r="B244" i="182"/>
  <c r="B242" i="182"/>
  <c r="B245" i="182" s="1"/>
  <c r="B238" i="182"/>
  <c r="B237" i="182"/>
  <c r="B236" i="182"/>
  <c r="B240" i="182" s="1"/>
  <c r="B233" i="182"/>
  <c r="B231" i="182"/>
  <c r="P229" i="182"/>
  <c r="K229" i="182"/>
  <c r="I229" i="182"/>
  <c r="N228" i="182"/>
  <c r="N227" i="182"/>
  <c r="N226" i="182"/>
  <c r="N225" i="182"/>
  <c r="N224" i="182"/>
  <c r="N223" i="182"/>
  <c r="N222" i="182"/>
  <c r="N221" i="182"/>
  <c r="N220" i="182"/>
  <c r="O219" i="182"/>
  <c r="N219" i="182"/>
  <c r="H219" i="182"/>
  <c r="O218" i="182"/>
  <c r="N218" i="182"/>
  <c r="H218" i="182"/>
  <c r="O217" i="182"/>
  <c r="N217" i="182"/>
  <c r="H217" i="182"/>
  <c r="O216" i="182"/>
  <c r="N216" i="182"/>
  <c r="H216" i="182"/>
  <c r="O215" i="182"/>
  <c r="N215" i="182"/>
  <c r="H215" i="182"/>
  <c r="O214" i="182"/>
  <c r="N214" i="182"/>
  <c r="O213" i="182"/>
  <c r="N213" i="182"/>
  <c r="H213" i="182"/>
  <c r="O212" i="182"/>
  <c r="N212" i="182"/>
  <c r="H212" i="182"/>
  <c r="O211" i="182"/>
  <c r="N211" i="182"/>
  <c r="H211" i="182"/>
  <c r="O210" i="182"/>
  <c r="N210" i="182"/>
  <c r="H210" i="182"/>
  <c r="O209" i="182"/>
  <c r="N209" i="182"/>
  <c r="H209" i="182"/>
  <c r="O208" i="182"/>
  <c r="N208" i="182"/>
  <c r="H208" i="182"/>
  <c r="O207" i="182"/>
  <c r="N207" i="182"/>
  <c r="H207" i="182"/>
  <c r="O206" i="182"/>
  <c r="N206" i="182"/>
  <c r="H206" i="182"/>
  <c r="O205" i="182"/>
  <c r="N205" i="182"/>
  <c r="H205" i="182"/>
  <c r="O204" i="182"/>
  <c r="N204" i="182"/>
  <c r="H204" i="182"/>
  <c r="O203" i="182"/>
  <c r="N203" i="182"/>
  <c r="H203" i="182"/>
  <c r="O202" i="182"/>
  <c r="N202" i="182"/>
  <c r="H202" i="182"/>
  <c r="O201" i="182"/>
  <c r="N201" i="182"/>
  <c r="H201" i="182"/>
  <c r="O200" i="182"/>
  <c r="N200" i="182"/>
  <c r="H200" i="182"/>
  <c r="O199" i="182"/>
  <c r="N199" i="182"/>
  <c r="H199" i="182"/>
  <c r="O198" i="182"/>
  <c r="N198" i="182"/>
  <c r="H198" i="182"/>
  <c r="O197" i="182"/>
  <c r="N197" i="182"/>
  <c r="H197" i="182"/>
  <c r="O196" i="182"/>
  <c r="N196" i="182"/>
  <c r="H196" i="182"/>
  <c r="O195" i="182"/>
  <c r="N195" i="182"/>
  <c r="H195" i="182"/>
  <c r="O194" i="182"/>
  <c r="N194" i="182"/>
  <c r="H194" i="182"/>
  <c r="O193" i="182"/>
  <c r="N193" i="182"/>
  <c r="H193" i="182"/>
  <c r="O192" i="182"/>
  <c r="N192" i="182"/>
  <c r="O191" i="182"/>
  <c r="N191" i="182"/>
  <c r="H191" i="182"/>
  <c r="O190" i="182"/>
  <c r="N190" i="182"/>
  <c r="H190" i="182"/>
  <c r="O189" i="182"/>
  <c r="N189" i="182"/>
  <c r="H189" i="182"/>
  <c r="O188" i="182"/>
  <c r="N188" i="182"/>
  <c r="H188" i="182"/>
  <c r="O187" i="182"/>
  <c r="N187" i="182"/>
  <c r="H187" i="182"/>
  <c r="O186" i="182"/>
  <c r="N186" i="182"/>
  <c r="H186" i="182"/>
  <c r="O185" i="182"/>
  <c r="N185" i="182"/>
  <c r="H185" i="182"/>
  <c r="O184" i="182"/>
  <c r="N184" i="182"/>
  <c r="H184" i="182"/>
  <c r="O183" i="182"/>
  <c r="N183" i="182"/>
  <c r="H183" i="182"/>
  <c r="O182" i="182"/>
  <c r="N182" i="182"/>
  <c r="H182" i="182"/>
  <c r="O181" i="182"/>
  <c r="N181" i="182"/>
  <c r="H181" i="182"/>
  <c r="O180" i="182"/>
  <c r="N180" i="182"/>
  <c r="H180" i="182"/>
  <c r="O179" i="182"/>
  <c r="N179" i="182"/>
  <c r="H179" i="182"/>
  <c r="O178" i="182"/>
  <c r="N178" i="182"/>
  <c r="H178" i="182"/>
  <c r="O177" i="182"/>
  <c r="N177" i="182"/>
  <c r="H177" i="182"/>
  <c r="O176" i="182"/>
  <c r="N176" i="182"/>
  <c r="H176" i="182"/>
  <c r="O175" i="182"/>
  <c r="N175" i="182"/>
  <c r="H175" i="182"/>
  <c r="O174" i="182"/>
  <c r="N174" i="182"/>
  <c r="H174" i="182"/>
  <c r="O173" i="182"/>
  <c r="N173" i="182"/>
  <c r="H173" i="182"/>
  <c r="O172" i="182"/>
  <c r="N172" i="182"/>
  <c r="H172" i="182"/>
  <c r="O171" i="182"/>
  <c r="N171" i="182"/>
  <c r="H171" i="182"/>
  <c r="O170" i="182"/>
  <c r="N170" i="182"/>
  <c r="H170" i="182"/>
  <c r="O169" i="182"/>
  <c r="N169" i="182"/>
  <c r="H169" i="182"/>
  <c r="O168" i="182"/>
  <c r="N168" i="182"/>
  <c r="O167" i="182"/>
  <c r="N167" i="182"/>
  <c r="H167" i="182"/>
  <c r="O166" i="182"/>
  <c r="N166" i="182"/>
  <c r="H166" i="182"/>
  <c r="O165" i="182"/>
  <c r="N165" i="182"/>
  <c r="O164" i="182"/>
  <c r="N164" i="182"/>
  <c r="H164" i="182"/>
  <c r="O163" i="182"/>
  <c r="N163" i="182"/>
  <c r="H163" i="182"/>
  <c r="O162" i="182"/>
  <c r="N162" i="182"/>
  <c r="H162" i="182"/>
  <c r="O161" i="182"/>
  <c r="N161" i="182"/>
  <c r="H161" i="182"/>
  <c r="N160" i="182"/>
  <c r="H160" i="182"/>
  <c r="O159" i="182"/>
  <c r="N159" i="182"/>
  <c r="N158" i="182"/>
  <c r="O157" i="182"/>
  <c r="N157" i="182"/>
  <c r="H157" i="182"/>
  <c r="O156" i="182"/>
  <c r="N156" i="182"/>
  <c r="H156" i="182"/>
  <c r="O155" i="182"/>
  <c r="N155" i="182"/>
  <c r="H155" i="182"/>
  <c r="O154" i="182"/>
  <c r="N154" i="182"/>
  <c r="H154" i="182"/>
  <c r="O153" i="182"/>
  <c r="N153" i="182"/>
  <c r="H153" i="182"/>
  <c r="O152" i="182"/>
  <c r="N152" i="182"/>
  <c r="H152" i="182"/>
  <c r="O151" i="182"/>
  <c r="N151" i="182"/>
  <c r="H151" i="182"/>
  <c r="O150" i="182"/>
  <c r="N150" i="182"/>
  <c r="H150" i="182"/>
  <c r="O149" i="182"/>
  <c r="N149" i="182"/>
  <c r="H149" i="182"/>
  <c r="O148" i="182"/>
  <c r="N148" i="182"/>
  <c r="H148" i="182"/>
  <c r="O147" i="182"/>
  <c r="N147" i="182"/>
  <c r="H147" i="182"/>
  <c r="O146" i="182"/>
  <c r="N146" i="182"/>
  <c r="H146" i="182"/>
  <c r="O145" i="182"/>
  <c r="N145" i="182"/>
  <c r="H145" i="182"/>
  <c r="O144" i="182"/>
  <c r="N144" i="182"/>
  <c r="H144" i="182"/>
  <c r="O143" i="182"/>
  <c r="N143" i="182"/>
  <c r="H143" i="182"/>
  <c r="O142" i="182"/>
  <c r="N142" i="182"/>
  <c r="H142" i="182"/>
  <c r="O141" i="182"/>
  <c r="N141" i="182"/>
  <c r="H141" i="182"/>
  <c r="O140" i="182"/>
  <c r="N140" i="182"/>
  <c r="H140" i="182"/>
  <c r="O139" i="182"/>
  <c r="N139" i="182"/>
  <c r="H139" i="182"/>
  <c r="O138" i="182"/>
  <c r="N138" i="182"/>
  <c r="H138" i="182"/>
  <c r="O137" i="182"/>
  <c r="N137" i="182"/>
  <c r="H137" i="182"/>
  <c r="O136" i="182"/>
  <c r="N136" i="182"/>
  <c r="H136" i="182"/>
  <c r="O135" i="182"/>
  <c r="N135" i="182"/>
  <c r="H135" i="182"/>
  <c r="O134" i="182"/>
  <c r="N134" i="182"/>
  <c r="H134" i="182"/>
  <c r="O133" i="182"/>
  <c r="N133" i="182"/>
  <c r="H133" i="182"/>
  <c r="O132" i="182"/>
  <c r="N132" i="182"/>
  <c r="H132" i="182"/>
  <c r="O131" i="182"/>
  <c r="N131" i="182"/>
  <c r="H131" i="182"/>
  <c r="O130" i="182"/>
  <c r="N130" i="182"/>
  <c r="H130" i="182"/>
  <c r="O129" i="182"/>
  <c r="N129" i="182"/>
  <c r="H129" i="182"/>
  <c r="O128" i="182"/>
  <c r="N128" i="182"/>
  <c r="O127" i="182"/>
  <c r="N127" i="182"/>
  <c r="H127" i="182"/>
  <c r="O126" i="182"/>
  <c r="N126" i="182"/>
  <c r="H126" i="182"/>
  <c r="O125" i="182"/>
  <c r="N125" i="182"/>
  <c r="H125" i="182"/>
  <c r="O124" i="182"/>
  <c r="N124" i="182"/>
  <c r="H124" i="182"/>
  <c r="O123" i="182"/>
  <c r="N123" i="182"/>
  <c r="H123" i="182"/>
  <c r="O122" i="182"/>
  <c r="N122" i="182"/>
  <c r="H122" i="182"/>
  <c r="O121" i="182"/>
  <c r="N121" i="182"/>
  <c r="H121" i="182"/>
  <c r="O120" i="182"/>
  <c r="N120" i="182"/>
  <c r="H120" i="182"/>
  <c r="O119" i="182"/>
  <c r="N119" i="182"/>
  <c r="H119" i="182"/>
  <c r="O118" i="182"/>
  <c r="N118" i="182"/>
  <c r="H118" i="182"/>
  <c r="O117" i="182"/>
  <c r="N117" i="182"/>
  <c r="H117" i="182"/>
  <c r="O116" i="182"/>
  <c r="N116" i="182"/>
  <c r="H116" i="182"/>
  <c r="O115" i="182"/>
  <c r="N115" i="182"/>
  <c r="H115" i="182"/>
  <c r="O114" i="182"/>
  <c r="N114" i="182"/>
  <c r="H114" i="182"/>
  <c r="O113" i="182"/>
  <c r="N113" i="182"/>
  <c r="H113" i="182"/>
  <c r="O112" i="182"/>
  <c r="N112" i="182"/>
  <c r="H112" i="182"/>
  <c r="O111" i="182"/>
  <c r="N111" i="182"/>
  <c r="H111" i="182"/>
  <c r="O110" i="182"/>
  <c r="N110" i="182"/>
  <c r="H110" i="182"/>
  <c r="O109" i="182"/>
  <c r="N109" i="182"/>
  <c r="H109" i="182"/>
  <c r="O108" i="182"/>
  <c r="N108" i="182"/>
  <c r="H108" i="182"/>
  <c r="O107" i="182"/>
  <c r="N107" i="182"/>
  <c r="H107" i="182"/>
  <c r="O106" i="182"/>
  <c r="N106" i="182"/>
  <c r="H106" i="182"/>
  <c r="O105" i="182"/>
  <c r="N105" i="182"/>
  <c r="H105" i="182"/>
  <c r="O104" i="182"/>
  <c r="N104" i="182"/>
  <c r="H104" i="182"/>
  <c r="O103" i="182"/>
  <c r="N103" i="182"/>
  <c r="H103" i="182"/>
  <c r="O102" i="182"/>
  <c r="N102" i="182"/>
  <c r="H102" i="182"/>
  <c r="O101" i="182"/>
  <c r="N101" i="182"/>
  <c r="H101" i="182"/>
  <c r="O100" i="182"/>
  <c r="N100" i="182"/>
  <c r="H100" i="182"/>
  <c r="O99" i="182"/>
  <c r="N99" i="182"/>
  <c r="H99" i="182"/>
  <c r="O98" i="182"/>
  <c r="N98" i="182"/>
  <c r="H98" i="182"/>
  <c r="O97" i="182"/>
  <c r="N97" i="182"/>
  <c r="H97" i="182"/>
  <c r="O96" i="182"/>
  <c r="N96" i="182"/>
  <c r="H96" i="182"/>
  <c r="O95" i="182"/>
  <c r="N95" i="182"/>
  <c r="H95" i="182"/>
  <c r="O94" i="182"/>
  <c r="N94" i="182"/>
  <c r="H94" i="182"/>
  <c r="O93" i="182"/>
  <c r="N93" i="182"/>
  <c r="H93" i="182"/>
  <c r="N92" i="182"/>
  <c r="H92" i="182"/>
  <c r="N91" i="182"/>
  <c r="H91" i="182"/>
  <c r="N90" i="182"/>
  <c r="H90" i="182"/>
  <c r="O89" i="182"/>
  <c r="N89" i="182"/>
  <c r="H89" i="182"/>
  <c r="O88" i="182"/>
  <c r="N88" i="182"/>
  <c r="H88" i="182"/>
  <c r="O87" i="182"/>
  <c r="N87" i="182"/>
  <c r="H87" i="182"/>
  <c r="O86" i="182"/>
  <c r="N86" i="182"/>
  <c r="H86" i="182"/>
  <c r="O85" i="182"/>
  <c r="N85" i="182"/>
  <c r="H85" i="182"/>
  <c r="O84" i="182"/>
  <c r="N84" i="182"/>
  <c r="H84" i="182"/>
  <c r="O83" i="182"/>
  <c r="N83" i="182"/>
  <c r="H83" i="182"/>
  <c r="O82" i="182"/>
  <c r="N82" i="182"/>
  <c r="O81" i="182"/>
  <c r="N81" i="182"/>
  <c r="O80" i="182"/>
  <c r="N80" i="182"/>
  <c r="H80" i="182"/>
  <c r="O79" i="182"/>
  <c r="N79" i="182"/>
  <c r="H79" i="182"/>
  <c r="O78" i="182"/>
  <c r="N78" i="182"/>
  <c r="O77" i="182"/>
  <c r="N77" i="182"/>
  <c r="H77" i="182"/>
  <c r="O76" i="182"/>
  <c r="N76" i="182"/>
  <c r="H76" i="182"/>
  <c r="O75" i="182"/>
  <c r="N75" i="182"/>
  <c r="H75" i="182"/>
  <c r="O74" i="182"/>
  <c r="N74" i="182"/>
  <c r="H74" i="182"/>
  <c r="O73" i="182"/>
  <c r="N73" i="182"/>
  <c r="H73" i="182"/>
  <c r="O72" i="182"/>
  <c r="N72" i="182"/>
  <c r="H72" i="182"/>
  <c r="O71" i="182"/>
  <c r="N71" i="182"/>
  <c r="H71" i="182"/>
  <c r="O70" i="182"/>
  <c r="N70" i="182"/>
  <c r="H70" i="182"/>
  <c r="T69" i="182"/>
  <c r="T96" i="182" s="1"/>
  <c r="O69" i="182"/>
  <c r="N69" i="182"/>
  <c r="H69" i="182"/>
  <c r="O68" i="182"/>
  <c r="N68" i="182"/>
  <c r="H68" i="182"/>
  <c r="O67" i="182"/>
  <c r="N67" i="182"/>
  <c r="H67" i="182"/>
  <c r="O66" i="182"/>
  <c r="N66" i="182"/>
  <c r="H66" i="182"/>
  <c r="O65" i="182"/>
  <c r="N65" i="182"/>
  <c r="H65" i="182"/>
  <c r="O64" i="182"/>
  <c r="N64" i="182"/>
  <c r="H64" i="182"/>
  <c r="O63" i="182"/>
  <c r="N63" i="182"/>
  <c r="H63" i="182"/>
  <c r="O62" i="182"/>
  <c r="N62" i="182"/>
  <c r="H62" i="182"/>
  <c r="O61" i="182"/>
  <c r="N61" i="182"/>
  <c r="H61" i="182"/>
  <c r="O60" i="182"/>
  <c r="N60" i="182"/>
  <c r="H60" i="182"/>
  <c r="O59" i="182"/>
  <c r="N59" i="182"/>
  <c r="H59" i="182"/>
  <c r="O58" i="182"/>
  <c r="N58" i="182"/>
  <c r="H58" i="182"/>
  <c r="O57" i="182"/>
  <c r="N57" i="182"/>
  <c r="H57" i="182"/>
  <c r="O56" i="182"/>
  <c r="N56" i="182"/>
  <c r="H56" i="182"/>
  <c r="O55" i="182"/>
  <c r="N55" i="182"/>
  <c r="O54" i="182"/>
  <c r="N54" i="182"/>
  <c r="H54" i="182"/>
  <c r="O53" i="182"/>
  <c r="N53" i="182"/>
  <c r="H53" i="182"/>
  <c r="O52" i="182"/>
  <c r="N52" i="182"/>
  <c r="O51" i="182"/>
  <c r="N51" i="182"/>
  <c r="O50" i="182"/>
  <c r="N50" i="182"/>
  <c r="H50" i="182"/>
  <c r="O49" i="182"/>
  <c r="N49" i="182"/>
  <c r="H49" i="182"/>
  <c r="O48" i="182"/>
  <c r="N48" i="182"/>
  <c r="H48" i="182"/>
  <c r="O47" i="182"/>
  <c r="N47" i="182"/>
  <c r="H47" i="182"/>
  <c r="O46" i="182"/>
  <c r="N46" i="182"/>
  <c r="H46" i="182"/>
  <c r="O45" i="182"/>
  <c r="N45" i="182"/>
  <c r="H45" i="182"/>
  <c r="O44" i="182"/>
  <c r="N44" i="182"/>
  <c r="H44" i="182"/>
  <c r="O43" i="182"/>
  <c r="N43" i="182"/>
  <c r="H43" i="182"/>
  <c r="O42" i="182"/>
  <c r="N42" i="182"/>
  <c r="H42" i="182"/>
  <c r="O41" i="182"/>
  <c r="N41" i="182"/>
  <c r="H41" i="182"/>
  <c r="O40" i="182"/>
  <c r="N40" i="182"/>
  <c r="H40" i="182"/>
  <c r="O39" i="182"/>
  <c r="N39" i="182"/>
  <c r="H39" i="182"/>
  <c r="O38" i="182"/>
  <c r="N38" i="182"/>
  <c r="H38" i="182"/>
  <c r="O37" i="182"/>
  <c r="N37" i="182"/>
  <c r="H37" i="182"/>
  <c r="O36" i="182"/>
  <c r="N36" i="182"/>
  <c r="H36" i="182"/>
  <c r="O35" i="182"/>
  <c r="N35" i="182"/>
  <c r="H35" i="182"/>
  <c r="N34" i="182"/>
  <c r="H34" i="182"/>
  <c r="O33" i="182"/>
  <c r="N33" i="182"/>
  <c r="H33" i="182"/>
  <c r="O32" i="182"/>
  <c r="N32" i="182"/>
  <c r="H32" i="182"/>
  <c r="O31" i="182"/>
  <c r="N31" i="182"/>
  <c r="H31" i="182"/>
  <c r="O30" i="182"/>
  <c r="N30" i="182"/>
  <c r="H30" i="182"/>
  <c r="O29" i="182"/>
  <c r="N29" i="182"/>
  <c r="H29" i="182"/>
  <c r="O28" i="182"/>
  <c r="N28" i="182"/>
  <c r="H28" i="182"/>
  <c r="O27" i="182"/>
  <c r="N27" i="182"/>
  <c r="H27" i="182"/>
  <c r="O26" i="182"/>
  <c r="N26" i="182"/>
  <c r="H26" i="182"/>
  <c r="O25" i="182"/>
  <c r="N25" i="182"/>
  <c r="H25" i="182"/>
  <c r="O24" i="182"/>
  <c r="N24" i="182"/>
  <c r="H24" i="182"/>
  <c r="O23" i="182"/>
  <c r="N23" i="182"/>
  <c r="H23" i="182"/>
  <c r="O22" i="182"/>
  <c r="N22" i="182"/>
  <c r="H22" i="182"/>
  <c r="O21" i="182"/>
  <c r="N21" i="182"/>
  <c r="H21" i="182"/>
  <c r="O20" i="182"/>
  <c r="N20" i="182"/>
  <c r="H20" i="182"/>
  <c r="O19" i="182"/>
  <c r="N19" i="182"/>
  <c r="H19" i="182"/>
  <c r="O18" i="182"/>
  <c r="N18" i="182"/>
  <c r="N17" i="182"/>
  <c r="O16" i="182"/>
  <c r="N16" i="182"/>
  <c r="O15" i="182"/>
  <c r="N15" i="182"/>
  <c r="H15" i="182"/>
  <c r="S14" i="182"/>
  <c r="O14" i="182"/>
  <c r="N14" i="182"/>
  <c r="O13" i="182"/>
  <c r="N13" i="182"/>
  <c r="H13" i="182"/>
  <c r="O12" i="182"/>
  <c r="N12" i="182"/>
  <c r="H12" i="182"/>
  <c r="O11" i="182"/>
  <c r="N11" i="182"/>
  <c r="H11" i="182"/>
  <c r="O10" i="182"/>
  <c r="N10" i="182"/>
  <c r="O9" i="182"/>
  <c r="N9" i="182"/>
  <c r="O8" i="182"/>
  <c r="N8" i="182"/>
  <c r="H8" i="182"/>
  <c r="O7" i="182"/>
  <c r="N7" i="182"/>
  <c r="O6" i="182"/>
  <c r="N6" i="182"/>
  <c r="H6" i="182"/>
  <c r="O5" i="182"/>
  <c r="N5" i="182"/>
  <c r="H5" i="182"/>
  <c r="O4" i="182"/>
  <c r="N4" i="182"/>
  <c r="H4" i="182"/>
  <c r="O3" i="182"/>
  <c r="N3" i="182"/>
  <c r="H3" i="182"/>
  <c r="O2" i="182"/>
  <c r="O229" i="182" s="1"/>
  <c r="B230" i="182" s="1"/>
  <c r="B235" i="182" s="1"/>
  <c r="B241" i="182" s="1"/>
  <c r="B254" i="182" s="1"/>
  <c r="N2" i="182"/>
  <c r="N229" i="182" s="1"/>
  <c r="H2" i="182"/>
  <c r="H229" i="182" s="1"/>
  <c r="B252" i="181"/>
  <c r="B250" i="181"/>
  <c r="B249" i="181"/>
  <c r="B242" i="181"/>
  <c r="B238" i="181"/>
  <c r="B237" i="181"/>
  <c r="B236" i="181"/>
  <c r="B233" i="181"/>
  <c r="B231" i="181"/>
  <c r="H33" i="181"/>
  <c r="H182" i="181"/>
  <c r="H183" i="181"/>
  <c r="H184" i="181"/>
  <c r="H185" i="181"/>
  <c r="B269" i="181"/>
  <c r="B260" i="181"/>
  <c r="B259" i="181"/>
  <c r="B273" i="181" s="1"/>
  <c r="B253" i="181"/>
  <c r="B248" i="181"/>
  <c r="B251" i="181" s="1"/>
  <c r="B244" i="181"/>
  <c r="B245" i="181"/>
  <c r="B240" i="181"/>
  <c r="P229" i="181"/>
  <c r="K229" i="181"/>
  <c r="I229" i="181"/>
  <c r="N228" i="181"/>
  <c r="N227" i="181"/>
  <c r="N226" i="181"/>
  <c r="N225" i="181"/>
  <c r="N224" i="181"/>
  <c r="N223" i="181"/>
  <c r="N222" i="181"/>
  <c r="N221" i="181"/>
  <c r="N220" i="181"/>
  <c r="O219" i="181"/>
  <c r="N219" i="181"/>
  <c r="H219" i="181"/>
  <c r="O218" i="181"/>
  <c r="N218" i="181"/>
  <c r="H218" i="181"/>
  <c r="O217" i="181"/>
  <c r="N217" i="181"/>
  <c r="H217" i="181"/>
  <c r="O216" i="181"/>
  <c r="N216" i="181"/>
  <c r="H216" i="181"/>
  <c r="O215" i="181"/>
  <c r="N215" i="181"/>
  <c r="H215" i="181"/>
  <c r="O214" i="181"/>
  <c r="N214" i="181"/>
  <c r="O213" i="181"/>
  <c r="N213" i="181"/>
  <c r="H213" i="181"/>
  <c r="O212" i="181"/>
  <c r="N212" i="181"/>
  <c r="H212" i="181"/>
  <c r="O211" i="181"/>
  <c r="N211" i="181"/>
  <c r="H211" i="181"/>
  <c r="O210" i="181"/>
  <c r="N210" i="181"/>
  <c r="H210" i="181"/>
  <c r="O209" i="181"/>
  <c r="N209" i="181"/>
  <c r="H209" i="181"/>
  <c r="O208" i="181"/>
  <c r="N208" i="181"/>
  <c r="H208" i="181"/>
  <c r="O207" i="181"/>
  <c r="N207" i="181"/>
  <c r="H207" i="181"/>
  <c r="O206" i="181"/>
  <c r="N206" i="181"/>
  <c r="H206" i="181"/>
  <c r="O205" i="181"/>
  <c r="N205" i="181"/>
  <c r="H205" i="181"/>
  <c r="O204" i="181"/>
  <c r="N204" i="181"/>
  <c r="H204" i="181"/>
  <c r="O203" i="181"/>
  <c r="N203" i="181"/>
  <c r="H203" i="181"/>
  <c r="O202" i="181"/>
  <c r="N202" i="181"/>
  <c r="H202" i="181"/>
  <c r="O201" i="181"/>
  <c r="N201" i="181"/>
  <c r="H201" i="181"/>
  <c r="O200" i="181"/>
  <c r="N200" i="181"/>
  <c r="H200" i="181"/>
  <c r="O199" i="181"/>
  <c r="N199" i="181"/>
  <c r="H199" i="181"/>
  <c r="O198" i="181"/>
  <c r="N198" i="181"/>
  <c r="H198" i="181"/>
  <c r="O197" i="181"/>
  <c r="N197" i="181"/>
  <c r="H197" i="181"/>
  <c r="O196" i="181"/>
  <c r="N196" i="181"/>
  <c r="H196" i="181"/>
  <c r="O195" i="181"/>
  <c r="N195" i="181"/>
  <c r="H195" i="181"/>
  <c r="O194" i="181"/>
  <c r="N194" i="181"/>
  <c r="H194" i="181"/>
  <c r="O193" i="181"/>
  <c r="N193" i="181"/>
  <c r="H193" i="181"/>
  <c r="O192" i="181"/>
  <c r="N192" i="181"/>
  <c r="O191" i="181"/>
  <c r="N191" i="181"/>
  <c r="H191" i="181"/>
  <c r="O190" i="181"/>
  <c r="N190" i="181"/>
  <c r="H190" i="181"/>
  <c r="O189" i="181"/>
  <c r="N189" i="181"/>
  <c r="H189" i="181"/>
  <c r="O188" i="181"/>
  <c r="N188" i="181"/>
  <c r="H188" i="181"/>
  <c r="O187" i="181"/>
  <c r="N187" i="181"/>
  <c r="H187" i="181"/>
  <c r="O186" i="181"/>
  <c r="N186" i="181"/>
  <c r="H186" i="181"/>
  <c r="O185" i="181"/>
  <c r="N185" i="181"/>
  <c r="O184" i="181"/>
  <c r="N184" i="181"/>
  <c r="O183" i="181"/>
  <c r="N183" i="181"/>
  <c r="O182" i="181"/>
  <c r="N182" i="181"/>
  <c r="O181" i="181"/>
  <c r="N181" i="181"/>
  <c r="H181" i="181"/>
  <c r="O180" i="181"/>
  <c r="N180" i="181"/>
  <c r="H180" i="181"/>
  <c r="O179" i="181"/>
  <c r="N179" i="181"/>
  <c r="H179" i="181"/>
  <c r="O178" i="181"/>
  <c r="N178" i="181"/>
  <c r="H178" i="181"/>
  <c r="O177" i="181"/>
  <c r="N177" i="181"/>
  <c r="H177" i="181"/>
  <c r="O176" i="181"/>
  <c r="N176" i="181"/>
  <c r="H176" i="181"/>
  <c r="O175" i="181"/>
  <c r="N175" i="181"/>
  <c r="H175" i="181"/>
  <c r="O174" i="181"/>
  <c r="N174" i="181"/>
  <c r="H174" i="181"/>
  <c r="O173" i="181"/>
  <c r="N173" i="181"/>
  <c r="H173" i="181"/>
  <c r="O172" i="181"/>
  <c r="N172" i="181"/>
  <c r="H172" i="181"/>
  <c r="O171" i="181"/>
  <c r="N171" i="181"/>
  <c r="H171" i="181"/>
  <c r="O170" i="181"/>
  <c r="N170" i="181"/>
  <c r="H170" i="181"/>
  <c r="O169" i="181"/>
  <c r="N169" i="181"/>
  <c r="H169" i="181"/>
  <c r="O168" i="181"/>
  <c r="N168" i="181"/>
  <c r="O167" i="181"/>
  <c r="N167" i="181"/>
  <c r="H167" i="181"/>
  <c r="O166" i="181"/>
  <c r="N166" i="181"/>
  <c r="H166" i="181"/>
  <c r="O165" i="181"/>
  <c r="N165" i="181"/>
  <c r="O164" i="181"/>
  <c r="N164" i="181"/>
  <c r="H164" i="181"/>
  <c r="O163" i="181"/>
  <c r="N163" i="181"/>
  <c r="H163" i="181"/>
  <c r="O162" i="181"/>
  <c r="N162" i="181"/>
  <c r="H162" i="181"/>
  <c r="O161" i="181"/>
  <c r="N161" i="181"/>
  <c r="H161" i="181"/>
  <c r="N160" i="181"/>
  <c r="H160" i="181"/>
  <c r="O159" i="181"/>
  <c r="N159" i="181"/>
  <c r="N158" i="181"/>
  <c r="O157" i="181"/>
  <c r="N157" i="181"/>
  <c r="H157" i="181"/>
  <c r="O156" i="181"/>
  <c r="N156" i="181"/>
  <c r="H156" i="181"/>
  <c r="O155" i="181"/>
  <c r="N155" i="181"/>
  <c r="H155" i="181"/>
  <c r="O154" i="181"/>
  <c r="N154" i="181"/>
  <c r="H154" i="181"/>
  <c r="O153" i="181"/>
  <c r="N153" i="181"/>
  <c r="H153" i="181"/>
  <c r="O152" i="181"/>
  <c r="N152" i="181"/>
  <c r="H152" i="181"/>
  <c r="O151" i="181"/>
  <c r="N151" i="181"/>
  <c r="H151" i="181"/>
  <c r="O150" i="181"/>
  <c r="N150" i="181"/>
  <c r="H150" i="181"/>
  <c r="O149" i="181"/>
  <c r="N149" i="181"/>
  <c r="H149" i="181"/>
  <c r="O148" i="181"/>
  <c r="N148" i="181"/>
  <c r="H148" i="181"/>
  <c r="O147" i="181"/>
  <c r="N147" i="181"/>
  <c r="H147" i="181"/>
  <c r="O146" i="181"/>
  <c r="N146" i="181"/>
  <c r="H146" i="181"/>
  <c r="O145" i="181"/>
  <c r="N145" i="181"/>
  <c r="H145" i="181"/>
  <c r="O144" i="181"/>
  <c r="N144" i="181"/>
  <c r="H144" i="181"/>
  <c r="O143" i="181"/>
  <c r="N143" i="181"/>
  <c r="H143" i="181"/>
  <c r="O142" i="181"/>
  <c r="N142" i="181"/>
  <c r="H142" i="181"/>
  <c r="O141" i="181"/>
  <c r="N141" i="181"/>
  <c r="H141" i="181"/>
  <c r="O140" i="181"/>
  <c r="N140" i="181"/>
  <c r="H140" i="181"/>
  <c r="O139" i="181"/>
  <c r="N139" i="181"/>
  <c r="H139" i="181"/>
  <c r="O138" i="181"/>
  <c r="N138" i="181"/>
  <c r="H138" i="181"/>
  <c r="O137" i="181"/>
  <c r="N137" i="181"/>
  <c r="H137" i="181"/>
  <c r="O136" i="181"/>
  <c r="N136" i="181"/>
  <c r="H136" i="181"/>
  <c r="O135" i="181"/>
  <c r="N135" i="181"/>
  <c r="H135" i="181"/>
  <c r="O134" i="181"/>
  <c r="N134" i="181"/>
  <c r="H134" i="181"/>
  <c r="O133" i="181"/>
  <c r="N133" i="181"/>
  <c r="H133" i="181"/>
  <c r="O132" i="181"/>
  <c r="N132" i="181"/>
  <c r="H132" i="181"/>
  <c r="O131" i="181"/>
  <c r="N131" i="181"/>
  <c r="H131" i="181"/>
  <c r="O130" i="181"/>
  <c r="N130" i="181"/>
  <c r="H130" i="181"/>
  <c r="O129" i="181"/>
  <c r="N129" i="181"/>
  <c r="H129" i="181"/>
  <c r="O128" i="181"/>
  <c r="N128" i="181"/>
  <c r="H128" i="181"/>
  <c r="O127" i="181"/>
  <c r="N127" i="181"/>
  <c r="H127" i="181"/>
  <c r="O126" i="181"/>
  <c r="N126" i="181"/>
  <c r="H126" i="181"/>
  <c r="O125" i="181"/>
  <c r="N125" i="181"/>
  <c r="H125" i="181"/>
  <c r="O124" i="181"/>
  <c r="N124" i="181"/>
  <c r="H124" i="181"/>
  <c r="O123" i="181"/>
  <c r="N123" i="181"/>
  <c r="H123" i="181"/>
  <c r="O122" i="181"/>
  <c r="N122" i="181"/>
  <c r="H122" i="181"/>
  <c r="O121" i="181"/>
  <c r="N121" i="181"/>
  <c r="H121" i="181"/>
  <c r="O120" i="181"/>
  <c r="N120" i="181"/>
  <c r="H120" i="181"/>
  <c r="O119" i="181"/>
  <c r="N119" i="181"/>
  <c r="H119" i="181"/>
  <c r="O118" i="181"/>
  <c r="N118" i="181"/>
  <c r="H118" i="181"/>
  <c r="O117" i="181"/>
  <c r="N117" i="181"/>
  <c r="H117" i="181"/>
  <c r="O116" i="181"/>
  <c r="N116" i="181"/>
  <c r="H116" i="181"/>
  <c r="O115" i="181"/>
  <c r="N115" i="181"/>
  <c r="H115" i="181"/>
  <c r="O114" i="181"/>
  <c r="N114" i="181"/>
  <c r="H114" i="181"/>
  <c r="O113" i="181"/>
  <c r="N113" i="181"/>
  <c r="H113" i="181"/>
  <c r="O112" i="181"/>
  <c r="N112" i="181"/>
  <c r="H112" i="181"/>
  <c r="O111" i="181"/>
  <c r="N111" i="181"/>
  <c r="H111" i="181"/>
  <c r="O110" i="181"/>
  <c r="N110" i="181"/>
  <c r="H110" i="181"/>
  <c r="O109" i="181"/>
  <c r="N109" i="181"/>
  <c r="H109" i="181"/>
  <c r="O108" i="181"/>
  <c r="N108" i="181"/>
  <c r="H108" i="181"/>
  <c r="O107" i="181"/>
  <c r="N107" i="181"/>
  <c r="H107" i="181"/>
  <c r="O106" i="181"/>
  <c r="N106" i="181"/>
  <c r="H106" i="181"/>
  <c r="O105" i="181"/>
  <c r="N105" i="181"/>
  <c r="H105" i="181"/>
  <c r="O104" i="181"/>
  <c r="N104" i="181"/>
  <c r="H104" i="181"/>
  <c r="O103" i="181"/>
  <c r="N103" i="181"/>
  <c r="H103" i="181"/>
  <c r="O102" i="181"/>
  <c r="N102" i="181"/>
  <c r="H102" i="181"/>
  <c r="O101" i="181"/>
  <c r="N101" i="181"/>
  <c r="H101" i="181"/>
  <c r="O100" i="181"/>
  <c r="N100" i="181"/>
  <c r="H100" i="181"/>
  <c r="O99" i="181"/>
  <c r="N99" i="181"/>
  <c r="H99" i="181"/>
  <c r="O98" i="181"/>
  <c r="N98" i="181"/>
  <c r="H98" i="181"/>
  <c r="O97" i="181"/>
  <c r="N97" i="181"/>
  <c r="H97" i="181"/>
  <c r="O96" i="181"/>
  <c r="N96" i="181"/>
  <c r="H96" i="181"/>
  <c r="O95" i="181"/>
  <c r="N95" i="181"/>
  <c r="H95" i="181"/>
  <c r="O94" i="181"/>
  <c r="N94" i="181"/>
  <c r="H94" i="181"/>
  <c r="O93" i="181"/>
  <c r="N93" i="181"/>
  <c r="H93" i="181"/>
  <c r="N92" i="181"/>
  <c r="H92" i="181"/>
  <c r="N91" i="181"/>
  <c r="H91" i="181"/>
  <c r="N90" i="181"/>
  <c r="H90" i="181"/>
  <c r="O89" i="181"/>
  <c r="N89" i="181"/>
  <c r="H89" i="181"/>
  <c r="O88" i="181"/>
  <c r="N88" i="181"/>
  <c r="H88" i="181"/>
  <c r="O87" i="181"/>
  <c r="N87" i="181"/>
  <c r="H87" i="181"/>
  <c r="O86" i="181"/>
  <c r="N86" i="181"/>
  <c r="H86" i="181"/>
  <c r="O85" i="181"/>
  <c r="N85" i="181"/>
  <c r="H85" i="181"/>
  <c r="O84" i="181"/>
  <c r="N84" i="181"/>
  <c r="H84" i="181"/>
  <c r="O83" i="181"/>
  <c r="N83" i="181"/>
  <c r="H83" i="181"/>
  <c r="O82" i="181"/>
  <c r="N82" i="181"/>
  <c r="O81" i="181"/>
  <c r="N81" i="181"/>
  <c r="O80" i="181"/>
  <c r="N80" i="181"/>
  <c r="H80" i="181"/>
  <c r="O79" i="181"/>
  <c r="N79" i="181"/>
  <c r="H79" i="181"/>
  <c r="O78" i="181"/>
  <c r="N78" i="181"/>
  <c r="O77" i="181"/>
  <c r="N77" i="181"/>
  <c r="H77" i="181"/>
  <c r="O76" i="181"/>
  <c r="N76" i="181"/>
  <c r="H76" i="181"/>
  <c r="O75" i="181"/>
  <c r="N75" i="181"/>
  <c r="H75" i="181"/>
  <c r="O74" i="181"/>
  <c r="N74" i="181"/>
  <c r="H74" i="181"/>
  <c r="O73" i="181"/>
  <c r="N73" i="181"/>
  <c r="H73" i="181"/>
  <c r="O72" i="181"/>
  <c r="N72" i="181"/>
  <c r="H72" i="181"/>
  <c r="O71" i="181"/>
  <c r="N71" i="181"/>
  <c r="H71" i="181"/>
  <c r="O70" i="181"/>
  <c r="N70" i="181"/>
  <c r="H70" i="181"/>
  <c r="T69" i="181"/>
  <c r="T96" i="181" s="1"/>
  <c r="O69" i="181"/>
  <c r="N69" i="181"/>
  <c r="H69" i="181"/>
  <c r="O68" i="181"/>
  <c r="N68" i="181"/>
  <c r="H68" i="181"/>
  <c r="O67" i="181"/>
  <c r="N67" i="181"/>
  <c r="H67" i="181"/>
  <c r="O66" i="181"/>
  <c r="N66" i="181"/>
  <c r="H66" i="181"/>
  <c r="O65" i="181"/>
  <c r="N65" i="181"/>
  <c r="H65" i="181"/>
  <c r="O64" i="181"/>
  <c r="N64" i="181"/>
  <c r="H64" i="181"/>
  <c r="O63" i="181"/>
  <c r="N63" i="181"/>
  <c r="H63" i="181"/>
  <c r="O62" i="181"/>
  <c r="N62" i="181"/>
  <c r="H62" i="181"/>
  <c r="O61" i="181"/>
  <c r="N61" i="181"/>
  <c r="H61" i="181"/>
  <c r="O60" i="181"/>
  <c r="N60" i="181"/>
  <c r="H60" i="181"/>
  <c r="O59" i="181"/>
  <c r="N59" i="181"/>
  <c r="H59" i="181"/>
  <c r="O58" i="181"/>
  <c r="N58" i="181"/>
  <c r="H58" i="181"/>
  <c r="O57" i="181"/>
  <c r="N57" i="181"/>
  <c r="H57" i="181"/>
  <c r="O56" i="181"/>
  <c r="N56" i="181"/>
  <c r="H56" i="181"/>
  <c r="O55" i="181"/>
  <c r="N55" i="181"/>
  <c r="O54" i="181"/>
  <c r="N54" i="181"/>
  <c r="H54" i="181"/>
  <c r="O53" i="181"/>
  <c r="N53" i="181"/>
  <c r="H53" i="181"/>
  <c r="O52" i="181"/>
  <c r="N52" i="181"/>
  <c r="O51" i="181"/>
  <c r="N51" i="181"/>
  <c r="O50" i="181"/>
  <c r="N50" i="181"/>
  <c r="H50" i="181"/>
  <c r="O49" i="181"/>
  <c r="N49" i="181"/>
  <c r="H49" i="181"/>
  <c r="O48" i="181"/>
  <c r="N48" i="181"/>
  <c r="H48" i="181"/>
  <c r="O47" i="181"/>
  <c r="N47" i="181"/>
  <c r="H47" i="181"/>
  <c r="O46" i="181"/>
  <c r="N46" i="181"/>
  <c r="H46" i="181"/>
  <c r="O45" i="181"/>
  <c r="N45" i="181"/>
  <c r="H45" i="181"/>
  <c r="O44" i="181"/>
  <c r="N44" i="181"/>
  <c r="H44" i="181"/>
  <c r="O43" i="181"/>
  <c r="N43" i="181"/>
  <c r="H43" i="181"/>
  <c r="O42" i="181"/>
  <c r="N42" i="181"/>
  <c r="H42" i="181"/>
  <c r="O41" i="181"/>
  <c r="N41" i="181"/>
  <c r="H41" i="181"/>
  <c r="O40" i="181"/>
  <c r="N40" i="181"/>
  <c r="H40" i="181"/>
  <c r="O39" i="181"/>
  <c r="N39" i="181"/>
  <c r="H39" i="181"/>
  <c r="O38" i="181"/>
  <c r="N38" i="181"/>
  <c r="H38" i="181"/>
  <c r="O37" i="181"/>
  <c r="N37" i="181"/>
  <c r="H37" i="181"/>
  <c r="O36" i="181"/>
  <c r="N36" i="181"/>
  <c r="H36" i="181"/>
  <c r="O35" i="181"/>
  <c r="N35" i="181"/>
  <c r="H35" i="181"/>
  <c r="N34" i="181"/>
  <c r="H34" i="181"/>
  <c r="O33" i="181"/>
  <c r="N33" i="181"/>
  <c r="O32" i="181"/>
  <c r="N32" i="181"/>
  <c r="H32" i="181"/>
  <c r="O31" i="181"/>
  <c r="N31" i="181"/>
  <c r="H31" i="181"/>
  <c r="O30" i="181"/>
  <c r="N30" i="181"/>
  <c r="H30" i="181"/>
  <c r="O29" i="181"/>
  <c r="N29" i="181"/>
  <c r="H29" i="181"/>
  <c r="O28" i="181"/>
  <c r="N28" i="181"/>
  <c r="H28" i="181"/>
  <c r="O27" i="181"/>
  <c r="N27" i="181"/>
  <c r="H27" i="181"/>
  <c r="O26" i="181"/>
  <c r="N26" i="181"/>
  <c r="H26" i="181"/>
  <c r="O25" i="181"/>
  <c r="N25" i="181"/>
  <c r="H25" i="181"/>
  <c r="O24" i="181"/>
  <c r="N24" i="181"/>
  <c r="H24" i="181"/>
  <c r="O23" i="181"/>
  <c r="N23" i="181"/>
  <c r="H23" i="181"/>
  <c r="O22" i="181"/>
  <c r="N22" i="181"/>
  <c r="H22" i="181"/>
  <c r="O21" i="181"/>
  <c r="N21" i="181"/>
  <c r="H21" i="181"/>
  <c r="O20" i="181"/>
  <c r="N20" i="181"/>
  <c r="H20" i="181"/>
  <c r="O19" i="181"/>
  <c r="N19" i="181"/>
  <c r="H19" i="181"/>
  <c r="O18" i="181"/>
  <c r="N18" i="181"/>
  <c r="N17" i="181"/>
  <c r="O16" i="181"/>
  <c r="N16" i="181"/>
  <c r="O15" i="181"/>
  <c r="N15" i="181"/>
  <c r="H15" i="181"/>
  <c r="S14" i="181"/>
  <c r="O14" i="181"/>
  <c r="N14" i="181"/>
  <c r="O13" i="181"/>
  <c r="N13" i="181"/>
  <c r="H13" i="181"/>
  <c r="O12" i="181"/>
  <c r="N12" i="181"/>
  <c r="H12" i="181"/>
  <c r="O11" i="181"/>
  <c r="N11" i="181"/>
  <c r="H11" i="181"/>
  <c r="O10" i="181"/>
  <c r="N10" i="181"/>
  <c r="O9" i="181"/>
  <c r="N9" i="181"/>
  <c r="O8" i="181"/>
  <c r="N8" i="181"/>
  <c r="H8" i="181"/>
  <c r="O7" i="181"/>
  <c r="N7" i="181"/>
  <c r="O6" i="181"/>
  <c r="N6" i="181"/>
  <c r="H6" i="181"/>
  <c r="O5" i="181"/>
  <c r="N5" i="181"/>
  <c r="H5" i="181"/>
  <c r="O4" i="181"/>
  <c r="N4" i="181"/>
  <c r="H4" i="181"/>
  <c r="O3" i="181"/>
  <c r="N3" i="181"/>
  <c r="H3" i="181"/>
  <c r="O2" i="181"/>
  <c r="O229" i="181" s="1"/>
  <c r="B230" i="181" s="1"/>
  <c r="B235" i="181" s="1"/>
  <c r="B241" i="181" s="1"/>
  <c r="B254" i="181" s="1"/>
  <c r="N2" i="181"/>
  <c r="N229" i="181" s="1"/>
  <c r="H2" i="181"/>
  <c r="H229" i="181" s="1"/>
  <c r="B269" i="180"/>
  <c r="B260" i="180"/>
  <c r="B259" i="180"/>
  <c r="B273" i="180" s="1"/>
  <c r="B252" i="180"/>
  <c r="B253" i="180" s="1"/>
  <c r="B250" i="180"/>
  <c r="B249" i="180"/>
  <c r="B248" i="180"/>
  <c r="B251" i="180" s="1"/>
  <c r="B244" i="180"/>
  <c r="B242" i="180"/>
  <c r="B245" i="180" s="1"/>
  <c r="B238" i="180"/>
  <c r="B237" i="180"/>
  <c r="B236" i="180"/>
  <c r="B240" i="180" s="1"/>
  <c r="B233" i="180"/>
  <c r="B231" i="180"/>
  <c r="P229" i="180"/>
  <c r="K229" i="180"/>
  <c r="I229" i="180"/>
  <c r="N228" i="180"/>
  <c r="N227" i="180"/>
  <c r="N226" i="180"/>
  <c r="N225" i="180"/>
  <c r="N224" i="180"/>
  <c r="N223" i="180"/>
  <c r="N222" i="180"/>
  <c r="N221" i="180"/>
  <c r="N220" i="180"/>
  <c r="O219" i="180"/>
  <c r="N219" i="180"/>
  <c r="H219" i="180"/>
  <c r="O218" i="180"/>
  <c r="N218" i="180"/>
  <c r="H218" i="180"/>
  <c r="O217" i="180"/>
  <c r="N217" i="180"/>
  <c r="H217" i="180"/>
  <c r="O216" i="180"/>
  <c r="N216" i="180"/>
  <c r="H216" i="180"/>
  <c r="O215" i="180"/>
  <c r="N215" i="180"/>
  <c r="H215" i="180"/>
  <c r="O214" i="180"/>
  <c r="N214" i="180"/>
  <c r="O213" i="180"/>
  <c r="N213" i="180"/>
  <c r="H213" i="180"/>
  <c r="O212" i="180"/>
  <c r="N212" i="180"/>
  <c r="H212" i="180"/>
  <c r="O211" i="180"/>
  <c r="N211" i="180"/>
  <c r="H211" i="180"/>
  <c r="O210" i="180"/>
  <c r="N210" i="180"/>
  <c r="H210" i="180"/>
  <c r="O209" i="180"/>
  <c r="N209" i="180"/>
  <c r="H209" i="180"/>
  <c r="O208" i="180"/>
  <c r="N208" i="180"/>
  <c r="H208" i="180"/>
  <c r="O207" i="180"/>
  <c r="N207" i="180"/>
  <c r="H207" i="180"/>
  <c r="O206" i="180"/>
  <c r="N206" i="180"/>
  <c r="H206" i="180"/>
  <c r="O205" i="180"/>
  <c r="N205" i="180"/>
  <c r="H205" i="180"/>
  <c r="O204" i="180"/>
  <c r="N204" i="180"/>
  <c r="H204" i="180"/>
  <c r="O203" i="180"/>
  <c r="N203" i="180"/>
  <c r="H203" i="180"/>
  <c r="O202" i="180"/>
  <c r="N202" i="180"/>
  <c r="H202" i="180"/>
  <c r="O201" i="180"/>
  <c r="N201" i="180"/>
  <c r="H201" i="180"/>
  <c r="O200" i="180"/>
  <c r="N200" i="180"/>
  <c r="H200" i="180"/>
  <c r="O199" i="180"/>
  <c r="N199" i="180"/>
  <c r="H199" i="180"/>
  <c r="O198" i="180"/>
  <c r="N198" i="180"/>
  <c r="H198" i="180"/>
  <c r="O197" i="180"/>
  <c r="N197" i="180"/>
  <c r="H197" i="180"/>
  <c r="O196" i="180"/>
  <c r="N196" i="180"/>
  <c r="H196" i="180"/>
  <c r="O195" i="180"/>
  <c r="N195" i="180"/>
  <c r="H195" i="180"/>
  <c r="O194" i="180"/>
  <c r="N194" i="180"/>
  <c r="H194" i="180"/>
  <c r="O193" i="180"/>
  <c r="N193" i="180"/>
  <c r="H193" i="180"/>
  <c r="O192" i="180"/>
  <c r="N192" i="180"/>
  <c r="O191" i="180"/>
  <c r="N191" i="180"/>
  <c r="H191" i="180"/>
  <c r="O190" i="180"/>
  <c r="N190" i="180"/>
  <c r="H190" i="180"/>
  <c r="O189" i="180"/>
  <c r="N189" i="180"/>
  <c r="H189" i="180"/>
  <c r="O188" i="180"/>
  <c r="N188" i="180"/>
  <c r="H188" i="180"/>
  <c r="O187" i="180"/>
  <c r="N187" i="180"/>
  <c r="H187" i="180"/>
  <c r="O186" i="180"/>
  <c r="N186" i="180"/>
  <c r="H186" i="180"/>
  <c r="O185" i="180"/>
  <c r="N185" i="180"/>
  <c r="O184" i="180"/>
  <c r="N184" i="180"/>
  <c r="O183" i="180"/>
  <c r="N183" i="180"/>
  <c r="O182" i="180"/>
  <c r="N182" i="180"/>
  <c r="O181" i="180"/>
  <c r="N181" i="180"/>
  <c r="H181" i="180"/>
  <c r="O180" i="180"/>
  <c r="N180" i="180"/>
  <c r="H180" i="180"/>
  <c r="O179" i="180"/>
  <c r="N179" i="180"/>
  <c r="H179" i="180"/>
  <c r="O178" i="180"/>
  <c r="N178" i="180"/>
  <c r="H178" i="180"/>
  <c r="O177" i="180"/>
  <c r="N177" i="180"/>
  <c r="H177" i="180"/>
  <c r="O176" i="180"/>
  <c r="N176" i="180"/>
  <c r="H176" i="180"/>
  <c r="O175" i="180"/>
  <c r="N175" i="180"/>
  <c r="H175" i="180"/>
  <c r="O174" i="180"/>
  <c r="N174" i="180"/>
  <c r="H174" i="180"/>
  <c r="O173" i="180"/>
  <c r="N173" i="180"/>
  <c r="H173" i="180"/>
  <c r="O172" i="180"/>
  <c r="N172" i="180"/>
  <c r="H172" i="180"/>
  <c r="O171" i="180"/>
  <c r="N171" i="180"/>
  <c r="H171" i="180"/>
  <c r="O170" i="180"/>
  <c r="N170" i="180"/>
  <c r="H170" i="180"/>
  <c r="O169" i="180"/>
  <c r="N169" i="180"/>
  <c r="H169" i="180"/>
  <c r="O168" i="180"/>
  <c r="N168" i="180"/>
  <c r="O167" i="180"/>
  <c r="N167" i="180"/>
  <c r="H167" i="180"/>
  <c r="O166" i="180"/>
  <c r="N166" i="180"/>
  <c r="H166" i="180"/>
  <c r="O165" i="180"/>
  <c r="N165" i="180"/>
  <c r="H165" i="180"/>
  <c r="O164" i="180"/>
  <c r="N164" i="180"/>
  <c r="H164" i="180"/>
  <c r="O163" i="180"/>
  <c r="N163" i="180"/>
  <c r="H163" i="180"/>
  <c r="O162" i="180"/>
  <c r="N162" i="180"/>
  <c r="H162" i="180"/>
  <c r="O161" i="180"/>
  <c r="N161" i="180"/>
  <c r="H161" i="180"/>
  <c r="N160" i="180"/>
  <c r="H160" i="180"/>
  <c r="O159" i="180"/>
  <c r="N159" i="180"/>
  <c r="N158" i="180"/>
  <c r="O157" i="180"/>
  <c r="N157" i="180"/>
  <c r="H157" i="180"/>
  <c r="O156" i="180"/>
  <c r="N156" i="180"/>
  <c r="H156" i="180"/>
  <c r="O155" i="180"/>
  <c r="N155" i="180"/>
  <c r="H155" i="180"/>
  <c r="O154" i="180"/>
  <c r="N154" i="180"/>
  <c r="H154" i="180"/>
  <c r="O153" i="180"/>
  <c r="N153" i="180"/>
  <c r="H153" i="180"/>
  <c r="O152" i="180"/>
  <c r="N152" i="180"/>
  <c r="H152" i="180"/>
  <c r="O151" i="180"/>
  <c r="N151" i="180"/>
  <c r="H151" i="180"/>
  <c r="O150" i="180"/>
  <c r="N150" i="180"/>
  <c r="H150" i="180"/>
  <c r="O149" i="180"/>
  <c r="N149" i="180"/>
  <c r="H149" i="180"/>
  <c r="O148" i="180"/>
  <c r="N148" i="180"/>
  <c r="H148" i="180"/>
  <c r="O147" i="180"/>
  <c r="N147" i="180"/>
  <c r="H147" i="180"/>
  <c r="O146" i="180"/>
  <c r="N146" i="180"/>
  <c r="H146" i="180"/>
  <c r="O145" i="180"/>
  <c r="N145" i="180"/>
  <c r="H145" i="180"/>
  <c r="O144" i="180"/>
  <c r="N144" i="180"/>
  <c r="H144" i="180"/>
  <c r="O143" i="180"/>
  <c r="N143" i="180"/>
  <c r="H143" i="180"/>
  <c r="O142" i="180"/>
  <c r="N142" i="180"/>
  <c r="H142" i="180"/>
  <c r="O141" i="180"/>
  <c r="N141" i="180"/>
  <c r="H141" i="180"/>
  <c r="O140" i="180"/>
  <c r="N140" i="180"/>
  <c r="H140" i="180"/>
  <c r="O139" i="180"/>
  <c r="N139" i="180"/>
  <c r="H139" i="180"/>
  <c r="O138" i="180"/>
  <c r="N138" i="180"/>
  <c r="H138" i="180"/>
  <c r="O137" i="180"/>
  <c r="N137" i="180"/>
  <c r="H137" i="180"/>
  <c r="O136" i="180"/>
  <c r="N136" i="180"/>
  <c r="H136" i="180"/>
  <c r="O135" i="180"/>
  <c r="N135" i="180"/>
  <c r="H135" i="180"/>
  <c r="O134" i="180"/>
  <c r="N134" i="180"/>
  <c r="H134" i="180"/>
  <c r="O133" i="180"/>
  <c r="N133" i="180"/>
  <c r="H133" i="180"/>
  <c r="O132" i="180"/>
  <c r="N132" i="180"/>
  <c r="H132" i="180"/>
  <c r="O131" i="180"/>
  <c r="N131" i="180"/>
  <c r="H131" i="180"/>
  <c r="O130" i="180"/>
  <c r="N130" i="180"/>
  <c r="H130" i="180"/>
  <c r="O129" i="180"/>
  <c r="N129" i="180"/>
  <c r="H129" i="180"/>
  <c r="O128" i="180"/>
  <c r="N128" i="180"/>
  <c r="H128" i="180"/>
  <c r="O127" i="180"/>
  <c r="N127" i="180"/>
  <c r="H127" i="180"/>
  <c r="O126" i="180"/>
  <c r="N126" i="180"/>
  <c r="H126" i="180"/>
  <c r="O125" i="180"/>
  <c r="N125" i="180"/>
  <c r="H125" i="180"/>
  <c r="O124" i="180"/>
  <c r="N124" i="180"/>
  <c r="H124" i="180"/>
  <c r="O123" i="180"/>
  <c r="N123" i="180"/>
  <c r="H123" i="180"/>
  <c r="O122" i="180"/>
  <c r="N122" i="180"/>
  <c r="H122" i="180"/>
  <c r="O121" i="180"/>
  <c r="N121" i="180"/>
  <c r="H121" i="180"/>
  <c r="O120" i="180"/>
  <c r="N120" i="180"/>
  <c r="H120" i="180"/>
  <c r="O119" i="180"/>
  <c r="N119" i="180"/>
  <c r="H119" i="180"/>
  <c r="O118" i="180"/>
  <c r="N118" i="180"/>
  <c r="H118" i="180"/>
  <c r="O117" i="180"/>
  <c r="N117" i="180"/>
  <c r="H117" i="180"/>
  <c r="O116" i="180"/>
  <c r="N116" i="180"/>
  <c r="H116" i="180"/>
  <c r="O115" i="180"/>
  <c r="N115" i="180"/>
  <c r="H115" i="180"/>
  <c r="O114" i="180"/>
  <c r="N114" i="180"/>
  <c r="H114" i="180"/>
  <c r="O113" i="180"/>
  <c r="N113" i="180"/>
  <c r="H113" i="180"/>
  <c r="O112" i="180"/>
  <c r="N112" i="180"/>
  <c r="H112" i="180"/>
  <c r="O111" i="180"/>
  <c r="N111" i="180"/>
  <c r="H111" i="180"/>
  <c r="O110" i="180"/>
  <c r="N110" i="180"/>
  <c r="H110" i="180"/>
  <c r="O109" i="180"/>
  <c r="N109" i="180"/>
  <c r="H109" i="180"/>
  <c r="O108" i="180"/>
  <c r="N108" i="180"/>
  <c r="H108" i="180"/>
  <c r="O107" i="180"/>
  <c r="N107" i="180"/>
  <c r="H107" i="180"/>
  <c r="O106" i="180"/>
  <c r="N106" i="180"/>
  <c r="H106" i="180"/>
  <c r="O105" i="180"/>
  <c r="N105" i="180"/>
  <c r="H105" i="180"/>
  <c r="O104" i="180"/>
  <c r="N104" i="180"/>
  <c r="H104" i="180"/>
  <c r="O103" i="180"/>
  <c r="N103" i="180"/>
  <c r="H103" i="180"/>
  <c r="O102" i="180"/>
  <c r="N102" i="180"/>
  <c r="H102" i="180"/>
  <c r="O101" i="180"/>
  <c r="N101" i="180"/>
  <c r="H101" i="180"/>
  <c r="O100" i="180"/>
  <c r="N100" i="180"/>
  <c r="H100" i="180"/>
  <c r="O99" i="180"/>
  <c r="N99" i="180"/>
  <c r="H99" i="180"/>
  <c r="O98" i="180"/>
  <c r="N98" i="180"/>
  <c r="H98" i="180"/>
  <c r="O97" i="180"/>
  <c r="N97" i="180"/>
  <c r="H97" i="180"/>
  <c r="O96" i="180"/>
  <c r="N96" i="180"/>
  <c r="H96" i="180"/>
  <c r="O95" i="180"/>
  <c r="N95" i="180"/>
  <c r="H95" i="180"/>
  <c r="O94" i="180"/>
  <c r="N94" i="180"/>
  <c r="H94" i="180"/>
  <c r="O93" i="180"/>
  <c r="N93" i="180"/>
  <c r="H93" i="180"/>
  <c r="N92" i="180"/>
  <c r="H92" i="180"/>
  <c r="N91" i="180"/>
  <c r="H91" i="180"/>
  <c r="N90" i="180"/>
  <c r="H90" i="180"/>
  <c r="O89" i="180"/>
  <c r="N89" i="180"/>
  <c r="H89" i="180"/>
  <c r="O88" i="180"/>
  <c r="N88" i="180"/>
  <c r="H88" i="180"/>
  <c r="O87" i="180"/>
  <c r="N87" i="180"/>
  <c r="H87" i="180"/>
  <c r="O86" i="180"/>
  <c r="N86" i="180"/>
  <c r="H86" i="180"/>
  <c r="O85" i="180"/>
  <c r="N85" i="180"/>
  <c r="H85" i="180"/>
  <c r="O84" i="180"/>
  <c r="N84" i="180"/>
  <c r="H84" i="180"/>
  <c r="O83" i="180"/>
  <c r="N83" i="180"/>
  <c r="H83" i="180"/>
  <c r="O82" i="180"/>
  <c r="N82" i="180"/>
  <c r="O81" i="180"/>
  <c r="N81" i="180"/>
  <c r="O80" i="180"/>
  <c r="N80" i="180"/>
  <c r="H80" i="180"/>
  <c r="O79" i="180"/>
  <c r="N79" i="180"/>
  <c r="H79" i="180"/>
  <c r="O78" i="180"/>
  <c r="N78" i="180"/>
  <c r="O77" i="180"/>
  <c r="N77" i="180"/>
  <c r="H77" i="180"/>
  <c r="O76" i="180"/>
  <c r="N76" i="180"/>
  <c r="H76" i="180"/>
  <c r="O75" i="180"/>
  <c r="N75" i="180"/>
  <c r="H75" i="180"/>
  <c r="O74" i="180"/>
  <c r="N74" i="180"/>
  <c r="H74" i="180"/>
  <c r="O73" i="180"/>
  <c r="N73" i="180"/>
  <c r="H73" i="180"/>
  <c r="O72" i="180"/>
  <c r="N72" i="180"/>
  <c r="H72" i="180"/>
  <c r="O71" i="180"/>
  <c r="N71" i="180"/>
  <c r="H71" i="180"/>
  <c r="O70" i="180"/>
  <c r="N70" i="180"/>
  <c r="H70" i="180"/>
  <c r="T69" i="180"/>
  <c r="T96" i="180" s="1"/>
  <c r="O69" i="180"/>
  <c r="N69" i="180"/>
  <c r="H69" i="180"/>
  <c r="O68" i="180"/>
  <c r="N68" i="180"/>
  <c r="H68" i="180"/>
  <c r="O67" i="180"/>
  <c r="N67" i="180"/>
  <c r="H67" i="180"/>
  <c r="O66" i="180"/>
  <c r="N66" i="180"/>
  <c r="H66" i="180"/>
  <c r="O65" i="180"/>
  <c r="N65" i="180"/>
  <c r="H65" i="180"/>
  <c r="O64" i="180"/>
  <c r="N64" i="180"/>
  <c r="H64" i="180"/>
  <c r="O63" i="180"/>
  <c r="N63" i="180"/>
  <c r="H63" i="180"/>
  <c r="O62" i="180"/>
  <c r="N62" i="180"/>
  <c r="H62" i="180"/>
  <c r="O61" i="180"/>
  <c r="N61" i="180"/>
  <c r="H61" i="180"/>
  <c r="O60" i="180"/>
  <c r="N60" i="180"/>
  <c r="H60" i="180"/>
  <c r="O59" i="180"/>
  <c r="N59" i="180"/>
  <c r="H59" i="180"/>
  <c r="O58" i="180"/>
  <c r="N58" i="180"/>
  <c r="H58" i="180"/>
  <c r="O57" i="180"/>
  <c r="N57" i="180"/>
  <c r="H57" i="180"/>
  <c r="O56" i="180"/>
  <c r="N56" i="180"/>
  <c r="H56" i="180"/>
  <c r="O55" i="180"/>
  <c r="N55" i="180"/>
  <c r="O54" i="180"/>
  <c r="N54" i="180"/>
  <c r="H54" i="180"/>
  <c r="O53" i="180"/>
  <c r="N53" i="180"/>
  <c r="H53" i="180"/>
  <c r="O52" i="180"/>
  <c r="N52" i="180"/>
  <c r="O51" i="180"/>
  <c r="N51" i="180"/>
  <c r="O50" i="180"/>
  <c r="N50" i="180"/>
  <c r="H50" i="180"/>
  <c r="O49" i="180"/>
  <c r="N49" i="180"/>
  <c r="H49" i="180"/>
  <c r="O48" i="180"/>
  <c r="N48" i="180"/>
  <c r="H48" i="180"/>
  <c r="O47" i="180"/>
  <c r="N47" i="180"/>
  <c r="H47" i="180"/>
  <c r="O46" i="180"/>
  <c r="N46" i="180"/>
  <c r="H46" i="180"/>
  <c r="O45" i="180"/>
  <c r="N45" i="180"/>
  <c r="H45" i="180"/>
  <c r="O44" i="180"/>
  <c r="N44" i="180"/>
  <c r="H44" i="180"/>
  <c r="O43" i="180"/>
  <c r="N43" i="180"/>
  <c r="H43" i="180"/>
  <c r="O42" i="180"/>
  <c r="N42" i="180"/>
  <c r="H42" i="180"/>
  <c r="O41" i="180"/>
  <c r="N41" i="180"/>
  <c r="H41" i="180"/>
  <c r="O40" i="180"/>
  <c r="N40" i="180"/>
  <c r="H40" i="180"/>
  <c r="O39" i="180"/>
  <c r="N39" i="180"/>
  <c r="H39" i="180"/>
  <c r="O38" i="180"/>
  <c r="N38" i="180"/>
  <c r="H38" i="180"/>
  <c r="O37" i="180"/>
  <c r="N37" i="180"/>
  <c r="H37" i="180"/>
  <c r="O36" i="180"/>
  <c r="N36" i="180"/>
  <c r="H36" i="180"/>
  <c r="O35" i="180"/>
  <c r="N35" i="180"/>
  <c r="H35" i="180"/>
  <c r="N34" i="180"/>
  <c r="H34" i="180"/>
  <c r="O33" i="180"/>
  <c r="N33" i="180"/>
  <c r="O32" i="180"/>
  <c r="N32" i="180"/>
  <c r="H32" i="180"/>
  <c r="O31" i="180"/>
  <c r="N31" i="180"/>
  <c r="H31" i="180"/>
  <c r="O30" i="180"/>
  <c r="N30" i="180"/>
  <c r="H30" i="180"/>
  <c r="O29" i="180"/>
  <c r="N29" i="180"/>
  <c r="H29" i="180"/>
  <c r="O28" i="180"/>
  <c r="N28" i="180"/>
  <c r="H28" i="180"/>
  <c r="O27" i="180"/>
  <c r="N27" i="180"/>
  <c r="H27" i="180"/>
  <c r="O26" i="180"/>
  <c r="N26" i="180"/>
  <c r="H26" i="180"/>
  <c r="O25" i="180"/>
  <c r="N25" i="180"/>
  <c r="H25" i="180"/>
  <c r="O24" i="180"/>
  <c r="N24" i="180"/>
  <c r="H24" i="180"/>
  <c r="O23" i="180"/>
  <c r="N23" i="180"/>
  <c r="H23" i="180"/>
  <c r="O22" i="180"/>
  <c r="N22" i="180"/>
  <c r="H22" i="180"/>
  <c r="O21" i="180"/>
  <c r="N21" i="180"/>
  <c r="H21" i="180"/>
  <c r="O20" i="180"/>
  <c r="N20" i="180"/>
  <c r="H20" i="180"/>
  <c r="O19" i="180"/>
  <c r="N19" i="180"/>
  <c r="H19" i="180"/>
  <c r="O18" i="180"/>
  <c r="N18" i="180"/>
  <c r="N17" i="180"/>
  <c r="O16" i="180"/>
  <c r="N16" i="180"/>
  <c r="O15" i="180"/>
  <c r="N15" i="180"/>
  <c r="H15" i="180"/>
  <c r="S14" i="180"/>
  <c r="O14" i="180"/>
  <c r="N14" i="180"/>
  <c r="O13" i="180"/>
  <c r="N13" i="180"/>
  <c r="H13" i="180"/>
  <c r="O12" i="180"/>
  <c r="N12" i="180"/>
  <c r="H12" i="180"/>
  <c r="O11" i="180"/>
  <c r="N11" i="180"/>
  <c r="H11" i="180"/>
  <c r="O10" i="180"/>
  <c r="N10" i="180"/>
  <c r="O9" i="180"/>
  <c r="N9" i="180"/>
  <c r="O8" i="180"/>
  <c r="N8" i="180"/>
  <c r="H8" i="180"/>
  <c r="O7" i="180"/>
  <c r="N7" i="180"/>
  <c r="O6" i="180"/>
  <c r="N6" i="180"/>
  <c r="H6" i="180"/>
  <c r="O5" i="180"/>
  <c r="N5" i="180"/>
  <c r="H5" i="180"/>
  <c r="O4" i="180"/>
  <c r="N4" i="180"/>
  <c r="H4" i="180"/>
  <c r="O3" i="180"/>
  <c r="N3" i="180"/>
  <c r="H3" i="180"/>
  <c r="O2" i="180"/>
  <c r="O229" i="180" s="1"/>
  <c r="B230" i="180" s="1"/>
  <c r="B235" i="180" s="1"/>
  <c r="B241" i="180" s="1"/>
  <c r="B254" i="180" s="1"/>
  <c r="N2" i="180"/>
  <c r="N229" i="180" s="1"/>
  <c r="H2" i="180"/>
  <c r="H229" i="180" s="1"/>
  <c r="B269" i="179"/>
  <c r="B260" i="179"/>
  <c r="B259" i="179"/>
  <c r="B273" i="179" s="1"/>
  <c r="B252" i="179"/>
  <c r="B253" i="179" s="1"/>
  <c r="B250" i="179"/>
  <c r="B249" i="179"/>
  <c r="B248" i="179"/>
  <c r="B251" i="179" s="1"/>
  <c r="B244" i="179"/>
  <c r="B242" i="179"/>
  <c r="B245" i="179" s="1"/>
  <c r="B238" i="179"/>
  <c r="B237" i="179"/>
  <c r="B236" i="179"/>
  <c r="B240" i="179" s="1"/>
  <c r="B233" i="179"/>
  <c r="B231" i="179"/>
  <c r="P229" i="179"/>
  <c r="K229" i="179"/>
  <c r="I229" i="179"/>
  <c r="N228" i="179"/>
  <c r="N227" i="179"/>
  <c r="N226" i="179"/>
  <c r="N225" i="179"/>
  <c r="N224" i="179"/>
  <c r="N223" i="179"/>
  <c r="N222" i="179"/>
  <c r="N221" i="179"/>
  <c r="N220" i="179"/>
  <c r="O219" i="179"/>
  <c r="N219" i="179"/>
  <c r="H219" i="179"/>
  <c r="O218" i="179"/>
  <c r="N218" i="179"/>
  <c r="H218" i="179"/>
  <c r="O217" i="179"/>
  <c r="N217" i="179"/>
  <c r="H217" i="179"/>
  <c r="O216" i="179"/>
  <c r="N216" i="179"/>
  <c r="H216" i="179"/>
  <c r="O215" i="179"/>
  <c r="N215" i="179"/>
  <c r="H215" i="179"/>
  <c r="O214" i="179"/>
  <c r="N214" i="179"/>
  <c r="O213" i="179"/>
  <c r="N213" i="179"/>
  <c r="H213" i="179"/>
  <c r="O212" i="179"/>
  <c r="N212" i="179"/>
  <c r="H212" i="179"/>
  <c r="O211" i="179"/>
  <c r="N211" i="179"/>
  <c r="H211" i="179"/>
  <c r="O210" i="179"/>
  <c r="N210" i="179"/>
  <c r="H210" i="179"/>
  <c r="O209" i="179"/>
  <c r="N209" i="179"/>
  <c r="H209" i="179"/>
  <c r="O208" i="179"/>
  <c r="N208" i="179"/>
  <c r="H208" i="179"/>
  <c r="O207" i="179"/>
  <c r="N207" i="179"/>
  <c r="H207" i="179"/>
  <c r="O206" i="179"/>
  <c r="N206" i="179"/>
  <c r="H206" i="179"/>
  <c r="O205" i="179"/>
  <c r="N205" i="179"/>
  <c r="H205" i="179"/>
  <c r="O204" i="179"/>
  <c r="N204" i="179"/>
  <c r="H204" i="179"/>
  <c r="O203" i="179"/>
  <c r="N203" i="179"/>
  <c r="H203" i="179"/>
  <c r="O202" i="179"/>
  <c r="N202" i="179"/>
  <c r="H202" i="179"/>
  <c r="O201" i="179"/>
  <c r="N201" i="179"/>
  <c r="H201" i="179"/>
  <c r="O200" i="179"/>
  <c r="N200" i="179"/>
  <c r="H200" i="179"/>
  <c r="O199" i="179"/>
  <c r="N199" i="179"/>
  <c r="H199" i="179"/>
  <c r="O198" i="179"/>
  <c r="N198" i="179"/>
  <c r="H198" i="179"/>
  <c r="O197" i="179"/>
  <c r="N197" i="179"/>
  <c r="H197" i="179"/>
  <c r="O196" i="179"/>
  <c r="N196" i="179"/>
  <c r="H196" i="179"/>
  <c r="O195" i="179"/>
  <c r="N195" i="179"/>
  <c r="H195" i="179"/>
  <c r="O194" i="179"/>
  <c r="N194" i="179"/>
  <c r="H194" i="179"/>
  <c r="O193" i="179"/>
  <c r="N193" i="179"/>
  <c r="H193" i="179"/>
  <c r="O192" i="179"/>
  <c r="N192" i="179"/>
  <c r="O191" i="179"/>
  <c r="N191" i="179"/>
  <c r="H191" i="179"/>
  <c r="O190" i="179"/>
  <c r="N190" i="179"/>
  <c r="H190" i="179"/>
  <c r="O189" i="179"/>
  <c r="N189" i="179"/>
  <c r="H189" i="179"/>
  <c r="O188" i="179"/>
  <c r="N188" i="179"/>
  <c r="H188" i="179"/>
  <c r="O187" i="179"/>
  <c r="N187" i="179"/>
  <c r="H187" i="179"/>
  <c r="O186" i="179"/>
  <c r="N186" i="179"/>
  <c r="H186" i="179"/>
  <c r="O185" i="179"/>
  <c r="N185" i="179"/>
  <c r="H185" i="179"/>
  <c r="O184" i="179"/>
  <c r="N184" i="179"/>
  <c r="O183" i="179"/>
  <c r="N183" i="179"/>
  <c r="O182" i="179"/>
  <c r="N182" i="179"/>
  <c r="O181" i="179"/>
  <c r="N181" i="179"/>
  <c r="H181" i="179"/>
  <c r="O180" i="179"/>
  <c r="N180" i="179"/>
  <c r="H180" i="179"/>
  <c r="O179" i="179"/>
  <c r="N179" i="179"/>
  <c r="H179" i="179"/>
  <c r="O178" i="179"/>
  <c r="N178" i="179"/>
  <c r="H178" i="179"/>
  <c r="O177" i="179"/>
  <c r="N177" i="179"/>
  <c r="H177" i="179"/>
  <c r="O176" i="179"/>
  <c r="N176" i="179"/>
  <c r="H176" i="179"/>
  <c r="O175" i="179"/>
  <c r="N175" i="179"/>
  <c r="H175" i="179"/>
  <c r="O174" i="179"/>
  <c r="N174" i="179"/>
  <c r="H174" i="179"/>
  <c r="O173" i="179"/>
  <c r="N173" i="179"/>
  <c r="H173" i="179"/>
  <c r="O172" i="179"/>
  <c r="N172" i="179"/>
  <c r="H172" i="179"/>
  <c r="O171" i="179"/>
  <c r="N171" i="179"/>
  <c r="H171" i="179"/>
  <c r="O170" i="179"/>
  <c r="N170" i="179"/>
  <c r="H170" i="179"/>
  <c r="O169" i="179"/>
  <c r="N169" i="179"/>
  <c r="H169" i="179"/>
  <c r="O168" i="179"/>
  <c r="N168" i="179"/>
  <c r="O167" i="179"/>
  <c r="N167" i="179"/>
  <c r="H167" i="179"/>
  <c r="O166" i="179"/>
  <c r="N166" i="179"/>
  <c r="H166" i="179"/>
  <c r="O165" i="179"/>
  <c r="N165" i="179"/>
  <c r="H165" i="179"/>
  <c r="O164" i="179"/>
  <c r="N164" i="179"/>
  <c r="H164" i="179"/>
  <c r="O163" i="179"/>
  <c r="N163" i="179"/>
  <c r="H163" i="179"/>
  <c r="O162" i="179"/>
  <c r="N162" i="179"/>
  <c r="H162" i="179"/>
  <c r="O161" i="179"/>
  <c r="N161" i="179"/>
  <c r="H161" i="179"/>
  <c r="N160" i="179"/>
  <c r="H160" i="179"/>
  <c r="O159" i="179"/>
  <c r="N159" i="179"/>
  <c r="N158" i="179"/>
  <c r="O157" i="179"/>
  <c r="N157" i="179"/>
  <c r="H157" i="179"/>
  <c r="O156" i="179"/>
  <c r="N156" i="179"/>
  <c r="H156" i="179"/>
  <c r="O155" i="179"/>
  <c r="N155" i="179"/>
  <c r="H155" i="179"/>
  <c r="O154" i="179"/>
  <c r="N154" i="179"/>
  <c r="H154" i="179"/>
  <c r="O153" i="179"/>
  <c r="N153" i="179"/>
  <c r="H153" i="179"/>
  <c r="O152" i="179"/>
  <c r="N152" i="179"/>
  <c r="H152" i="179"/>
  <c r="O151" i="179"/>
  <c r="N151" i="179"/>
  <c r="H151" i="179"/>
  <c r="O150" i="179"/>
  <c r="N150" i="179"/>
  <c r="H150" i="179"/>
  <c r="O149" i="179"/>
  <c r="N149" i="179"/>
  <c r="H149" i="179"/>
  <c r="O148" i="179"/>
  <c r="N148" i="179"/>
  <c r="H148" i="179"/>
  <c r="O147" i="179"/>
  <c r="N147" i="179"/>
  <c r="H147" i="179"/>
  <c r="O146" i="179"/>
  <c r="N146" i="179"/>
  <c r="H146" i="179"/>
  <c r="O145" i="179"/>
  <c r="N145" i="179"/>
  <c r="H145" i="179"/>
  <c r="O144" i="179"/>
  <c r="N144" i="179"/>
  <c r="H144" i="179"/>
  <c r="O143" i="179"/>
  <c r="N143" i="179"/>
  <c r="H143" i="179"/>
  <c r="O142" i="179"/>
  <c r="N142" i="179"/>
  <c r="H142" i="179"/>
  <c r="O141" i="179"/>
  <c r="N141" i="179"/>
  <c r="H141" i="179"/>
  <c r="O140" i="179"/>
  <c r="N140" i="179"/>
  <c r="H140" i="179"/>
  <c r="O139" i="179"/>
  <c r="N139" i="179"/>
  <c r="H139" i="179"/>
  <c r="O138" i="179"/>
  <c r="N138" i="179"/>
  <c r="H138" i="179"/>
  <c r="O137" i="179"/>
  <c r="N137" i="179"/>
  <c r="H137" i="179"/>
  <c r="O136" i="179"/>
  <c r="N136" i="179"/>
  <c r="H136" i="179"/>
  <c r="O135" i="179"/>
  <c r="N135" i="179"/>
  <c r="H135" i="179"/>
  <c r="O134" i="179"/>
  <c r="N134" i="179"/>
  <c r="H134" i="179"/>
  <c r="O133" i="179"/>
  <c r="N133" i="179"/>
  <c r="H133" i="179"/>
  <c r="O132" i="179"/>
  <c r="N132" i="179"/>
  <c r="H132" i="179"/>
  <c r="O131" i="179"/>
  <c r="N131" i="179"/>
  <c r="H131" i="179"/>
  <c r="O130" i="179"/>
  <c r="N130" i="179"/>
  <c r="H130" i="179"/>
  <c r="O129" i="179"/>
  <c r="N129" i="179"/>
  <c r="H129" i="179"/>
  <c r="O128" i="179"/>
  <c r="N128" i="179"/>
  <c r="H128" i="179"/>
  <c r="O127" i="179"/>
  <c r="N127" i="179"/>
  <c r="H127" i="179"/>
  <c r="O126" i="179"/>
  <c r="N126" i="179"/>
  <c r="H126" i="179"/>
  <c r="O125" i="179"/>
  <c r="N125" i="179"/>
  <c r="H125" i="179"/>
  <c r="O124" i="179"/>
  <c r="N124" i="179"/>
  <c r="H124" i="179"/>
  <c r="O123" i="179"/>
  <c r="N123" i="179"/>
  <c r="H123" i="179"/>
  <c r="O122" i="179"/>
  <c r="N122" i="179"/>
  <c r="H122" i="179"/>
  <c r="O121" i="179"/>
  <c r="N121" i="179"/>
  <c r="H121" i="179"/>
  <c r="O120" i="179"/>
  <c r="N120" i="179"/>
  <c r="H120" i="179"/>
  <c r="O119" i="179"/>
  <c r="N119" i="179"/>
  <c r="H119" i="179"/>
  <c r="O118" i="179"/>
  <c r="N118" i="179"/>
  <c r="H118" i="179"/>
  <c r="O117" i="179"/>
  <c r="N117" i="179"/>
  <c r="H117" i="179"/>
  <c r="O116" i="179"/>
  <c r="N116" i="179"/>
  <c r="H116" i="179"/>
  <c r="O115" i="179"/>
  <c r="N115" i="179"/>
  <c r="H115" i="179"/>
  <c r="O114" i="179"/>
  <c r="N114" i="179"/>
  <c r="H114" i="179"/>
  <c r="O113" i="179"/>
  <c r="N113" i="179"/>
  <c r="H113" i="179"/>
  <c r="O112" i="179"/>
  <c r="N112" i="179"/>
  <c r="H112" i="179"/>
  <c r="O111" i="179"/>
  <c r="N111" i="179"/>
  <c r="H111" i="179"/>
  <c r="O110" i="179"/>
  <c r="N110" i="179"/>
  <c r="H110" i="179"/>
  <c r="O109" i="179"/>
  <c r="N109" i="179"/>
  <c r="H109" i="179"/>
  <c r="O108" i="179"/>
  <c r="N108" i="179"/>
  <c r="H108" i="179"/>
  <c r="O107" i="179"/>
  <c r="N107" i="179"/>
  <c r="H107" i="179"/>
  <c r="O106" i="179"/>
  <c r="N106" i="179"/>
  <c r="H106" i="179"/>
  <c r="O105" i="179"/>
  <c r="N105" i="179"/>
  <c r="H105" i="179"/>
  <c r="O104" i="179"/>
  <c r="N104" i="179"/>
  <c r="H104" i="179"/>
  <c r="O103" i="179"/>
  <c r="N103" i="179"/>
  <c r="H103" i="179"/>
  <c r="O102" i="179"/>
  <c r="N102" i="179"/>
  <c r="H102" i="179"/>
  <c r="O101" i="179"/>
  <c r="N101" i="179"/>
  <c r="H101" i="179"/>
  <c r="O100" i="179"/>
  <c r="N100" i="179"/>
  <c r="H100" i="179"/>
  <c r="O99" i="179"/>
  <c r="N99" i="179"/>
  <c r="H99" i="179"/>
  <c r="O98" i="179"/>
  <c r="N98" i="179"/>
  <c r="H98" i="179"/>
  <c r="O97" i="179"/>
  <c r="N97" i="179"/>
  <c r="H97" i="179"/>
  <c r="O96" i="179"/>
  <c r="N96" i="179"/>
  <c r="H96" i="179"/>
  <c r="O95" i="179"/>
  <c r="N95" i="179"/>
  <c r="H95" i="179"/>
  <c r="O94" i="179"/>
  <c r="N94" i="179"/>
  <c r="H94" i="179"/>
  <c r="O93" i="179"/>
  <c r="N93" i="179"/>
  <c r="H93" i="179"/>
  <c r="N92" i="179"/>
  <c r="H92" i="179"/>
  <c r="N91" i="179"/>
  <c r="H91" i="179"/>
  <c r="N90" i="179"/>
  <c r="H90" i="179"/>
  <c r="O89" i="179"/>
  <c r="N89" i="179"/>
  <c r="H89" i="179"/>
  <c r="O88" i="179"/>
  <c r="N88" i="179"/>
  <c r="H88" i="179"/>
  <c r="O87" i="179"/>
  <c r="N87" i="179"/>
  <c r="H87" i="179"/>
  <c r="O86" i="179"/>
  <c r="N86" i="179"/>
  <c r="H86" i="179"/>
  <c r="O85" i="179"/>
  <c r="N85" i="179"/>
  <c r="H85" i="179"/>
  <c r="O84" i="179"/>
  <c r="N84" i="179"/>
  <c r="H84" i="179"/>
  <c r="O83" i="179"/>
  <c r="N83" i="179"/>
  <c r="H83" i="179"/>
  <c r="O82" i="179"/>
  <c r="N82" i="179"/>
  <c r="O81" i="179"/>
  <c r="N81" i="179"/>
  <c r="O80" i="179"/>
  <c r="N80" i="179"/>
  <c r="H80" i="179"/>
  <c r="O79" i="179"/>
  <c r="N79" i="179"/>
  <c r="H79" i="179"/>
  <c r="O78" i="179"/>
  <c r="N78" i="179"/>
  <c r="O77" i="179"/>
  <c r="N77" i="179"/>
  <c r="H77" i="179"/>
  <c r="O76" i="179"/>
  <c r="N76" i="179"/>
  <c r="H76" i="179"/>
  <c r="O75" i="179"/>
  <c r="N75" i="179"/>
  <c r="H75" i="179"/>
  <c r="O74" i="179"/>
  <c r="N74" i="179"/>
  <c r="H74" i="179"/>
  <c r="O73" i="179"/>
  <c r="N73" i="179"/>
  <c r="H73" i="179"/>
  <c r="O72" i="179"/>
  <c r="N72" i="179"/>
  <c r="H72" i="179"/>
  <c r="O71" i="179"/>
  <c r="N71" i="179"/>
  <c r="H71" i="179"/>
  <c r="O70" i="179"/>
  <c r="N70" i="179"/>
  <c r="H70" i="179"/>
  <c r="T69" i="179"/>
  <c r="T96" i="179" s="1"/>
  <c r="O69" i="179"/>
  <c r="N69" i="179"/>
  <c r="H69" i="179"/>
  <c r="O68" i="179"/>
  <c r="N68" i="179"/>
  <c r="H68" i="179"/>
  <c r="O67" i="179"/>
  <c r="N67" i="179"/>
  <c r="H67" i="179"/>
  <c r="O66" i="179"/>
  <c r="N66" i="179"/>
  <c r="H66" i="179"/>
  <c r="O65" i="179"/>
  <c r="N65" i="179"/>
  <c r="H65" i="179"/>
  <c r="O64" i="179"/>
  <c r="N64" i="179"/>
  <c r="H64" i="179"/>
  <c r="O63" i="179"/>
  <c r="N63" i="179"/>
  <c r="H63" i="179"/>
  <c r="O62" i="179"/>
  <c r="N62" i="179"/>
  <c r="H62" i="179"/>
  <c r="O61" i="179"/>
  <c r="N61" i="179"/>
  <c r="H61" i="179"/>
  <c r="O60" i="179"/>
  <c r="N60" i="179"/>
  <c r="H60" i="179"/>
  <c r="O59" i="179"/>
  <c r="N59" i="179"/>
  <c r="H59" i="179"/>
  <c r="O58" i="179"/>
  <c r="N58" i="179"/>
  <c r="H58" i="179"/>
  <c r="O57" i="179"/>
  <c r="N57" i="179"/>
  <c r="H57" i="179"/>
  <c r="O56" i="179"/>
  <c r="N56" i="179"/>
  <c r="H56" i="179"/>
  <c r="O55" i="179"/>
  <c r="N55" i="179"/>
  <c r="O54" i="179"/>
  <c r="N54" i="179"/>
  <c r="H54" i="179"/>
  <c r="O53" i="179"/>
  <c r="N53" i="179"/>
  <c r="H53" i="179"/>
  <c r="O52" i="179"/>
  <c r="N52" i="179"/>
  <c r="O51" i="179"/>
  <c r="N51" i="179"/>
  <c r="O50" i="179"/>
  <c r="N50" i="179"/>
  <c r="H50" i="179"/>
  <c r="O49" i="179"/>
  <c r="N49" i="179"/>
  <c r="H49" i="179"/>
  <c r="O48" i="179"/>
  <c r="N48" i="179"/>
  <c r="H48" i="179"/>
  <c r="O47" i="179"/>
  <c r="N47" i="179"/>
  <c r="H47" i="179"/>
  <c r="O46" i="179"/>
  <c r="N46" i="179"/>
  <c r="H46" i="179"/>
  <c r="O45" i="179"/>
  <c r="N45" i="179"/>
  <c r="H45" i="179"/>
  <c r="O44" i="179"/>
  <c r="N44" i="179"/>
  <c r="H44" i="179"/>
  <c r="O43" i="179"/>
  <c r="N43" i="179"/>
  <c r="H43" i="179"/>
  <c r="O42" i="179"/>
  <c r="N42" i="179"/>
  <c r="H42" i="179"/>
  <c r="O41" i="179"/>
  <c r="N41" i="179"/>
  <c r="H41" i="179"/>
  <c r="O40" i="179"/>
  <c r="N40" i="179"/>
  <c r="H40" i="179"/>
  <c r="O39" i="179"/>
  <c r="N39" i="179"/>
  <c r="H39" i="179"/>
  <c r="O38" i="179"/>
  <c r="N38" i="179"/>
  <c r="H38" i="179"/>
  <c r="O37" i="179"/>
  <c r="N37" i="179"/>
  <c r="H37" i="179"/>
  <c r="O36" i="179"/>
  <c r="N36" i="179"/>
  <c r="H36" i="179"/>
  <c r="O35" i="179"/>
  <c r="N35" i="179"/>
  <c r="H35" i="179"/>
  <c r="N34" i="179"/>
  <c r="H34" i="179"/>
  <c r="O33" i="179"/>
  <c r="N33" i="179"/>
  <c r="H33" i="179"/>
  <c r="O32" i="179"/>
  <c r="N32" i="179"/>
  <c r="H32" i="179"/>
  <c r="O31" i="179"/>
  <c r="N31" i="179"/>
  <c r="H31" i="179"/>
  <c r="O30" i="179"/>
  <c r="N30" i="179"/>
  <c r="H30" i="179"/>
  <c r="O29" i="179"/>
  <c r="N29" i="179"/>
  <c r="H29" i="179"/>
  <c r="O28" i="179"/>
  <c r="N28" i="179"/>
  <c r="H28" i="179"/>
  <c r="O27" i="179"/>
  <c r="N27" i="179"/>
  <c r="H27" i="179"/>
  <c r="O26" i="179"/>
  <c r="N26" i="179"/>
  <c r="H26" i="179"/>
  <c r="O25" i="179"/>
  <c r="N25" i="179"/>
  <c r="H25" i="179"/>
  <c r="O24" i="179"/>
  <c r="N24" i="179"/>
  <c r="H24" i="179"/>
  <c r="O23" i="179"/>
  <c r="N23" i="179"/>
  <c r="H23" i="179"/>
  <c r="O22" i="179"/>
  <c r="N22" i="179"/>
  <c r="H22" i="179"/>
  <c r="O21" i="179"/>
  <c r="N21" i="179"/>
  <c r="H21" i="179"/>
  <c r="O20" i="179"/>
  <c r="N20" i="179"/>
  <c r="H20" i="179"/>
  <c r="O19" i="179"/>
  <c r="N19" i="179"/>
  <c r="H19" i="179"/>
  <c r="O18" i="179"/>
  <c r="N18" i="179"/>
  <c r="N17" i="179"/>
  <c r="O16" i="179"/>
  <c r="N16" i="179"/>
  <c r="O15" i="179"/>
  <c r="N15" i="179"/>
  <c r="H15" i="179"/>
  <c r="S14" i="179"/>
  <c r="O14" i="179"/>
  <c r="N14" i="179"/>
  <c r="O13" i="179"/>
  <c r="N13" i="179"/>
  <c r="H13" i="179"/>
  <c r="O12" i="179"/>
  <c r="N12" i="179"/>
  <c r="H12" i="179"/>
  <c r="O11" i="179"/>
  <c r="N11" i="179"/>
  <c r="H11" i="179"/>
  <c r="O10" i="179"/>
  <c r="N10" i="179"/>
  <c r="O9" i="179"/>
  <c r="N9" i="179"/>
  <c r="O8" i="179"/>
  <c r="N8" i="179"/>
  <c r="H8" i="179"/>
  <c r="O7" i="179"/>
  <c r="N7" i="179"/>
  <c r="O6" i="179"/>
  <c r="N6" i="179"/>
  <c r="H6" i="179"/>
  <c r="O5" i="179"/>
  <c r="N5" i="179"/>
  <c r="H5" i="179"/>
  <c r="O4" i="179"/>
  <c r="N4" i="179"/>
  <c r="H4" i="179"/>
  <c r="O3" i="179"/>
  <c r="N3" i="179"/>
  <c r="H3" i="179"/>
  <c r="O2" i="179"/>
  <c r="O229" i="179" s="1"/>
  <c r="B230" i="179" s="1"/>
  <c r="B235" i="179" s="1"/>
  <c r="B241" i="179" s="1"/>
  <c r="B254" i="179" s="1"/>
  <c r="N2" i="179"/>
  <c r="N229" i="179" s="1"/>
  <c r="H2" i="179"/>
  <c r="H229" i="179" s="1"/>
  <c r="H128" i="178"/>
  <c r="H31" i="178"/>
  <c r="H32" i="178"/>
  <c r="H33" i="178"/>
  <c r="B269" i="178"/>
  <c r="B260" i="178"/>
  <c r="B259" i="178"/>
  <c r="B273" i="178" s="1"/>
  <c r="B252" i="178"/>
  <c r="B253" i="178" s="1"/>
  <c r="B250" i="178"/>
  <c r="B249" i="178"/>
  <c r="B248" i="178"/>
  <c r="B251" i="178" s="1"/>
  <c r="B244" i="178"/>
  <c r="B242" i="178"/>
  <c r="B245" i="178" s="1"/>
  <c r="B238" i="178"/>
  <c r="B237" i="178"/>
  <c r="B236" i="178"/>
  <c r="B240" i="178" s="1"/>
  <c r="B233" i="178"/>
  <c r="B231" i="178"/>
  <c r="P229" i="178"/>
  <c r="K229" i="178"/>
  <c r="I229" i="178"/>
  <c r="N228" i="178"/>
  <c r="N227" i="178"/>
  <c r="N226" i="178"/>
  <c r="N225" i="178"/>
  <c r="N224" i="178"/>
  <c r="N223" i="178"/>
  <c r="N222" i="178"/>
  <c r="N221" i="178"/>
  <c r="N220" i="178"/>
  <c r="O219" i="178"/>
  <c r="N219" i="178"/>
  <c r="H219" i="178"/>
  <c r="O218" i="178"/>
  <c r="N218" i="178"/>
  <c r="H218" i="178"/>
  <c r="O217" i="178"/>
  <c r="N217" i="178"/>
  <c r="H217" i="178"/>
  <c r="O216" i="178"/>
  <c r="N216" i="178"/>
  <c r="H216" i="178"/>
  <c r="O215" i="178"/>
  <c r="N215" i="178"/>
  <c r="H215" i="178"/>
  <c r="O214" i="178"/>
  <c r="N214" i="178"/>
  <c r="O213" i="178"/>
  <c r="N213" i="178"/>
  <c r="H213" i="178"/>
  <c r="O212" i="178"/>
  <c r="N212" i="178"/>
  <c r="H212" i="178"/>
  <c r="O211" i="178"/>
  <c r="N211" i="178"/>
  <c r="H211" i="178"/>
  <c r="O210" i="178"/>
  <c r="N210" i="178"/>
  <c r="H210" i="178"/>
  <c r="O209" i="178"/>
  <c r="N209" i="178"/>
  <c r="H209" i="178"/>
  <c r="O208" i="178"/>
  <c r="N208" i="178"/>
  <c r="H208" i="178"/>
  <c r="O207" i="178"/>
  <c r="N207" i="178"/>
  <c r="H207" i="178"/>
  <c r="O206" i="178"/>
  <c r="N206" i="178"/>
  <c r="H206" i="178"/>
  <c r="O205" i="178"/>
  <c r="N205" i="178"/>
  <c r="H205" i="178"/>
  <c r="O204" i="178"/>
  <c r="N204" i="178"/>
  <c r="H204" i="178"/>
  <c r="O203" i="178"/>
  <c r="N203" i="178"/>
  <c r="H203" i="178"/>
  <c r="O202" i="178"/>
  <c r="N202" i="178"/>
  <c r="H202" i="178"/>
  <c r="O201" i="178"/>
  <c r="N201" i="178"/>
  <c r="H201" i="178"/>
  <c r="O200" i="178"/>
  <c r="N200" i="178"/>
  <c r="H200" i="178"/>
  <c r="O199" i="178"/>
  <c r="N199" i="178"/>
  <c r="H199" i="178"/>
  <c r="O198" i="178"/>
  <c r="N198" i="178"/>
  <c r="H198" i="178"/>
  <c r="O197" i="178"/>
  <c r="N197" i="178"/>
  <c r="H197" i="178"/>
  <c r="O196" i="178"/>
  <c r="N196" i="178"/>
  <c r="H196" i="178"/>
  <c r="O195" i="178"/>
  <c r="N195" i="178"/>
  <c r="H195" i="178"/>
  <c r="O194" i="178"/>
  <c r="N194" i="178"/>
  <c r="H194" i="178"/>
  <c r="O193" i="178"/>
  <c r="N193" i="178"/>
  <c r="H193" i="178"/>
  <c r="O192" i="178"/>
  <c r="N192" i="178"/>
  <c r="O191" i="178"/>
  <c r="N191" i="178"/>
  <c r="H191" i="178"/>
  <c r="O190" i="178"/>
  <c r="N190" i="178"/>
  <c r="H190" i="178"/>
  <c r="O189" i="178"/>
  <c r="N189" i="178"/>
  <c r="H189" i="178"/>
  <c r="O188" i="178"/>
  <c r="N188" i="178"/>
  <c r="H188" i="178"/>
  <c r="O187" i="178"/>
  <c r="N187" i="178"/>
  <c r="H187" i="178"/>
  <c r="O186" i="178"/>
  <c r="N186" i="178"/>
  <c r="H186" i="178"/>
  <c r="O185" i="178"/>
  <c r="N185" i="178"/>
  <c r="H185" i="178"/>
  <c r="O184" i="178"/>
  <c r="N184" i="178"/>
  <c r="O183" i="178"/>
  <c r="N183" i="178"/>
  <c r="O182" i="178"/>
  <c r="N182" i="178"/>
  <c r="O181" i="178"/>
  <c r="N181" i="178"/>
  <c r="H181" i="178"/>
  <c r="O180" i="178"/>
  <c r="N180" i="178"/>
  <c r="H180" i="178"/>
  <c r="O179" i="178"/>
  <c r="N179" i="178"/>
  <c r="H179" i="178"/>
  <c r="O178" i="178"/>
  <c r="N178" i="178"/>
  <c r="H178" i="178"/>
  <c r="O177" i="178"/>
  <c r="N177" i="178"/>
  <c r="H177" i="178"/>
  <c r="O176" i="178"/>
  <c r="N176" i="178"/>
  <c r="H176" i="178"/>
  <c r="O175" i="178"/>
  <c r="N175" i="178"/>
  <c r="H175" i="178"/>
  <c r="O174" i="178"/>
  <c r="N174" i="178"/>
  <c r="H174" i="178"/>
  <c r="O173" i="178"/>
  <c r="N173" i="178"/>
  <c r="H173" i="178"/>
  <c r="O172" i="178"/>
  <c r="N172" i="178"/>
  <c r="H172" i="178"/>
  <c r="O171" i="178"/>
  <c r="N171" i="178"/>
  <c r="H171" i="178"/>
  <c r="O170" i="178"/>
  <c r="N170" i="178"/>
  <c r="H170" i="178"/>
  <c r="O169" i="178"/>
  <c r="N169" i="178"/>
  <c r="H169" i="178"/>
  <c r="O168" i="178"/>
  <c r="N168" i="178"/>
  <c r="O167" i="178"/>
  <c r="N167" i="178"/>
  <c r="H167" i="178"/>
  <c r="O166" i="178"/>
  <c r="N166" i="178"/>
  <c r="H166" i="178"/>
  <c r="O165" i="178"/>
  <c r="N165" i="178"/>
  <c r="H165" i="178"/>
  <c r="O164" i="178"/>
  <c r="N164" i="178"/>
  <c r="H164" i="178"/>
  <c r="O163" i="178"/>
  <c r="N163" i="178"/>
  <c r="H163" i="178"/>
  <c r="O162" i="178"/>
  <c r="N162" i="178"/>
  <c r="H162" i="178"/>
  <c r="O161" i="178"/>
  <c r="N161" i="178"/>
  <c r="H161" i="178"/>
  <c r="N160" i="178"/>
  <c r="H160" i="178"/>
  <c r="O159" i="178"/>
  <c r="N159" i="178"/>
  <c r="N158" i="178"/>
  <c r="O157" i="178"/>
  <c r="N157" i="178"/>
  <c r="H157" i="178"/>
  <c r="O156" i="178"/>
  <c r="N156" i="178"/>
  <c r="H156" i="178"/>
  <c r="O155" i="178"/>
  <c r="N155" i="178"/>
  <c r="H155" i="178"/>
  <c r="O154" i="178"/>
  <c r="N154" i="178"/>
  <c r="H154" i="178"/>
  <c r="O153" i="178"/>
  <c r="N153" i="178"/>
  <c r="H153" i="178"/>
  <c r="O152" i="178"/>
  <c r="N152" i="178"/>
  <c r="H152" i="178"/>
  <c r="O151" i="178"/>
  <c r="N151" i="178"/>
  <c r="H151" i="178"/>
  <c r="O150" i="178"/>
  <c r="N150" i="178"/>
  <c r="H150" i="178"/>
  <c r="O149" i="178"/>
  <c r="N149" i="178"/>
  <c r="H149" i="178"/>
  <c r="O148" i="178"/>
  <c r="N148" i="178"/>
  <c r="H148" i="178"/>
  <c r="O147" i="178"/>
  <c r="N147" i="178"/>
  <c r="H147" i="178"/>
  <c r="O146" i="178"/>
  <c r="N146" i="178"/>
  <c r="H146" i="178"/>
  <c r="O145" i="178"/>
  <c r="N145" i="178"/>
  <c r="H145" i="178"/>
  <c r="O144" i="178"/>
  <c r="N144" i="178"/>
  <c r="H144" i="178"/>
  <c r="O143" i="178"/>
  <c r="N143" i="178"/>
  <c r="H143" i="178"/>
  <c r="O142" i="178"/>
  <c r="N142" i="178"/>
  <c r="H142" i="178"/>
  <c r="O141" i="178"/>
  <c r="N141" i="178"/>
  <c r="H141" i="178"/>
  <c r="O140" i="178"/>
  <c r="N140" i="178"/>
  <c r="H140" i="178"/>
  <c r="O139" i="178"/>
  <c r="N139" i="178"/>
  <c r="H139" i="178"/>
  <c r="O138" i="178"/>
  <c r="N138" i="178"/>
  <c r="H138" i="178"/>
  <c r="O137" i="178"/>
  <c r="N137" i="178"/>
  <c r="H137" i="178"/>
  <c r="O136" i="178"/>
  <c r="N136" i="178"/>
  <c r="H136" i="178"/>
  <c r="O135" i="178"/>
  <c r="N135" i="178"/>
  <c r="H135" i="178"/>
  <c r="O134" i="178"/>
  <c r="N134" i="178"/>
  <c r="H134" i="178"/>
  <c r="O133" i="178"/>
  <c r="N133" i="178"/>
  <c r="H133" i="178"/>
  <c r="O132" i="178"/>
  <c r="N132" i="178"/>
  <c r="H132" i="178"/>
  <c r="O131" i="178"/>
  <c r="N131" i="178"/>
  <c r="H131" i="178"/>
  <c r="O130" i="178"/>
  <c r="N130" i="178"/>
  <c r="H130" i="178"/>
  <c r="O129" i="178"/>
  <c r="N129" i="178"/>
  <c r="H129" i="178"/>
  <c r="O128" i="178"/>
  <c r="N128" i="178"/>
  <c r="O127" i="178"/>
  <c r="N127" i="178"/>
  <c r="H127" i="178"/>
  <c r="O126" i="178"/>
  <c r="N126" i="178"/>
  <c r="H126" i="178"/>
  <c r="O125" i="178"/>
  <c r="N125" i="178"/>
  <c r="H125" i="178"/>
  <c r="O124" i="178"/>
  <c r="N124" i="178"/>
  <c r="H124" i="178"/>
  <c r="O123" i="178"/>
  <c r="N123" i="178"/>
  <c r="H123" i="178"/>
  <c r="O122" i="178"/>
  <c r="N122" i="178"/>
  <c r="H122" i="178"/>
  <c r="O121" i="178"/>
  <c r="N121" i="178"/>
  <c r="H121" i="178"/>
  <c r="O120" i="178"/>
  <c r="N120" i="178"/>
  <c r="H120" i="178"/>
  <c r="O119" i="178"/>
  <c r="N119" i="178"/>
  <c r="H119" i="178"/>
  <c r="O118" i="178"/>
  <c r="N118" i="178"/>
  <c r="H118" i="178"/>
  <c r="O117" i="178"/>
  <c r="N117" i="178"/>
  <c r="H117" i="178"/>
  <c r="O116" i="178"/>
  <c r="N116" i="178"/>
  <c r="H116" i="178"/>
  <c r="O115" i="178"/>
  <c r="N115" i="178"/>
  <c r="H115" i="178"/>
  <c r="O114" i="178"/>
  <c r="N114" i="178"/>
  <c r="H114" i="178"/>
  <c r="O113" i="178"/>
  <c r="N113" i="178"/>
  <c r="H113" i="178"/>
  <c r="O112" i="178"/>
  <c r="N112" i="178"/>
  <c r="H112" i="178"/>
  <c r="O111" i="178"/>
  <c r="N111" i="178"/>
  <c r="H111" i="178"/>
  <c r="O110" i="178"/>
  <c r="N110" i="178"/>
  <c r="H110" i="178"/>
  <c r="O109" i="178"/>
  <c r="N109" i="178"/>
  <c r="H109" i="178"/>
  <c r="O108" i="178"/>
  <c r="N108" i="178"/>
  <c r="H108" i="178"/>
  <c r="O107" i="178"/>
  <c r="N107" i="178"/>
  <c r="H107" i="178"/>
  <c r="O106" i="178"/>
  <c r="N106" i="178"/>
  <c r="H106" i="178"/>
  <c r="O105" i="178"/>
  <c r="N105" i="178"/>
  <c r="H105" i="178"/>
  <c r="O104" i="178"/>
  <c r="N104" i="178"/>
  <c r="H104" i="178"/>
  <c r="O103" i="178"/>
  <c r="N103" i="178"/>
  <c r="H103" i="178"/>
  <c r="O102" i="178"/>
  <c r="N102" i="178"/>
  <c r="H102" i="178"/>
  <c r="O101" i="178"/>
  <c r="N101" i="178"/>
  <c r="H101" i="178"/>
  <c r="O100" i="178"/>
  <c r="N100" i="178"/>
  <c r="H100" i="178"/>
  <c r="O99" i="178"/>
  <c r="N99" i="178"/>
  <c r="H99" i="178"/>
  <c r="O98" i="178"/>
  <c r="N98" i="178"/>
  <c r="H98" i="178"/>
  <c r="O97" i="178"/>
  <c r="N97" i="178"/>
  <c r="H97" i="178"/>
  <c r="O96" i="178"/>
  <c r="N96" i="178"/>
  <c r="H96" i="178"/>
  <c r="O95" i="178"/>
  <c r="N95" i="178"/>
  <c r="H95" i="178"/>
  <c r="O94" i="178"/>
  <c r="N94" i="178"/>
  <c r="H94" i="178"/>
  <c r="O93" i="178"/>
  <c r="N93" i="178"/>
  <c r="H93" i="178"/>
  <c r="N92" i="178"/>
  <c r="H92" i="178"/>
  <c r="N91" i="178"/>
  <c r="H91" i="178"/>
  <c r="N90" i="178"/>
  <c r="H90" i="178"/>
  <c r="O89" i="178"/>
  <c r="N89" i="178"/>
  <c r="H89" i="178"/>
  <c r="O88" i="178"/>
  <c r="N88" i="178"/>
  <c r="H88" i="178"/>
  <c r="O87" i="178"/>
  <c r="N87" i="178"/>
  <c r="H87" i="178"/>
  <c r="O86" i="178"/>
  <c r="N86" i="178"/>
  <c r="H86" i="178"/>
  <c r="O85" i="178"/>
  <c r="N85" i="178"/>
  <c r="H85" i="178"/>
  <c r="O84" i="178"/>
  <c r="N84" i="178"/>
  <c r="H84" i="178"/>
  <c r="O83" i="178"/>
  <c r="N83" i="178"/>
  <c r="H83" i="178"/>
  <c r="O82" i="178"/>
  <c r="N82" i="178"/>
  <c r="O81" i="178"/>
  <c r="N81" i="178"/>
  <c r="O80" i="178"/>
  <c r="N80" i="178"/>
  <c r="H80" i="178"/>
  <c r="O79" i="178"/>
  <c r="N79" i="178"/>
  <c r="H79" i="178"/>
  <c r="O78" i="178"/>
  <c r="N78" i="178"/>
  <c r="O77" i="178"/>
  <c r="N77" i="178"/>
  <c r="H77" i="178"/>
  <c r="O76" i="178"/>
  <c r="N76" i="178"/>
  <c r="H76" i="178"/>
  <c r="O75" i="178"/>
  <c r="N75" i="178"/>
  <c r="H75" i="178"/>
  <c r="O74" i="178"/>
  <c r="N74" i="178"/>
  <c r="H74" i="178"/>
  <c r="O73" i="178"/>
  <c r="N73" i="178"/>
  <c r="H73" i="178"/>
  <c r="O72" i="178"/>
  <c r="N72" i="178"/>
  <c r="H72" i="178"/>
  <c r="O71" i="178"/>
  <c r="N71" i="178"/>
  <c r="H71" i="178"/>
  <c r="O70" i="178"/>
  <c r="N70" i="178"/>
  <c r="H70" i="178"/>
  <c r="T69" i="178"/>
  <c r="T96" i="178" s="1"/>
  <c r="O69" i="178"/>
  <c r="N69" i="178"/>
  <c r="H69" i="178"/>
  <c r="O68" i="178"/>
  <c r="N68" i="178"/>
  <c r="H68" i="178"/>
  <c r="O67" i="178"/>
  <c r="N67" i="178"/>
  <c r="H67" i="178"/>
  <c r="O66" i="178"/>
  <c r="N66" i="178"/>
  <c r="H66" i="178"/>
  <c r="O65" i="178"/>
  <c r="N65" i="178"/>
  <c r="H65" i="178"/>
  <c r="O64" i="178"/>
  <c r="N64" i="178"/>
  <c r="H64" i="178"/>
  <c r="O63" i="178"/>
  <c r="N63" i="178"/>
  <c r="H63" i="178"/>
  <c r="O62" i="178"/>
  <c r="N62" i="178"/>
  <c r="H62" i="178"/>
  <c r="O61" i="178"/>
  <c r="N61" i="178"/>
  <c r="H61" i="178"/>
  <c r="O60" i="178"/>
  <c r="N60" i="178"/>
  <c r="H60" i="178"/>
  <c r="O59" i="178"/>
  <c r="N59" i="178"/>
  <c r="H59" i="178"/>
  <c r="O58" i="178"/>
  <c r="N58" i="178"/>
  <c r="H58" i="178"/>
  <c r="O57" i="178"/>
  <c r="N57" i="178"/>
  <c r="H57" i="178"/>
  <c r="O56" i="178"/>
  <c r="N56" i="178"/>
  <c r="H56" i="178"/>
  <c r="O55" i="178"/>
  <c r="N55" i="178"/>
  <c r="O54" i="178"/>
  <c r="N54" i="178"/>
  <c r="H54" i="178"/>
  <c r="O53" i="178"/>
  <c r="N53" i="178"/>
  <c r="H53" i="178"/>
  <c r="O52" i="178"/>
  <c r="N52" i="178"/>
  <c r="O51" i="178"/>
  <c r="N51" i="178"/>
  <c r="O50" i="178"/>
  <c r="N50" i="178"/>
  <c r="H50" i="178"/>
  <c r="O49" i="178"/>
  <c r="N49" i="178"/>
  <c r="H49" i="178"/>
  <c r="O48" i="178"/>
  <c r="N48" i="178"/>
  <c r="H48" i="178"/>
  <c r="O47" i="178"/>
  <c r="N47" i="178"/>
  <c r="H47" i="178"/>
  <c r="O46" i="178"/>
  <c r="N46" i="178"/>
  <c r="H46" i="178"/>
  <c r="O45" i="178"/>
  <c r="N45" i="178"/>
  <c r="H45" i="178"/>
  <c r="O44" i="178"/>
  <c r="N44" i="178"/>
  <c r="H44" i="178"/>
  <c r="O43" i="178"/>
  <c r="N43" i="178"/>
  <c r="H43" i="178"/>
  <c r="O42" i="178"/>
  <c r="N42" i="178"/>
  <c r="H42" i="178"/>
  <c r="O41" i="178"/>
  <c r="N41" i="178"/>
  <c r="H41" i="178"/>
  <c r="O40" i="178"/>
  <c r="N40" i="178"/>
  <c r="H40" i="178"/>
  <c r="O39" i="178"/>
  <c r="N39" i="178"/>
  <c r="H39" i="178"/>
  <c r="O38" i="178"/>
  <c r="N38" i="178"/>
  <c r="H38" i="178"/>
  <c r="O37" i="178"/>
  <c r="N37" i="178"/>
  <c r="H37" i="178"/>
  <c r="O36" i="178"/>
  <c r="N36" i="178"/>
  <c r="H36" i="178"/>
  <c r="O35" i="178"/>
  <c r="N35" i="178"/>
  <c r="H35" i="178"/>
  <c r="N34" i="178"/>
  <c r="H34" i="178"/>
  <c r="O33" i="178"/>
  <c r="N33" i="178"/>
  <c r="O32" i="178"/>
  <c r="N32" i="178"/>
  <c r="O31" i="178"/>
  <c r="N31" i="178"/>
  <c r="O30" i="178"/>
  <c r="N30" i="178"/>
  <c r="H30" i="178"/>
  <c r="O29" i="178"/>
  <c r="N29" i="178"/>
  <c r="H29" i="178"/>
  <c r="O28" i="178"/>
  <c r="N28" i="178"/>
  <c r="H28" i="178"/>
  <c r="O27" i="178"/>
  <c r="N27" i="178"/>
  <c r="H27" i="178"/>
  <c r="O26" i="178"/>
  <c r="N26" i="178"/>
  <c r="H26" i="178"/>
  <c r="O25" i="178"/>
  <c r="N25" i="178"/>
  <c r="H25" i="178"/>
  <c r="O24" i="178"/>
  <c r="N24" i="178"/>
  <c r="H24" i="178"/>
  <c r="O23" i="178"/>
  <c r="N23" i="178"/>
  <c r="H23" i="178"/>
  <c r="O22" i="178"/>
  <c r="N22" i="178"/>
  <c r="H22" i="178"/>
  <c r="O21" i="178"/>
  <c r="N21" i="178"/>
  <c r="H21" i="178"/>
  <c r="O20" i="178"/>
  <c r="N20" i="178"/>
  <c r="H20" i="178"/>
  <c r="O19" i="178"/>
  <c r="N19" i="178"/>
  <c r="H19" i="178"/>
  <c r="O18" i="178"/>
  <c r="N18" i="178"/>
  <c r="N17" i="178"/>
  <c r="O16" i="178"/>
  <c r="N16" i="178"/>
  <c r="O15" i="178"/>
  <c r="N15" i="178"/>
  <c r="H15" i="178"/>
  <c r="S14" i="178"/>
  <c r="O14" i="178"/>
  <c r="N14" i="178"/>
  <c r="O13" i="178"/>
  <c r="N13" i="178"/>
  <c r="H13" i="178"/>
  <c r="O12" i="178"/>
  <c r="N12" i="178"/>
  <c r="H12" i="178"/>
  <c r="O11" i="178"/>
  <c r="N11" i="178"/>
  <c r="H11" i="178"/>
  <c r="O10" i="178"/>
  <c r="N10" i="178"/>
  <c r="O9" i="178"/>
  <c r="N9" i="178"/>
  <c r="O8" i="178"/>
  <c r="N8" i="178"/>
  <c r="H8" i="178"/>
  <c r="O7" i="178"/>
  <c r="N7" i="178"/>
  <c r="O6" i="178"/>
  <c r="N6" i="178"/>
  <c r="H6" i="178"/>
  <c r="O5" i="178"/>
  <c r="N5" i="178"/>
  <c r="H5" i="178"/>
  <c r="O4" i="178"/>
  <c r="N4" i="178"/>
  <c r="H4" i="178"/>
  <c r="O3" i="178"/>
  <c r="N3" i="178"/>
  <c r="H3" i="178"/>
  <c r="O2" i="178"/>
  <c r="O229" i="178" s="1"/>
  <c r="B230" i="178" s="1"/>
  <c r="B235" i="178" s="1"/>
  <c r="B241" i="178" s="1"/>
  <c r="B254" i="178" s="1"/>
  <c r="N2" i="178"/>
  <c r="N229" i="178" s="1"/>
  <c r="H2" i="178"/>
  <c r="H229" i="178" s="1"/>
  <c r="B269" i="177"/>
  <c r="B260" i="177"/>
  <c r="B259" i="177"/>
  <c r="B273" i="177" s="1"/>
  <c r="B252" i="177"/>
  <c r="B253" i="177" s="1"/>
  <c r="B250" i="177"/>
  <c r="B249" i="177"/>
  <c r="B248" i="177"/>
  <c r="B251" i="177" s="1"/>
  <c r="B244" i="177"/>
  <c r="B242" i="177"/>
  <c r="B245" i="177" s="1"/>
  <c r="B238" i="177"/>
  <c r="B237" i="177"/>
  <c r="B236" i="177"/>
  <c r="B240" i="177" s="1"/>
  <c r="B233" i="177"/>
  <c r="B231" i="177"/>
  <c r="P229" i="177"/>
  <c r="K229" i="177"/>
  <c r="I229" i="177"/>
  <c r="N228" i="177"/>
  <c r="N227" i="177"/>
  <c r="N226" i="177"/>
  <c r="N225" i="177"/>
  <c r="N224" i="177"/>
  <c r="N223" i="177"/>
  <c r="N222" i="177"/>
  <c r="N221" i="177"/>
  <c r="N220" i="177"/>
  <c r="O219" i="177"/>
  <c r="N219" i="177"/>
  <c r="H219" i="177"/>
  <c r="O218" i="177"/>
  <c r="N218" i="177"/>
  <c r="H218" i="177"/>
  <c r="O217" i="177"/>
  <c r="N217" i="177"/>
  <c r="H217" i="177"/>
  <c r="O216" i="177"/>
  <c r="N216" i="177"/>
  <c r="H216" i="177"/>
  <c r="O215" i="177"/>
  <c r="N215" i="177"/>
  <c r="H215" i="177"/>
  <c r="O214" i="177"/>
  <c r="N214" i="177"/>
  <c r="O213" i="177"/>
  <c r="N213" i="177"/>
  <c r="H213" i="177"/>
  <c r="O212" i="177"/>
  <c r="N212" i="177"/>
  <c r="H212" i="177"/>
  <c r="O211" i="177"/>
  <c r="N211" i="177"/>
  <c r="H211" i="177"/>
  <c r="O210" i="177"/>
  <c r="N210" i="177"/>
  <c r="H210" i="177"/>
  <c r="O209" i="177"/>
  <c r="N209" i="177"/>
  <c r="H209" i="177"/>
  <c r="O208" i="177"/>
  <c r="N208" i="177"/>
  <c r="H208" i="177"/>
  <c r="O207" i="177"/>
  <c r="N207" i="177"/>
  <c r="H207" i="177"/>
  <c r="O206" i="177"/>
  <c r="N206" i="177"/>
  <c r="H206" i="177"/>
  <c r="O205" i="177"/>
  <c r="N205" i="177"/>
  <c r="H205" i="177"/>
  <c r="O204" i="177"/>
  <c r="N204" i="177"/>
  <c r="H204" i="177"/>
  <c r="O203" i="177"/>
  <c r="N203" i="177"/>
  <c r="H203" i="177"/>
  <c r="O202" i="177"/>
  <c r="N202" i="177"/>
  <c r="H202" i="177"/>
  <c r="O201" i="177"/>
  <c r="N201" i="177"/>
  <c r="H201" i="177"/>
  <c r="O200" i="177"/>
  <c r="N200" i="177"/>
  <c r="H200" i="177"/>
  <c r="O199" i="177"/>
  <c r="N199" i="177"/>
  <c r="H199" i="177"/>
  <c r="O198" i="177"/>
  <c r="N198" i="177"/>
  <c r="H198" i="177"/>
  <c r="O197" i="177"/>
  <c r="N197" i="177"/>
  <c r="H197" i="177"/>
  <c r="O196" i="177"/>
  <c r="N196" i="177"/>
  <c r="H196" i="177"/>
  <c r="O195" i="177"/>
  <c r="N195" i="177"/>
  <c r="H195" i="177"/>
  <c r="O194" i="177"/>
  <c r="N194" i="177"/>
  <c r="H194" i="177"/>
  <c r="O193" i="177"/>
  <c r="N193" i="177"/>
  <c r="H193" i="177"/>
  <c r="O192" i="177"/>
  <c r="N192" i="177"/>
  <c r="O191" i="177"/>
  <c r="N191" i="177"/>
  <c r="H191" i="177"/>
  <c r="O190" i="177"/>
  <c r="N190" i="177"/>
  <c r="H190" i="177"/>
  <c r="O189" i="177"/>
  <c r="N189" i="177"/>
  <c r="H189" i="177"/>
  <c r="O188" i="177"/>
  <c r="N188" i="177"/>
  <c r="H188" i="177"/>
  <c r="O187" i="177"/>
  <c r="N187" i="177"/>
  <c r="H187" i="177"/>
  <c r="O186" i="177"/>
  <c r="N186" i="177"/>
  <c r="H186" i="177"/>
  <c r="O185" i="177"/>
  <c r="N185" i="177"/>
  <c r="H185" i="177"/>
  <c r="O184" i="177"/>
  <c r="N184" i="177"/>
  <c r="O183" i="177"/>
  <c r="N183" i="177"/>
  <c r="O182" i="177"/>
  <c r="N182" i="177"/>
  <c r="O181" i="177"/>
  <c r="N181" i="177"/>
  <c r="H181" i="177"/>
  <c r="O180" i="177"/>
  <c r="N180" i="177"/>
  <c r="H180" i="177"/>
  <c r="O179" i="177"/>
  <c r="N179" i="177"/>
  <c r="H179" i="177"/>
  <c r="O178" i="177"/>
  <c r="N178" i="177"/>
  <c r="H178" i="177"/>
  <c r="O177" i="177"/>
  <c r="N177" i="177"/>
  <c r="H177" i="177"/>
  <c r="O176" i="177"/>
  <c r="N176" i="177"/>
  <c r="H176" i="177"/>
  <c r="O175" i="177"/>
  <c r="N175" i="177"/>
  <c r="H175" i="177"/>
  <c r="O174" i="177"/>
  <c r="N174" i="177"/>
  <c r="H174" i="177"/>
  <c r="O173" i="177"/>
  <c r="N173" i="177"/>
  <c r="H173" i="177"/>
  <c r="O172" i="177"/>
  <c r="N172" i="177"/>
  <c r="H172" i="177"/>
  <c r="O171" i="177"/>
  <c r="N171" i="177"/>
  <c r="H171" i="177"/>
  <c r="O170" i="177"/>
  <c r="N170" i="177"/>
  <c r="H170" i="177"/>
  <c r="O169" i="177"/>
  <c r="N169" i="177"/>
  <c r="H169" i="177"/>
  <c r="O168" i="177"/>
  <c r="N168" i="177"/>
  <c r="O167" i="177"/>
  <c r="N167" i="177"/>
  <c r="H167" i="177"/>
  <c r="O166" i="177"/>
  <c r="N166" i="177"/>
  <c r="H166" i="177"/>
  <c r="O165" i="177"/>
  <c r="N165" i="177"/>
  <c r="H165" i="177"/>
  <c r="O164" i="177"/>
  <c r="N164" i="177"/>
  <c r="H164" i="177"/>
  <c r="O163" i="177"/>
  <c r="N163" i="177"/>
  <c r="H163" i="177"/>
  <c r="O162" i="177"/>
  <c r="N162" i="177"/>
  <c r="H162" i="177"/>
  <c r="O161" i="177"/>
  <c r="N161" i="177"/>
  <c r="H161" i="177"/>
  <c r="N160" i="177"/>
  <c r="H160" i="177"/>
  <c r="O159" i="177"/>
  <c r="N159" i="177"/>
  <c r="N158" i="177"/>
  <c r="O157" i="177"/>
  <c r="N157" i="177"/>
  <c r="H157" i="177"/>
  <c r="O156" i="177"/>
  <c r="N156" i="177"/>
  <c r="H156" i="177"/>
  <c r="O155" i="177"/>
  <c r="N155" i="177"/>
  <c r="H155" i="177"/>
  <c r="O154" i="177"/>
  <c r="N154" i="177"/>
  <c r="H154" i="177"/>
  <c r="O153" i="177"/>
  <c r="N153" i="177"/>
  <c r="H153" i="177"/>
  <c r="O152" i="177"/>
  <c r="N152" i="177"/>
  <c r="H152" i="177"/>
  <c r="O151" i="177"/>
  <c r="N151" i="177"/>
  <c r="H151" i="177"/>
  <c r="O150" i="177"/>
  <c r="N150" i="177"/>
  <c r="H150" i="177"/>
  <c r="O149" i="177"/>
  <c r="N149" i="177"/>
  <c r="H149" i="177"/>
  <c r="O148" i="177"/>
  <c r="N148" i="177"/>
  <c r="H148" i="177"/>
  <c r="O147" i="177"/>
  <c r="N147" i="177"/>
  <c r="H147" i="177"/>
  <c r="O146" i="177"/>
  <c r="N146" i="177"/>
  <c r="H146" i="177"/>
  <c r="O145" i="177"/>
  <c r="N145" i="177"/>
  <c r="H145" i="177"/>
  <c r="O144" i="177"/>
  <c r="N144" i="177"/>
  <c r="H144" i="177"/>
  <c r="O143" i="177"/>
  <c r="N143" i="177"/>
  <c r="H143" i="177"/>
  <c r="O142" i="177"/>
  <c r="N142" i="177"/>
  <c r="H142" i="177"/>
  <c r="O141" i="177"/>
  <c r="N141" i="177"/>
  <c r="H141" i="177"/>
  <c r="O140" i="177"/>
  <c r="N140" i="177"/>
  <c r="H140" i="177"/>
  <c r="O139" i="177"/>
  <c r="N139" i="177"/>
  <c r="H139" i="177"/>
  <c r="O138" i="177"/>
  <c r="N138" i="177"/>
  <c r="H138" i="177"/>
  <c r="O137" i="177"/>
  <c r="N137" i="177"/>
  <c r="H137" i="177"/>
  <c r="O136" i="177"/>
  <c r="N136" i="177"/>
  <c r="H136" i="177"/>
  <c r="O135" i="177"/>
  <c r="N135" i="177"/>
  <c r="H135" i="177"/>
  <c r="O134" i="177"/>
  <c r="N134" i="177"/>
  <c r="H134" i="177"/>
  <c r="O133" i="177"/>
  <c r="N133" i="177"/>
  <c r="H133" i="177"/>
  <c r="O132" i="177"/>
  <c r="N132" i="177"/>
  <c r="H132" i="177"/>
  <c r="O131" i="177"/>
  <c r="N131" i="177"/>
  <c r="H131" i="177"/>
  <c r="O130" i="177"/>
  <c r="N130" i="177"/>
  <c r="H130" i="177"/>
  <c r="O129" i="177"/>
  <c r="N129" i="177"/>
  <c r="H129" i="177"/>
  <c r="O128" i="177"/>
  <c r="N128" i="177"/>
  <c r="O127" i="177"/>
  <c r="N127" i="177"/>
  <c r="H127" i="177"/>
  <c r="O126" i="177"/>
  <c r="N126" i="177"/>
  <c r="H126" i="177"/>
  <c r="O125" i="177"/>
  <c r="N125" i="177"/>
  <c r="H125" i="177"/>
  <c r="O124" i="177"/>
  <c r="N124" i="177"/>
  <c r="H124" i="177"/>
  <c r="O123" i="177"/>
  <c r="N123" i="177"/>
  <c r="H123" i="177"/>
  <c r="O122" i="177"/>
  <c r="N122" i="177"/>
  <c r="H122" i="177"/>
  <c r="O121" i="177"/>
  <c r="N121" i="177"/>
  <c r="H121" i="177"/>
  <c r="O120" i="177"/>
  <c r="N120" i="177"/>
  <c r="H120" i="177"/>
  <c r="O119" i="177"/>
  <c r="N119" i="177"/>
  <c r="H119" i="177"/>
  <c r="O118" i="177"/>
  <c r="N118" i="177"/>
  <c r="H118" i="177"/>
  <c r="O117" i="177"/>
  <c r="N117" i="177"/>
  <c r="H117" i="177"/>
  <c r="O116" i="177"/>
  <c r="N116" i="177"/>
  <c r="H116" i="177"/>
  <c r="O115" i="177"/>
  <c r="N115" i="177"/>
  <c r="H115" i="177"/>
  <c r="O114" i="177"/>
  <c r="N114" i="177"/>
  <c r="H114" i="177"/>
  <c r="O113" i="177"/>
  <c r="N113" i="177"/>
  <c r="H113" i="177"/>
  <c r="O112" i="177"/>
  <c r="N112" i="177"/>
  <c r="H112" i="177"/>
  <c r="O111" i="177"/>
  <c r="N111" i="177"/>
  <c r="H111" i="177"/>
  <c r="O110" i="177"/>
  <c r="N110" i="177"/>
  <c r="H110" i="177"/>
  <c r="O109" i="177"/>
  <c r="N109" i="177"/>
  <c r="H109" i="177"/>
  <c r="O108" i="177"/>
  <c r="N108" i="177"/>
  <c r="H108" i="177"/>
  <c r="O107" i="177"/>
  <c r="N107" i="177"/>
  <c r="H107" i="177"/>
  <c r="O106" i="177"/>
  <c r="N106" i="177"/>
  <c r="H106" i="177"/>
  <c r="O105" i="177"/>
  <c r="N105" i="177"/>
  <c r="H105" i="177"/>
  <c r="O104" i="177"/>
  <c r="N104" i="177"/>
  <c r="H104" i="177"/>
  <c r="O103" i="177"/>
  <c r="N103" i="177"/>
  <c r="H103" i="177"/>
  <c r="O102" i="177"/>
  <c r="N102" i="177"/>
  <c r="H102" i="177"/>
  <c r="O101" i="177"/>
  <c r="N101" i="177"/>
  <c r="H101" i="177"/>
  <c r="O100" i="177"/>
  <c r="N100" i="177"/>
  <c r="H100" i="177"/>
  <c r="O99" i="177"/>
  <c r="N99" i="177"/>
  <c r="H99" i="177"/>
  <c r="O98" i="177"/>
  <c r="N98" i="177"/>
  <c r="H98" i="177"/>
  <c r="O97" i="177"/>
  <c r="N97" i="177"/>
  <c r="H97" i="177"/>
  <c r="O96" i="177"/>
  <c r="N96" i="177"/>
  <c r="H96" i="177"/>
  <c r="O95" i="177"/>
  <c r="N95" i="177"/>
  <c r="H95" i="177"/>
  <c r="O94" i="177"/>
  <c r="N94" i="177"/>
  <c r="H94" i="177"/>
  <c r="O93" i="177"/>
  <c r="N93" i="177"/>
  <c r="H93" i="177"/>
  <c r="N92" i="177"/>
  <c r="H92" i="177"/>
  <c r="N91" i="177"/>
  <c r="H91" i="177"/>
  <c r="N90" i="177"/>
  <c r="H90" i="177"/>
  <c r="O89" i="177"/>
  <c r="N89" i="177"/>
  <c r="H89" i="177"/>
  <c r="O88" i="177"/>
  <c r="N88" i="177"/>
  <c r="H88" i="177"/>
  <c r="O87" i="177"/>
  <c r="N87" i="177"/>
  <c r="H87" i="177"/>
  <c r="O86" i="177"/>
  <c r="N86" i="177"/>
  <c r="H86" i="177"/>
  <c r="O85" i="177"/>
  <c r="N85" i="177"/>
  <c r="H85" i="177"/>
  <c r="O84" i="177"/>
  <c r="N84" i="177"/>
  <c r="H84" i="177"/>
  <c r="O83" i="177"/>
  <c r="N83" i="177"/>
  <c r="H83" i="177"/>
  <c r="O82" i="177"/>
  <c r="N82" i="177"/>
  <c r="O81" i="177"/>
  <c r="N81" i="177"/>
  <c r="O80" i="177"/>
  <c r="N80" i="177"/>
  <c r="H80" i="177"/>
  <c r="O79" i="177"/>
  <c r="N79" i="177"/>
  <c r="H79" i="177"/>
  <c r="O78" i="177"/>
  <c r="N78" i="177"/>
  <c r="O77" i="177"/>
  <c r="N77" i="177"/>
  <c r="H77" i="177"/>
  <c r="O76" i="177"/>
  <c r="N76" i="177"/>
  <c r="H76" i="177"/>
  <c r="O75" i="177"/>
  <c r="N75" i="177"/>
  <c r="H75" i="177"/>
  <c r="O74" i="177"/>
  <c r="N74" i="177"/>
  <c r="H74" i="177"/>
  <c r="O73" i="177"/>
  <c r="N73" i="177"/>
  <c r="H73" i="177"/>
  <c r="O72" i="177"/>
  <c r="N72" i="177"/>
  <c r="H72" i="177"/>
  <c r="O71" i="177"/>
  <c r="N71" i="177"/>
  <c r="H71" i="177"/>
  <c r="O70" i="177"/>
  <c r="N70" i="177"/>
  <c r="H70" i="177"/>
  <c r="T69" i="177"/>
  <c r="T96" i="177" s="1"/>
  <c r="O69" i="177"/>
  <c r="N69" i="177"/>
  <c r="H69" i="177"/>
  <c r="O68" i="177"/>
  <c r="N68" i="177"/>
  <c r="H68" i="177"/>
  <c r="O67" i="177"/>
  <c r="N67" i="177"/>
  <c r="H67" i="177"/>
  <c r="O66" i="177"/>
  <c r="N66" i="177"/>
  <c r="H66" i="177"/>
  <c r="O65" i="177"/>
  <c r="N65" i="177"/>
  <c r="H65" i="177"/>
  <c r="O64" i="177"/>
  <c r="N64" i="177"/>
  <c r="H64" i="177"/>
  <c r="O63" i="177"/>
  <c r="N63" i="177"/>
  <c r="H63" i="177"/>
  <c r="O62" i="177"/>
  <c r="N62" i="177"/>
  <c r="H62" i="177"/>
  <c r="O61" i="177"/>
  <c r="N61" i="177"/>
  <c r="H61" i="177"/>
  <c r="O60" i="177"/>
  <c r="N60" i="177"/>
  <c r="H60" i="177"/>
  <c r="O59" i="177"/>
  <c r="N59" i="177"/>
  <c r="H59" i="177"/>
  <c r="O58" i="177"/>
  <c r="N58" i="177"/>
  <c r="H58" i="177"/>
  <c r="O57" i="177"/>
  <c r="N57" i="177"/>
  <c r="H57" i="177"/>
  <c r="O56" i="177"/>
  <c r="N56" i="177"/>
  <c r="H56" i="177"/>
  <c r="O55" i="177"/>
  <c r="N55" i="177"/>
  <c r="O54" i="177"/>
  <c r="N54" i="177"/>
  <c r="H54" i="177"/>
  <c r="O53" i="177"/>
  <c r="N53" i="177"/>
  <c r="H53" i="177"/>
  <c r="O52" i="177"/>
  <c r="N52" i="177"/>
  <c r="O51" i="177"/>
  <c r="N51" i="177"/>
  <c r="O50" i="177"/>
  <c r="N50" i="177"/>
  <c r="H50" i="177"/>
  <c r="O49" i="177"/>
  <c r="N49" i="177"/>
  <c r="H49" i="177"/>
  <c r="O48" i="177"/>
  <c r="N48" i="177"/>
  <c r="H48" i="177"/>
  <c r="O47" i="177"/>
  <c r="N47" i="177"/>
  <c r="H47" i="177"/>
  <c r="O46" i="177"/>
  <c r="N46" i="177"/>
  <c r="H46" i="177"/>
  <c r="O45" i="177"/>
  <c r="N45" i="177"/>
  <c r="H45" i="177"/>
  <c r="O44" i="177"/>
  <c r="N44" i="177"/>
  <c r="H44" i="177"/>
  <c r="O43" i="177"/>
  <c r="N43" i="177"/>
  <c r="H43" i="177"/>
  <c r="O42" i="177"/>
  <c r="N42" i="177"/>
  <c r="H42" i="177"/>
  <c r="O41" i="177"/>
  <c r="N41" i="177"/>
  <c r="H41" i="177"/>
  <c r="O40" i="177"/>
  <c r="N40" i="177"/>
  <c r="H40" i="177"/>
  <c r="O39" i="177"/>
  <c r="N39" i="177"/>
  <c r="H39" i="177"/>
  <c r="O38" i="177"/>
  <c r="N38" i="177"/>
  <c r="H38" i="177"/>
  <c r="O37" i="177"/>
  <c r="N37" i="177"/>
  <c r="H37" i="177"/>
  <c r="O36" i="177"/>
  <c r="N36" i="177"/>
  <c r="H36" i="177"/>
  <c r="O35" i="177"/>
  <c r="N35" i="177"/>
  <c r="H35" i="177"/>
  <c r="N34" i="177"/>
  <c r="H34" i="177"/>
  <c r="O33" i="177"/>
  <c r="N33" i="177"/>
  <c r="O32" i="177"/>
  <c r="N32" i="177"/>
  <c r="O31" i="177"/>
  <c r="N31" i="177"/>
  <c r="O30" i="177"/>
  <c r="N30" i="177"/>
  <c r="H30" i="177"/>
  <c r="O29" i="177"/>
  <c r="N29" i="177"/>
  <c r="H29" i="177"/>
  <c r="O28" i="177"/>
  <c r="N28" i="177"/>
  <c r="H28" i="177"/>
  <c r="O27" i="177"/>
  <c r="N27" i="177"/>
  <c r="H27" i="177"/>
  <c r="O26" i="177"/>
  <c r="N26" i="177"/>
  <c r="H26" i="177"/>
  <c r="O25" i="177"/>
  <c r="N25" i="177"/>
  <c r="H25" i="177"/>
  <c r="O24" i="177"/>
  <c r="N24" i="177"/>
  <c r="H24" i="177"/>
  <c r="O23" i="177"/>
  <c r="N23" i="177"/>
  <c r="H23" i="177"/>
  <c r="O22" i="177"/>
  <c r="N22" i="177"/>
  <c r="H22" i="177"/>
  <c r="O21" i="177"/>
  <c r="N21" i="177"/>
  <c r="H21" i="177"/>
  <c r="O20" i="177"/>
  <c r="N20" i="177"/>
  <c r="H20" i="177"/>
  <c r="O19" i="177"/>
  <c r="N19" i="177"/>
  <c r="H19" i="177"/>
  <c r="O18" i="177"/>
  <c r="N18" i="177"/>
  <c r="N17" i="177"/>
  <c r="O16" i="177"/>
  <c r="N16" i="177"/>
  <c r="O15" i="177"/>
  <c r="N15" i="177"/>
  <c r="H15" i="177"/>
  <c r="S14" i="177"/>
  <c r="O14" i="177"/>
  <c r="N14" i="177"/>
  <c r="O13" i="177"/>
  <c r="N13" i="177"/>
  <c r="H13" i="177"/>
  <c r="O12" i="177"/>
  <c r="N12" i="177"/>
  <c r="H12" i="177"/>
  <c r="O11" i="177"/>
  <c r="N11" i="177"/>
  <c r="H11" i="177"/>
  <c r="O10" i="177"/>
  <c r="N10" i="177"/>
  <c r="O9" i="177"/>
  <c r="N9" i="177"/>
  <c r="O8" i="177"/>
  <c r="N8" i="177"/>
  <c r="H8" i="177"/>
  <c r="O7" i="177"/>
  <c r="N7" i="177"/>
  <c r="O6" i="177"/>
  <c r="N6" i="177"/>
  <c r="H6" i="177"/>
  <c r="O5" i="177"/>
  <c r="N5" i="177"/>
  <c r="H5" i="177"/>
  <c r="O4" i="177"/>
  <c r="N4" i="177"/>
  <c r="H4" i="177"/>
  <c r="O3" i="177"/>
  <c r="N3" i="177"/>
  <c r="H3" i="177"/>
  <c r="O2" i="177"/>
  <c r="O229" i="177" s="1"/>
  <c r="B230" i="177" s="1"/>
  <c r="B235" i="177" s="1"/>
  <c r="B241" i="177" s="1"/>
  <c r="B254" i="177" s="1"/>
  <c r="N2" i="177"/>
  <c r="N229" i="177" s="1"/>
  <c r="H2" i="177"/>
  <c r="H229" i="177" s="1"/>
  <c r="B269" i="176"/>
  <c r="B260" i="176"/>
  <c r="B259" i="176"/>
  <c r="B273" i="176" s="1"/>
  <c r="B252" i="176"/>
  <c r="B253" i="176" s="1"/>
  <c r="B250" i="176"/>
  <c r="B249" i="176"/>
  <c r="B248" i="176"/>
  <c r="B251" i="176" s="1"/>
  <c r="B244" i="176"/>
  <c r="B242" i="176"/>
  <c r="B245" i="176" s="1"/>
  <c r="B238" i="176"/>
  <c r="B237" i="176"/>
  <c r="B236" i="176"/>
  <c r="B240" i="176" s="1"/>
  <c r="B233" i="176"/>
  <c r="B231" i="176"/>
  <c r="P229" i="176"/>
  <c r="K229" i="176"/>
  <c r="I229" i="176"/>
  <c r="N228" i="176"/>
  <c r="N227" i="176"/>
  <c r="N226" i="176"/>
  <c r="N225" i="176"/>
  <c r="N224" i="176"/>
  <c r="N223" i="176"/>
  <c r="N222" i="176"/>
  <c r="N221" i="176"/>
  <c r="N220" i="176"/>
  <c r="O219" i="176"/>
  <c r="N219" i="176"/>
  <c r="H219" i="176"/>
  <c r="O218" i="176"/>
  <c r="N218" i="176"/>
  <c r="H218" i="176"/>
  <c r="O217" i="176"/>
  <c r="N217" i="176"/>
  <c r="H217" i="176"/>
  <c r="O216" i="176"/>
  <c r="N216" i="176"/>
  <c r="H216" i="176"/>
  <c r="O215" i="176"/>
  <c r="N215" i="176"/>
  <c r="H215" i="176"/>
  <c r="O214" i="176"/>
  <c r="N214" i="176"/>
  <c r="O213" i="176"/>
  <c r="N213" i="176"/>
  <c r="H213" i="176"/>
  <c r="O212" i="176"/>
  <c r="N212" i="176"/>
  <c r="H212" i="176"/>
  <c r="O211" i="176"/>
  <c r="N211" i="176"/>
  <c r="H211" i="176"/>
  <c r="O210" i="176"/>
  <c r="N210" i="176"/>
  <c r="H210" i="176"/>
  <c r="O209" i="176"/>
  <c r="N209" i="176"/>
  <c r="H209" i="176"/>
  <c r="O208" i="176"/>
  <c r="N208" i="176"/>
  <c r="H208" i="176"/>
  <c r="O207" i="176"/>
  <c r="N207" i="176"/>
  <c r="H207" i="176"/>
  <c r="O206" i="176"/>
  <c r="N206" i="176"/>
  <c r="H206" i="176"/>
  <c r="O205" i="176"/>
  <c r="N205" i="176"/>
  <c r="H205" i="176"/>
  <c r="O204" i="176"/>
  <c r="N204" i="176"/>
  <c r="H204" i="176"/>
  <c r="O203" i="176"/>
  <c r="N203" i="176"/>
  <c r="H203" i="176"/>
  <c r="O202" i="176"/>
  <c r="N202" i="176"/>
  <c r="H202" i="176"/>
  <c r="O201" i="176"/>
  <c r="N201" i="176"/>
  <c r="H201" i="176"/>
  <c r="O200" i="176"/>
  <c r="N200" i="176"/>
  <c r="H200" i="176"/>
  <c r="O199" i="176"/>
  <c r="N199" i="176"/>
  <c r="H199" i="176"/>
  <c r="O198" i="176"/>
  <c r="N198" i="176"/>
  <c r="H198" i="176"/>
  <c r="O197" i="176"/>
  <c r="N197" i="176"/>
  <c r="H197" i="176"/>
  <c r="O196" i="176"/>
  <c r="N196" i="176"/>
  <c r="H196" i="176"/>
  <c r="O195" i="176"/>
  <c r="N195" i="176"/>
  <c r="H195" i="176"/>
  <c r="O194" i="176"/>
  <c r="N194" i="176"/>
  <c r="H194" i="176"/>
  <c r="O193" i="176"/>
  <c r="N193" i="176"/>
  <c r="H193" i="176"/>
  <c r="O192" i="176"/>
  <c r="N192" i="176"/>
  <c r="O191" i="176"/>
  <c r="N191" i="176"/>
  <c r="H191" i="176"/>
  <c r="O190" i="176"/>
  <c r="N190" i="176"/>
  <c r="H190" i="176"/>
  <c r="O189" i="176"/>
  <c r="N189" i="176"/>
  <c r="H189" i="176"/>
  <c r="O188" i="176"/>
  <c r="N188" i="176"/>
  <c r="H188" i="176"/>
  <c r="O187" i="176"/>
  <c r="N187" i="176"/>
  <c r="H187" i="176"/>
  <c r="O186" i="176"/>
  <c r="N186" i="176"/>
  <c r="H186" i="176"/>
  <c r="O185" i="176"/>
  <c r="N185" i="176"/>
  <c r="H185" i="176"/>
  <c r="O184" i="176"/>
  <c r="N184" i="176"/>
  <c r="O183" i="176"/>
  <c r="N183" i="176"/>
  <c r="O182" i="176"/>
  <c r="N182" i="176"/>
  <c r="O181" i="176"/>
  <c r="N181" i="176"/>
  <c r="H181" i="176"/>
  <c r="O180" i="176"/>
  <c r="N180" i="176"/>
  <c r="H180" i="176"/>
  <c r="O179" i="176"/>
  <c r="N179" i="176"/>
  <c r="H179" i="176"/>
  <c r="O178" i="176"/>
  <c r="N178" i="176"/>
  <c r="H178" i="176"/>
  <c r="O177" i="176"/>
  <c r="N177" i="176"/>
  <c r="H177" i="176"/>
  <c r="O176" i="176"/>
  <c r="N176" i="176"/>
  <c r="H176" i="176"/>
  <c r="O175" i="176"/>
  <c r="N175" i="176"/>
  <c r="H175" i="176"/>
  <c r="O174" i="176"/>
  <c r="N174" i="176"/>
  <c r="H174" i="176"/>
  <c r="O173" i="176"/>
  <c r="N173" i="176"/>
  <c r="H173" i="176"/>
  <c r="O172" i="176"/>
  <c r="N172" i="176"/>
  <c r="H172" i="176"/>
  <c r="O171" i="176"/>
  <c r="N171" i="176"/>
  <c r="H171" i="176"/>
  <c r="O170" i="176"/>
  <c r="N170" i="176"/>
  <c r="H170" i="176"/>
  <c r="O169" i="176"/>
  <c r="N169" i="176"/>
  <c r="H169" i="176"/>
  <c r="O168" i="176"/>
  <c r="N168" i="176"/>
  <c r="O167" i="176"/>
  <c r="N167" i="176"/>
  <c r="H167" i="176"/>
  <c r="O166" i="176"/>
  <c r="N166" i="176"/>
  <c r="H166" i="176"/>
  <c r="O165" i="176"/>
  <c r="N165" i="176"/>
  <c r="H165" i="176"/>
  <c r="O164" i="176"/>
  <c r="N164" i="176"/>
  <c r="H164" i="176"/>
  <c r="O163" i="176"/>
  <c r="N163" i="176"/>
  <c r="H163" i="176"/>
  <c r="O162" i="176"/>
  <c r="N162" i="176"/>
  <c r="H162" i="176"/>
  <c r="O161" i="176"/>
  <c r="N161" i="176"/>
  <c r="H161" i="176"/>
  <c r="N160" i="176"/>
  <c r="H160" i="176"/>
  <c r="O159" i="176"/>
  <c r="N159" i="176"/>
  <c r="N158" i="176"/>
  <c r="O157" i="176"/>
  <c r="N157" i="176"/>
  <c r="H157" i="176"/>
  <c r="O156" i="176"/>
  <c r="N156" i="176"/>
  <c r="H156" i="176"/>
  <c r="O155" i="176"/>
  <c r="N155" i="176"/>
  <c r="H155" i="176"/>
  <c r="O154" i="176"/>
  <c r="N154" i="176"/>
  <c r="H154" i="176"/>
  <c r="O153" i="176"/>
  <c r="N153" i="176"/>
  <c r="H153" i="176"/>
  <c r="O152" i="176"/>
  <c r="N152" i="176"/>
  <c r="H152" i="176"/>
  <c r="O151" i="176"/>
  <c r="N151" i="176"/>
  <c r="H151" i="176"/>
  <c r="O150" i="176"/>
  <c r="N150" i="176"/>
  <c r="H150" i="176"/>
  <c r="O149" i="176"/>
  <c r="N149" i="176"/>
  <c r="H149" i="176"/>
  <c r="O148" i="176"/>
  <c r="N148" i="176"/>
  <c r="H148" i="176"/>
  <c r="O147" i="176"/>
  <c r="N147" i="176"/>
  <c r="H147" i="176"/>
  <c r="O146" i="176"/>
  <c r="N146" i="176"/>
  <c r="H146" i="176"/>
  <c r="O145" i="176"/>
  <c r="N145" i="176"/>
  <c r="H145" i="176"/>
  <c r="O144" i="176"/>
  <c r="N144" i="176"/>
  <c r="H144" i="176"/>
  <c r="O143" i="176"/>
  <c r="N143" i="176"/>
  <c r="H143" i="176"/>
  <c r="O142" i="176"/>
  <c r="N142" i="176"/>
  <c r="H142" i="176"/>
  <c r="O141" i="176"/>
  <c r="N141" i="176"/>
  <c r="H141" i="176"/>
  <c r="O140" i="176"/>
  <c r="N140" i="176"/>
  <c r="H140" i="176"/>
  <c r="O139" i="176"/>
  <c r="N139" i="176"/>
  <c r="H139" i="176"/>
  <c r="O138" i="176"/>
  <c r="N138" i="176"/>
  <c r="H138" i="176"/>
  <c r="O137" i="176"/>
  <c r="N137" i="176"/>
  <c r="H137" i="176"/>
  <c r="O136" i="176"/>
  <c r="N136" i="176"/>
  <c r="H136" i="176"/>
  <c r="O135" i="176"/>
  <c r="N135" i="176"/>
  <c r="H135" i="176"/>
  <c r="O134" i="176"/>
  <c r="N134" i="176"/>
  <c r="H134" i="176"/>
  <c r="O133" i="176"/>
  <c r="N133" i="176"/>
  <c r="H133" i="176"/>
  <c r="O132" i="176"/>
  <c r="N132" i="176"/>
  <c r="H132" i="176"/>
  <c r="O131" i="176"/>
  <c r="N131" i="176"/>
  <c r="H131" i="176"/>
  <c r="O130" i="176"/>
  <c r="N130" i="176"/>
  <c r="H130" i="176"/>
  <c r="O129" i="176"/>
  <c r="N129" i="176"/>
  <c r="H129" i="176"/>
  <c r="O128" i="176"/>
  <c r="N128" i="176"/>
  <c r="O127" i="176"/>
  <c r="N127" i="176"/>
  <c r="H127" i="176"/>
  <c r="O126" i="176"/>
  <c r="N126" i="176"/>
  <c r="H126" i="176"/>
  <c r="O125" i="176"/>
  <c r="N125" i="176"/>
  <c r="H125" i="176"/>
  <c r="O124" i="176"/>
  <c r="N124" i="176"/>
  <c r="H124" i="176"/>
  <c r="O123" i="176"/>
  <c r="N123" i="176"/>
  <c r="H123" i="176"/>
  <c r="O122" i="176"/>
  <c r="N122" i="176"/>
  <c r="H122" i="176"/>
  <c r="O121" i="176"/>
  <c r="N121" i="176"/>
  <c r="H121" i="176"/>
  <c r="O120" i="176"/>
  <c r="N120" i="176"/>
  <c r="H120" i="176"/>
  <c r="O119" i="176"/>
  <c r="N119" i="176"/>
  <c r="H119" i="176"/>
  <c r="O118" i="176"/>
  <c r="N118" i="176"/>
  <c r="H118" i="176"/>
  <c r="O117" i="176"/>
  <c r="N117" i="176"/>
  <c r="H117" i="176"/>
  <c r="O116" i="176"/>
  <c r="N116" i="176"/>
  <c r="H116" i="176"/>
  <c r="O115" i="176"/>
  <c r="N115" i="176"/>
  <c r="H115" i="176"/>
  <c r="O114" i="176"/>
  <c r="N114" i="176"/>
  <c r="H114" i="176"/>
  <c r="O113" i="176"/>
  <c r="N113" i="176"/>
  <c r="H113" i="176"/>
  <c r="O112" i="176"/>
  <c r="N112" i="176"/>
  <c r="H112" i="176"/>
  <c r="O111" i="176"/>
  <c r="N111" i="176"/>
  <c r="H111" i="176"/>
  <c r="O110" i="176"/>
  <c r="N110" i="176"/>
  <c r="H110" i="176"/>
  <c r="O109" i="176"/>
  <c r="N109" i="176"/>
  <c r="H109" i="176"/>
  <c r="O108" i="176"/>
  <c r="N108" i="176"/>
  <c r="H108" i="176"/>
  <c r="O107" i="176"/>
  <c r="N107" i="176"/>
  <c r="H107" i="176"/>
  <c r="O106" i="176"/>
  <c r="N106" i="176"/>
  <c r="H106" i="176"/>
  <c r="O105" i="176"/>
  <c r="N105" i="176"/>
  <c r="H105" i="176"/>
  <c r="O104" i="176"/>
  <c r="N104" i="176"/>
  <c r="H104" i="176"/>
  <c r="O103" i="176"/>
  <c r="N103" i="176"/>
  <c r="H103" i="176"/>
  <c r="O102" i="176"/>
  <c r="N102" i="176"/>
  <c r="H102" i="176"/>
  <c r="O101" i="176"/>
  <c r="N101" i="176"/>
  <c r="H101" i="176"/>
  <c r="O100" i="176"/>
  <c r="N100" i="176"/>
  <c r="H100" i="176"/>
  <c r="O99" i="176"/>
  <c r="N99" i="176"/>
  <c r="H99" i="176"/>
  <c r="O98" i="176"/>
  <c r="N98" i="176"/>
  <c r="H98" i="176"/>
  <c r="O97" i="176"/>
  <c r="N97" i="176"/>
  <c r="H97" i="176"/>
  <c r="O96" i="176"/>
  <c r="N96" i="176"/>
  <c r="H96" i="176"/>
  <c r="O95" i="176"/>
  <c r="N95" i="176"/>
  <c r="H95" i="176"/>
  <c r="O94" i="176"/>
  <c r="N94" i="176"/>
  <c r="H94" i="176"/>
  <c r="O93" i="176"/>
  <c r="N93" i="176"/>
  <c r="H93" i="176"/>
  <c r="N92" i="176"/>
  <c r="H92" i="176"/>
  <c r="N91" i="176"/>
  <c r="H91" i="176"/>
  <c r="N90" i="176"/>
  <c r="H90" i="176"/>
  <c r="O89" i="176"/>
  <c r="N89" i="176"/>
  <c r="H89" i="176"/>
  <c r="O88" i="176"/>
  <c r="N88" i="176"/>
  <c r="H88" i="176"/>
  <c r="O87" i="176"/>
  <c r="N87" i="176"/>
  <c r="H87" i="176"/>
  <c r="O86" i="176"/>
  <c r="N86" i="176"/>
  <c r="H86" i="176"/>
  <c r="O85" i="176"/>
  <c r="N85" i="176"/>
  <c r="H85" i="176"/>
  <c r="O84" i="176"/>
  <c r="N84" i="176"/>
  <c r="H84" i="176"/>
  <c r="O83" i="176"/>
  <c r="N83" i="176"/>
  <c r="H83" i="176"/>
  <c r="O82" i="176"/>
  <c r="N82" i="176"/>
  <c r="O81" i="176"/>
  <c r="N81" i="176"/>
  <c r="O80" i="176"/>
  <c r="N80" i="176"/>
  <c r="H80" i="176"/>
  <c r="O79" i="176"/>
  <c r="N79" i="176"/>
  <c r="H79" i="176"/>
  <c r="O78" i="176"/>
  <c r="N78" i="176"/>
  <c r="O77" i="176"/>
  <c r="N77" i="176"/>
  <c r="H77" i="176"/>
  <c r="O76" i="176"/>
  <c r="N76" i="176"/>
  <c r="H76" i="176"/>
  <c r="O75" i="176"/>
  <c r="N75" i="176"/>
  <c r="H75" i="176"/>
  <c r="O74" i="176"/>
  <c r="N74" i="176"/>
  <c r="H74" i="176"/>
  <c r="O73" i="176"/>
  <c r="N73" i="176"/>
  <c r="H73" i="176"/>
  <c r="O72" i="176"/>
  <c r="N72" i="176"/>
  <c r="H72" i="176"/>
  <c r="O71" i="176"/>
  <c r="N71" i="176"/>
  <c r="H71" i="176"/>
  <c r="O70" i="176"/>
  <c r="N70" i="176"/>
  <c r="H70" i="176"/>
  <c r="T69" i="176"/>
  <c r="T96" i="176" s="1"/>
  <c r="O69" i="176"/>
  <c r="N69" i="176"/>
  <c r="H69" i="176"/>
  <c r="O68" i="176"/>
  <c r="N68" i="176"/>
  <c r="H68" i="176"/>
  <c r="O67" i="176"/>
  <c r="N67" i="176"/>
  <c r="H67" i="176"/>
  <c r="O66" i="176"/>
  <c r="N66" i="176"/>
  <c r="H66" i="176"/>
  <c r="O65" i="176"/>
  <c r="N65" i="176"/>
  <c r="H65" i="176"/>
  <c r="O64" i="176"/>
  <c r="N64" i="176"/>
  <c r="H64" i="176"/>
  <c r="O63" i="176"/>
  <c r="N63" i="176"/>
  <c r="H63" i="176"/>
  <c r="O62" i="176"/>
  <c r="N62" i="176"/>
  <c r="H62" i="176"/>
  <c r="O61" i="176"/>
  <c r="N61" i="176"/>
  <c r="H61" i="176"/>
  <c r="O60" i="176"/>
  <c r="N60" i="176"/>
  <c r="H60" i="176"/>
  <c r="O59" i="176"/>
  <c r="N59" i="176"/>
  <c r="H59" i="176"/>
  <c r="O58" i="176"/>
  <c r="N58" i="176"/>
  <c r="H58" i="176"/>
  <c r="O57" i="176"/>
  <c r="N57" i="176"/>
  <c r="H57" i="176"/>
  <c r="O56" i="176"/>
  <c r="N56" i="176"/>
  <c r="H56" i="176"/>
  <c r="O55" i="176"/>
  <c r="N55" i="176"/>
  <c r="O54" i="176"/>
  <c r="N54" i="176"/>
  <c r="H54" i="176"/>
  <c r="O53" i="176"/>
  <c r="N53" i="176"/>
  <c r="H53" i="176"/>
  <c r="O52" i="176"/>
  <c r="N52" i="176"/>
  <c r="O51" i="176"/>
  <c r="N51" i="176"/>
  <c r="O50" i="176"/>
  <c r="N50" i="176"/>
  <c r="H50" i="176"/>
  <c r="O49" i="176"/>
  <c r="N49" i="176"/>
  <c r="H49" i="176"/>
  <c r="O48" i="176"/>
  <c r="N48" i="176"/>
  <c r="H48" i="176"/>
  <c r="O47" i="176"/>
  <c r="N47" i="176"/>
  <c r="H47" i="176"/>
  <c r="O46" i="176"/>
  <c r="N46" i="176"/>
  <c r="H46" i="176"/>
  <c r="O45" i="176"/>
  <c r="N45" i="176"/>
  <c r="H45" i="176"/>
  <c r="O44" i="176"/>
  <c r="N44" i="176"/>
  <c r="H44" i="176"/>
  <c r="O43" i="176"/>
  <c r="N43" i="176"/>
  <c r="H43" i="176"/>
  <c r="O42" i="176"/>
  <c r="N42" i="176"/>
  <c r="H42" i="176"/>
  <c r="O41" i="176"/>
  <c r="N41" i="176"/>
  <c r="H41" i="176"/>
  <c r="O40" i="176"/>
  <c r="N40" i="176"/>
  <c r="H40" i="176"/>
  <c r="O39" i="176"/>
  <c r="N39" i="176"/>
  <c r="H39" i="176"/>
  <c r="O38" i="176"/>
  <c r="N38" i="176"/>
  <c r="H38" i="176"/>
  <c r="O37" i="176"/>
  <c r="N37" i="176"/>
  <c r="H37" i="176"/>
  <c r="O36" i="176"/>
  <c r="N36" i="176"/>
  <c r="H36" i="176"/>
  <c r="O35" i="176"/>
  <c r="N35" i="176"/>
  <c r="H35" i="176"/>
  <c r="N34" i="176"/>
  <c r="H34" i="176"/>
  <c r="O33" i="176"/>
  <c r="N33" i="176"/>
  <c r="O32" i="176"/>
  <c r="N32" i="176"/>
  <c r="O31" i="176"/>
  <c r="N31" i="176"/>
  <c r="O30" i="176"/>
  <c r="N30" i="176"/>
  <c r="H30" i="176"/>
  <c r="O29" i="176"/>
  <c r="N29" i="176"/>
  <c r="H29" i="176"/>
  <c r="O28" i="176"/>
  <c r="N28" i="176"/>
  <c r="H28" i="176"/>
  <c r="O27" i="176"/>
  <c r="N27" i="176"/>
  <c r="H27" i="176"/>
  <c r="O26" i="176"/>
  <c r="N26" i="176"/>
  <c r="H26" i="176"/>
  <c r="O25" i="176"/>
  <c r="N25" i="176"/>
  <c r="H25" i="176"/>
  <c r="O24" i="176"/>
  <c r="N24" i="176"/>
  <c r="H24" i="176"/>
  <c r="O23" i="176"/>
  <c r="N23" i="176"/>
  <c r="H23" i="176"/>
  <c r="O22" i="176"/>
  <c r="N22" i="176"/>
  <c r="H22" i="176"/>
  <c r="O21" i="176"/>
  <c r="N21" i="176"/>
  <c r="H21" i="176"/>
  <c r="O20" i="176"/>
  <c r="N20" i="176"/>
  <c r="H20" i="176"/>
  <c r="O19" i="176"/>
  <c r="N19" i="176"/>
  <c r="H19" i="176"/>
  <c r="O18" i="176"/>
  <c r="N18" i="176"/>
  <c r="N17" i="176"/>
  <c r="O16" i="176"/>
  <c r="N16" i="176"/>
  <c r="O15" i="176"/>
  <c r="N15" i="176"/>
  <c r="H15" i="176"/>
  <c r="S14" i="176"/>
  <c r="O14" i="176"/>
  <c r="N14" i="176"/>
  <c r="O13" i="176"/>
  <c r="N13" i="176"/>
  <c r="H13" i="176"/>
  <c r="O12" i="176"/>
  <c r="N12" i="176"/>
  <c r="H12" i="176"/>
  <c r="O11" i="176"/>
  <c r="N11" i="176"/>
  <c r="H11" i="176"/>
  <c r="O10" i="176"/>
  <c r="N10" i="176"/>
  <c r="O9" i="176"/>
  <c r="N9" i="176"/>
  <c r="O8" i="176"/>
  <c r="N8" i="176"/>
  <c r="H8" i="176"/>
  <c r="O7" i="176"/>
  <c r="N7" i="176"/>
  <c r="O6" i="176"/>
  <c r="N6" i="176"/>
  <c r="H6" i="176"/>
  <c r="O5" i="176"/>
  <c r="N5" i="176"/>
  <c r="H5" i="176"/>
  <c r="O4" i="176"/>
  <c r="N4" i="176"/>
  <c r="H4" i="176"/>
  <c r="O3" i="176"/>
  <c r="N3" i="176"/>
  <c r="H3" i="176"/>
  <c r="O2" i="176"/>
  <c r="O229" i="176" s="1"/>
  <c r="B230" i="176" s="1"/>
  <c r="B235" i="176" s="1"/>
  <c r="B241" i="176" s="1"/>
  <c r="B254" i="176" s="1"/>
  <c r="N2" i="176"/>
  <c r="N229" i="176" s="1"/>
  <c r="H2" i="176"/>
  <c r="H229" i="176" s="1"/>
  <c r="B269" i="175"/>
  <c r="B260" i="175"/>
  <c r="B259" i="175"/>
  <c r="B273" i="175" s="1"/>
  <c r="B252" i="175"/>
  <c r="B253" i="175" s="1"/>
  <c r="B250" i="175"/>
  <c r="B249" i="175"/>
  <c r="B248" i="175"/>
  <c r="B251" i="175" s="1"/>
  <c r="B244" i="175"/>
  <c r="B242" i="175"/>
  <c r="B245" i="175" s="1"/>
  <c r="B238" i="175"/>
  <c r="B237" i="175"/>
  <c r="B236" i="175"/>
  <c r="B240" i="175" s="1"/>
  <c r="B233" i="175"/>
  <c r="B231" i="175"/>
  <c r="P229" i="175"/>
  <c r="K229" i="175"/>
  <c r="I229" i="175"/>
  <c r="N228" i="175"/>
  <c r="N227" i="175"/>
  <c r="N226" i="175"/>
  <c r="N225" i="175"/>
  <c r="N224" i="175"/>
  <c r="N223" i="175"/>
  <c r="N222" i="175"/>
  <c r="N221" i="175"/>
  <c r="N220" i="175"/>
  <c r="O219" i="175"/>
  <c r="N219" i="175"/>
  <c r="H219" i="175"/>
  <c r="O218" i="175"/>
  <c r="N218" i="175"/>
  <c r="H218" i="175"/>
  <c r="O217" i="175"/>
  <c r="N217" i="175"/>
  <c r="H217" i="175"/>
  <c r="O216" i="175"/>
  <c r="N216" i="175"/>
  <c r="H216" i="175"/>
  <c r="O215" i="175"/>
  <c r="N215" i="175"/>
  <c r="H215" i="175"/>
  <c r="O214" i="175"/>
  <c r="N214" i="175"/>
  <c r="O213" i="175"/>
  <c r="N213" i="175"/>
  <c r="H213" i="175"/>
  <c r="O212" i="175"/>
  <c r="N212" i="175"/>
  <c r="H212" i="175"/>
  <c r="O211" i="175"/>
  <c r="N211" i="175"/>
  <c r="H211" i="175"/>
  <c r="O210" i="175"/>
  <c r="N210" i="175"/>
  <c r="H210" i="175"/>
  <c r="O209" i="175"/>
  <c r="N209" i="175"/>
  <c r="H209" i="175"/>
  <c r="O208" i="175"/>
  <c r="N208" i="175"/>
  <c r="H208" i="175"/>
  <c r="O207" i="175"/>
  <c r="N207" i="175"/>
  <c r="H207" i="175"/>
  <c r="O206" i="175"/>
  <c r="N206" i="175"/>
  <c r="H206" i="175"/>
  <c r="O205" i="175"/>
  <c r="N205" i="175"/>
  <c r="H205" i="175"/>
  <c r="O204" i="175"/>
  <c r="N204" i="175"/>
  <c r="H204" i="175"/>
  <c r="O203" i="175"/>
  <c r="N203" i="175"/>
  <c r="H203" i="175"/>
  <c r="O202" i="175"/>
  <c r="N202" i="175"/>
  <c r="H202" i="175"/>
  <c r="O201" i="175"/>
  <c r="N201" i="175"/>
  <c r="H201" i="175"/>
  <c r="O200" i="175"/>
  <c r="N200" i="175"/>
  <c r="H200" i="175"/>
  <c r="O199" i="175"/>
  <c r="N199" i="175"/>
  <c r="H199" i="175"/>
  <c r="O198" i="175"/>
  <c r="N198" i="175"/>
  <c r="H198" i="175"/>
  <c r="O197" i="175"/>
  <c r="N197" i="175"/>
  <c r="H197" i="175"/>
  <c r="O196" i="175"/>
  <c r="N196" i="175"/>
  <c r="H196" i="175"/>
  <c r="O195" i="175"/>
  <c r="N195" i="175"/>
  <c r="H195" i="175"/>
  <c r="O194" i="175"/>
  <c r="N194" i="175"/>
  <c r="H194" i="175"/>
  <c r="O193" i="175"/>
  <c r="N193" i="175"/>
  <c r="H193" i="175"/>
  <c r="O192" i="175"/>
  <c r="N192" i="175"/>
  <c r="O191" i="175"/>
  <c r="N191" i="175"/>
  <c r="H191" i="175"/>
  <c r="O190" i="175"/>
  <c r="N190" i="175"/>
  <c r="H190" i="175"/>
  <c r="O189" i="175"/>
  <c r="N189" i="175"/>
  <c r="H189" i="175"/>
  <c r="O188" i="175"/>
  <c r="N188" i="175"/>
  <c r="H188" i="175"/>
  <c r="O187" i="175"/>
  <c r="N187" i="175"/>
  <c r="H187" i="175"/>
  <c r="O186" i="175"/>
  <c r="N186" i="175"/>
  <c r="H186" i="175"/>
  <c r="O185" i="175"/>
  <c r="N185" i="175"/>
  <c r="H185" i="175"/>
  <c r="O184" i="175"/>
  <c r="N184" i="175"/>
  <c r="O183" i="175"/>
  <c r="N183" i="175"/>
  <c r="O182" i="175"/>
  <c r="N182" i="175"/>
  <c r="O181" i="175"/>
  <c r="N181" i="175"/>
  <c r="H181" i="175"/>
  <c r="O180" i="175"/>
  <c r="N180" i="175"/>
  <c r="H180" i="175"/>
  <c r="O179" i="175"/>
  <c r="N179" i="175"/>
  <c r="H179" i="175"/>
  <c r="O178" i="175"/>
  <c r="N178" i="175"/>
  <c r="H178" i="175"/>
  <c r="O177" i="175"/>
  <c r="N177" i="175"/>
  <c r="H177" i="175"/>
  <c r="O176" i="175"/>
  <c r="N176" i="175"/>
  <c r="H176" i="175"/>
  <c r="O175" i="175"/>
  <c r="N175" i="175"/>
  <c r="H175" i="175"/>
  <c r="O174" i="175"/>
  <c r="N174" i="175"/>
  <c r="H174" i="175"/>
  <c r="O173" i="175"/>
  <c r="N173" i="175"/>
  <c r="H173" i="175"/>
  <c r="O172" i="175"/>
  <c r="N172" i="175"/>
  <c r="H172" i="175"/>
  <c r="O171" i="175"/>
  <c r="N171" i="175"/>
  <c r="H171" i="175"/>
  <c r="O170" i="175"/>
  <c r="N170" i="175"/>
  <c r="H170" i="175"/>
  <c r="O169" i="175"/>
  <c r="N169" i="175"/>
  <c r="H169" i="175"/>
  <c r="O168" i="175"/>
  <c r="N168" i="175"/>
  <c r="O167" i="175"/>
  <c r="N167" i="175"/>
  <c r="H167" i="175"/>
  <c r="O166" i="175"/>
  <c r="N166" i="175"/>
  <c r="H166" i="175"/>
  <c r="O165" i="175"/>
  <c r="N165" i="175"/>
  <c r="H165" i="175"/>
  <c r="O164" i="175"/>
  <c r="N164" i="175"/>
  <c r="H164" i="175"/>
  <c r="O163" i="175"/>
  <c r="N163" i="175"/>
  <c r="H163" i="175"/>
  <c r="O162" i="175"/>
  <c r="N162" i="175"/>
  <c r="H162" i="175"/>
  <c r="O161" i="175"/>
  <c r="N161" i="175"/>
  <c r="H161" i="175"/>
  <c r="N160" i="175"/>
  <c r="H160" i="175"/>
  <c r="O159" i="175"/>
  <c r="N159" i="175"/>
  <c r="N158" i="175"/>
  <c r="O157" i="175"/>
  <c r="N157" i="175"/>
  <c r="H157" i="175"/>
  <c r="O156" i="175"/>
  <c r="N156" i="175"/>
  <c r="H156" i="175"/>
  <c r="O155" i="175"/>
  <c r="N155" i="175"/>
  <c r="H155" i="175"/>
  <c r="O154" i="175"/>
  <c r="N154" i="175"/>
  <c r="H154" i="175"/>
  <c r="O153" i="175"/>
  <c r="N153" i="175"/>
  <c r="H153" i="175"/>
  <c r="O152" i="175"/>
  <c r="N152" i="175"/>
  <c r="H152" i="175"/>
  <c r="O151" i="175"/>
  <c r="N151" i="175"/>
  <c r="H151" i="175"/>
  <c r="O150" i="175"/>
  <c r="N150" i="175"/>
  <c r="H150" i="175"/>
  <c r="O149" i="175"/>
  <c r="N149" i="175"/>
  <c r="H149" i="175"/>
  <c r="O148" i="175"/>
  <c r="N148" i="175"/>
  <c r="H148" i="175"/>
  <c r="O147" i="175"/>
  <c r="N147" i="175"/>
  <c r="H147" i="175"/>
  <c r="O146" i="175"/>
  <c r="N146" i="175"/>
  <c r="H146" i="175"/>
  <c r="O145" i="175"/>
  <c r="N145" i="175"/>
  <c r="H145" i="175"/>
  <c r="O144" i="175"/>
  <c r="N144" i="175"/>
  <c r="H144" i="175"/>
  <c r="O143" i="175"/>
  <c r="N143" i="175"/>
  <c r="H143" i="175"/>
  <c r="O142" i="175"/>
  <c r="N142" i="175"/>
  <c r="H142" i="175"/>
  <c r="O141" i="175"/>
  <c r="N141" i="175"/>
  <c r="H141" i="175"/>
  <c r="O140" i="175"/>
  <c r="N140" i="175"/>
  <c r="H140" i="175"/>
  <c r="O139" i="175"/>
  <c r="N139" i="175"/>
  <c r="H139" i="175"/>
  <c r="O138" i="175"/>
  <c r="N138" i="175"/>
  <c r="H138" i="175"/>
  <c r="O137" i="175"/>
  <c r="N137" i="175"/>
  <c r="H137" i="175"/>
  <c r="O136" i="175"/>
  <c r="N136" i="175"/>
  <c r="H136" i="175"/>
  <c r="O135" i="175"/>
  <c r="N135" i="175"/>
  <c r="H135" i="175"/>
  <c r="O134" i="175"/>
  <c r="N134" i="175"/>
  <c r="H134" i="175"/>
  <c r="O133" i="175"/>
  <c r="N133" i="175"/>
  <c r="H133" i="175"/>
  <c r="O132" i="175"/>
  <c r="N132" i="175"/>
  <c r="H132" i="175"/>
  <c r="O131" i="175"/>
  <c r="N131" i="175"/>
  <c r="H131" i="175"/>
  <c r="O130" i="175"/>
  <c r="N130" i="175"/>
  <c r="H130" i="175"/>
  <c r="O129" i="175"/>
  <c r="N129" i="175"/>
  <c r="H129" i="175"/>
  <c r="O128" i="175"/>
  <c r="N128" i="175"/>
  <c r="H128" i="175"/>
  <c r="O127" i="175"/>
  <c r="N127" i="175"/>
  <c r="H127" i="175"/>
  <c r="O126" i="175"/>
  <c r="N126" i="175"/>
  <c r="H126" i="175"/>
  <c r="O125" i="175"/>
  <c r="N125" i="175"/>
  <c r="H125" i="175"/>
  <c r="O124" i="175"/>
  <c r="N124" i="175"/>
  <c r="H124" i="175"/>
  <c r="O123" i="175"/>
  <c r="N123" i="175"/>
  <c r="H123" i="175"/>
  <c r="O122" i="175"/>
  <c r="N122" i="175"/>
  <c r="H122" i="175"/>
  <c r="O121" i="175"/>
  <c r="N121" i="175"/>
  <c r="H121" i="175"/>
  <c r="O120" i="175"/>
  <c r="N120" i="175"/>
  <c r="H120" i="175"/>
  <c r="O119" i="175"/>
  <c r="N119" i="175"/>
  <c r="H119" i="175"/>
  <c r="O118" i="175"/>
  <c r="N118" i="175"/>
  <c r="H118" i="175"/>
  <c r="O117" i="175"/>
  <c r="N117" i="175"/>
  <c r="H117" i="175"/>
  <c r="O116" i="175"/>
  <c r="N116" i="175"/>
  <c r="H116" i="175"/>
  <c r="O115" i="175"/>
  <c r="N115" i="175"/>
  <c r="H115" i="175"/>
  <c r="O114" i="175"/>
  <c r="N114" i="175"/>
  <c r="H114" i="175"/>
  <c r="O113" i="175"/>
  <c r="N113" i="175"/>
  <c r="H113" i="175"/>
  <c r="O112" i="175"/>
  <c r="N112" i="175"/>
  <c r="H112" i="175"/>
  <c r="O111" i="175"/>
  <c r="N111" i="175"/>
  <c r="H111" i="175"/>
  <c r="O110" i="175"/>
  <c r="N110" i="175"/>
  <c r="H110" i="175"/>
  <c r="O109" i="175"/>
  <c r="N109" i="175"/>
  <c r="H109" i="175"/>
  <c r="O108" i="175"/>
  <c r="N108" i="175"/>
  <c r="H108" i="175"/>
  <c r="O107" i="175"/>
  <c r="N107" i="175"/>
  <c r="H107" i="175"/>
  <c r="O106" i="175"/>
  <c r="N106" i="175"/>
  <c r="H106" i="175"/>
  <c r="O105" i="175"/>
  <c r="N105" i="175"/>
  <c r="H105" i="175"/>
  <c r="O104" i="175"/>
  <c r="N104" i="175"/>
  <c r="H104" i="175"/>
  <c r="O103" i="175"/>
  <c r="N103" i="175"/>
  <c r="H103" i="175"/>
  <c r="O102" i="175"/>
  <c r="N102" i="175"/>
  <c r="H102" i="175"/>
  <c r="O101" i="175"/>
  <c r="N101" i="175"/>
  <c r="H101" i="175"/>
  <c r="O100" i="175"/>
  <c r="N100" i="175"/>
  <c r="H100" i="175"/>
  <c r="O99" i="175"/>
  <c r="N99" i="175"/>
  <c r="H99" i="175"/>
  <c r="O98" i="175"/>
  <c r="N98" i="175"/>
  <c r="H98" i="175"/>
  <c r="O97" i="175"/>
  <c r="N97" i="175"/>
  <c r="H97" i="175"/>
  <c r="O96" i="175"/>
  <c r="N96" i="175"/>
  <c r="H96" i="175"/>
  <c r="O95" i="175"/>
  <c r="N95" i="175"/>
  <c r="H95" i="175"/>
  <c r="O94" i="175"/>
  <c r="N94" i="175"/>
  <c r="H94" i="175"/>
  <c r="O93" i="175"/>
  <c r="N93" i="175"/>
  <c r="H93" i="175"/>
  <c r="N92" i="175"/>
  <c r="H92" i="175"/>
  <c r="N91" i="175"/>
  <c r="H91" i="175"/>
  <c r="N90" i="175"/>
  <c r="H90" i="175"/>
  <c r="O89" i="175"/>
  <c r="N89" i="175"/>
  <c r="H89" i="175"/>
  <c r="O88" i="175"/>
  <c r="N88" i="175"/>
  <c r="H88" i="175"/>
  <c r="O87" i="175"/>
  <c r="N87" i="175"/>
  <c r="H87" i="175"/>
  <c r="O86" i="175"/>
  <c r="N86" i="175"/>
  <c r="H86" i="175"/>
  <c r="O85" i="175"/>
  <c r="N85" i="175"/>
  <c r="H85" i="175"/>
  <c r="O84" i="175"/>
  <c r="N84" i="175"/>
  <c r="H84" i="175"/>
  <c r="O83" i="175"/>
  <c r="N83" i="175"/>
  <c r="H83" i="175"/>
  <c r="O82" i="175"/>
  <c r="N82" i="175"/>
  <c r="O81" i="175"/>
  <c r="N81" i="175"/>
  <c r="O80" i="175"/>
  <c r="N80" i="175"/>
  <c r="H80" i="175"/>
  <c r="O79" i="175"/>
  <c r="N79" i="175"/>
  <c r="H79" i="175"/>
  <c r="O78" i="175"/>
  <c r="N78" i="175"/>
  <c r="O77" i="175"/>
  <c r="N77" i="175"/>
  <c r="H77" i="175"/>
  <c r="O76" i="175"/>
  <c r="N76" i="175"/>
  <c r="H76" i="175"/>
  <c r="O75" i="175"/>
  <c r="N75" i="175"/>
  <c r="H75" i="175"/>
  <c r="O74" i="175"/>
  <c r="N74" i="175"/>
  <c r="H74" i="175"/>
  <c r="O73" i="175"/>
  <c r="N73" i="175"/>
  <c r="H73" i="175"/>
  <c r="O72" i="175"/>
  <c r="N72" i="175"/>
  <c r="H72" i="175"/>
  <c r="O71" i="175"/>
  <c r="N71" i="175"/>
  <c r="H71" i="175"/>
  <c r="O70" i="175"/>
  <c r="N70" i="175"/>
  <c r="H70" i="175"/>
  <c r="T69" i="175"/>
  <c r="T96" i="175" s="1"/>
  <c r="O69" i="175"/>
  <c r="N69" i="175"/>
  <c r="H69" i="175"/>
  <c r="O68" i="175"/>
  <c r="N68" i="175"/>
  <c r="H68" i="175"/>
  <c r="O67" i="175"/>
  <c r="N67" i="175"/>
  <c r="H67" i="175"/>
  <c r="O66" i="175"/>
  <c r="N66" i="175"/>
  <c r="H66" i="175"/>
  <c r="O65" i="175"/>
  <c r="N65" i="175"/>
  <c r="H65" i="175"/>
  <c r="O64" i="175"/>
  <c r="N64" i="175"/>
  <c r="H64" i="175"/>
  <c r="O63" i="175"/>
  <c r="N63" i="175"/>
  <c r="H63" i="175"/>
  <c r="O62" i="175"/>
  <c r="N62" i="175"/>
  <c r="H62" i="175"/>
  <c r="O61" i="175"/>
  <c r="N61" i="175"/>
  <c r="H61" i="175"/>
  <c r="O60" i="175"/>
  <c r="N60" i="175"/>
  <c r="H60" i="175"/>
  <c r="O59" i="175"/>
  <c r="N59" i="175"/>
  <c r="H59" i="175"/>
  <c r="O58" i="175"/>
  <c r="N58" i="175"/>
  <c r="H58" i="175"/>
  <c r="O57" i="175"/>
  <c r="N57" i="175"/>
  <c r="H57" i="175"/>
  <c r="O56" i="175"/>
  <c r="N56" i="175"/>
  <c r="H56" i="175"/>
  <c r="O55" i="175"/>
  <c r="N55" i="175"/>
  <c r="O54" i="175"/>
  <c r="N54" i="175"/>
  <c r="H54" i="175"/>
  <c r="O53" i="175"/>
  <c r="N53" i="175"/>
  <c r="H53" i="175"/>
  <c r="O52" i="175"/>
  <c r="N52" i="175"/>
  <c r="O51" i="175"/>
  <c r="N51" i="175"/>
  <c r="O50" i="175"/>
  <c r="N50" i="175"/>
  <c r="H50" i="175"/>
  <c r="O49" i="175"/>
  <c r="N49" i="175"/>
  <c r="H49" i="175"/>
  <c r="O48" i="175"/>
  <c r="N48" i="175"/>
  <c r="H48" i="175"/>
  <c r="O47" i="175"/>
  <c r="N47" i="175"/>
  <c r="H47" i="175"/>
  <c r="O46" i="175"/>
  <c r="N46" i="175"/>
  <c r="H46" i="175"/>
  <c r="O45" i="175"/>
  <c r="N45" i="175"/>
  <c r="H45" i="175"/>
  <c r="O44" i="175"/>
  <c r="N44" i="175"/>
  <c r="H44" i="175"/>
  <c r="O43" i="175"/>
  <c r="N43" i="175"/>
  <c r="H43" i="175"/>
  <c r="O42" i="175"/>
  <c r="N42" i="175"/>
  <c r="H42" i="175"/>
  <c r="O41" i="175"/>
  <c r="N41" i="175"/>
  <c r="H41" i="175"/>
  <c r="O40" i="175"/>
  <c r="N40" i="175"/>
  <c r="H40" i="175"/>
  <c r="O39" i="175"/>
  <c r="N39" i="175"/>
  <c r="H39" i="175"/>
  <c r="O38" i="175"/>
  <c r="N38" i="175"/>
  <c r="H38" i="175"/>
  <c r="O37" i="175"/>
  <c r="N37" i="175"/>
  <c r="H37" i="175"/>
  <c r="O36" i="175"/>
  <c r="N36" i="175"/>
  <c r="H36" i="175"/>
  <c r="O35" i="175"/>
  <c r="N35" i="175"/>
  <c r="H35" i="175"/>
  <c r="N34" i="175"/>
  <c r="H34" i="175"/>
  <c r="O33" i="175"/>
  <c r="N33" i="175"/>
  <c r="O32" i="175"/>
  <c r="N32" i="175"/>
  <c r="O31" i="175"/>
  <c r="N31" i="175"/>
  <c r="O30" i="175"/>
  <c r="N30" i="175"/>
  <c r="H30" i="175"/>
  <c r="O29" i="175"/>
  <c r="N29" i="175"/>
  <c r="H29" i="175"/>
  <c r="O28" i="175"/>
  <c r="N28" i="175"/>
  <c r="H28" i="175"/>
  <c r="O27" i="175"/>
  <c r="N27" i="175"/>
  <c r="H27" i="175"/>
  <c r="O26" i="175"/>
  <c r="N26" i="175"/>
  <c r="H26" i="175"/>
  <c r="O25" i="175"/>
  <c r="N25" i="175"/>
  <c r="H25" i="175"/>
  <c r="O24" i="175"/>
  <c r="N24" i="175"/>
  <c r="H24" i="175"/>
  <c r="O23" i="175"/>
  <c r="N23" i="175"/>
  <c r="H23" i="175"/>
  <c r="O22" i="175"/>
  <c r="N22" i="175"/>
  <c r="H22" i="175"/>
  <c r="O21" i="175"/>
  <c r="N21" i="175"/>
  <c r="H21" i="175"/>
  <c r="O20" i="175"/>
  <c r="N20" i="175"/>
  <c r="H20" i="175"/>
  <c r="O19" i="175"/>
  <c r="N19" i="175"/>
  <c r="H19" i="175"/>
  <c r="O18" i="175"/>
  <c r="N18" i="175"/>
  <c r="N17" i="175"/>
  <c r="O16" i="175"/>
  <c r="N16" i="175"/>
  <c r="O15" i="175"/>
  <c r="N15" i="175"/>
  <c r="H15" i="175"/>
  <c r="S14" i="175"/>
  <c r="O14" i="175"/>
  <c r="N14" i="175"/>
  <c r="O13" i="175"/>
  <c r="N13" i="175"/>
  <c r="H13" i="175"/>
  <c r="O12" i="175"/>
  <c r="N12" i="175"/>
  <c r="H12" i="175"/>
  <c r="O11" i="175"/>
  <c r="N11" i="175"/>
  <c r="H11" i="175"/>
  <c r="O10" i="175"/>
  <c r="N10" i="175"/>
  <c r="O9" i="175"/>
  <c r="N9" i="175"/>
  <c r="O8" i="175"/>
  <c r="N8" i="175"/>
  <c r="H8" i="175"/>
  <c r="O7" i="175"/>
  <c r="N7" i="175"/>
  <c r="O6" i="175"/>
  <c r="N6" i="175"/>
  <c r="H6" i="175"/>
  <c r="O5" i="175"/>
  <c r="N5" i="175"/>
  <c r="H5" i="175"/>
  <c r="O4" i="175"/>
  <c r="N4" i="175"/>
  <c r="H4" i="175"/>
  <c r="O3" i="175"/>
  <c r="N3" i="175"/>
  <c r="H3" i="175"/>
  <c r="O2" i="175"/>
  <c r="O229" i="175" s="1"/>
  <c r="B230" i="175" s="1"/>
  <c r="B235" i="175" s="1"/>
  <c r="B241" i="175" s="1"/>
  <c r="B254" i="175" s="1"/>
  <c r="N2" i="175"/>
  <c r="N229" i="175" s="1"/>
  <c r="H2" i="175"/>
  <c r="H229" i="175" s="1"/>
  <c r="B269" i="174"/>
  <c r="B260" i="174"/>
  <c r="B259" i="174"/>
  <c r="B273" i="174" s="1"/>
  <c r="B252" i="174"/>
  <c r="B253" i="174" s="1"/>
  <c r="B250" i="174"/>
  <c r="B249" i="174"/>
  <c r="B248" i="174"/>
  <c r="B251" i="174" s="1"/>
  <c r="B244" i="174"/>
  <c r="B242" i="174"/>
  <c r="B245" i="174" s="1"/>
  <c r="B238" i="174"/>
  <c r="B237" i="174"/>
  <c r="B236" i="174"/>
  <c r="B240" i="174" s="1"/>
  <c r="B233" i="174"/>
  <c r="B231" i="174"/>
  <c r="P229" i="174"/>
  <c r="K229" i="174"/>
  <c r="I229" i="174"/>
  <c r="N228" i="174"/>
  <c r="N227" i="174"/>
  <c r="N226" i="174"/>
  <c r="N225" i="174"/>
  <c r="N224" i="174"/>
  <c r="N223" i="174"/>
  <c r="N222" i="174"/>
  <c r="N221" i="174"/>
  <c r="N220" i="174"/>
  <c r="O219" i="174"/>
  <c r="N219" i="174"/>
  <c r="H219" i="174"/>
  <c r="O218" i="174"/>
  <c r="N218" i="174"/>
  <c r="H218" i="174"/>
  <c r="O217" i="174"/>
  <c r="N217" i="174"/>
  <c r="H217" i="174"/>
  <c r="O216" i="174"/>
  <c r="N216" i="174"/>
  <c r="H216" i="174"/>
  <c r="O215" i="174"/>
  <c r="N215" i="174"/>
  <c r="H215" i="174"/>
  <c r="O214" i="174"/>
  <c r="N214" i="174"/>
  <c r="H214" i="174"/>
  <c r="O213" i="174"/>
  <c r="N213" i="174"/>
  <c r="H213" i="174"/>
  <c r="O212" i="174"/>
  <c r="N212" i="174"/>
  <c r="H212" i="174"/>
  <c r="O211" i="174"/>
  <c r="N211" i="174"/>
  <c r="H211" i="174"/>
  <c r="O210" i="174"/>
  <c r="N210" i="174"/>
  <c r="H210" i="174"/>
  <c r="O209" i="174"/>
  <c r="N209" i="174"/>
  <c r="H209" i="174"/>
  <c r="O208" i="174"/>
  <c r="N208" i="174"/>
  <c r="H208" i="174"/>
  <c r="O207" i="174"/>
  <c r="N207" i="174"/>
  <c r="H207" i="174"/>
  <c r="O206" i="174"/>
  <c r="N206" i="174"/>
  <c r="H206" i="174"/>
  <c r="O205" i="174"/>
  <c r="N205" i="174"/>
  <c r="H205" i="174"/>
  <c r="O204" i="174"/>
  <c r="N204" i="174"/>
  <c r="H204" i="174"/>
  <c r="O203" i="174"/>
  <c r="N203" i="174"/>
  <c r="H203" i="174"/>
  <c r="O202" i="174"/>
  <c r="N202" i="174"/>
  <c r="H202" i="174"/>
  <c r="O201" i="174"/>
  <c r="N201" i="174"/>
  <c r="H201" i="174"/>
  <c r="O200" i="174"/>
  <c r="N200" i="174"/>
  <c r="H200" i="174"/>
  <c r="O199" i="174"/>
  <c r="N199" i="174"/>
  <c r="H199" i="174"/>
  <c r="O198" i="174"/>
  <c r="N198" i="174"/>
  <c r="H198" i="174"/>
  <c r="O197" i="174"/>
  <c r="N197" i="174"/>
  <c r="H197" i="174"/>
  <c r="O196" i="174"/>
  <c r="N196" i="174"/>
  <c r="H196" i="174"/>
  <c r="O195" i="174"/>
  <c r="N195" i="174"/>
  <c r="H195" i="174"/>
  <c r="O194" i="174"/>
  <c r="N194" i="174"/>
  <c r="H194" i="174"/>
  <c r="O193" i="174"/>
  <c r="N193" i="174"/>
  <c r="H193" i="174"/>
  <c r="O192" i="174"/>
  <c r="N192" i="174"/>
  <c r="O191" i="174"/>
  <c r="N191" i="174"/>
  <c r="H191" i="174"/>
  <c r="O190" i="174"/>
  <c r="N190" i="174"/>
  <c r="H190" i="174"/>
  <c r="O189" i="174"/>
  <c r="N189" i="174"/>
  <c r="H189" i="174"/>
  <c r="O188" i="174"/>
  <c r="N188" i="174"/>
  <c r="H188" i="174"/>
  <c r="O187" i="174"/>
  <c r="N187" i="174"/>
  <c r="H187" i="174"/>
  <c r="O186" i="174"/>
  <c r="N186" i="174"/>
  <c r="H186" i="174"/>
  <c r="O185" i="174"/>
  <c r="N185" i="174"/>
  <c r="H185" i="174"/>
  <c r="O184" i="174"/>
  <c r="N184" i="174"/>
  <c r="O183" i="174"/>
  <c r="N183" i="174"/>
  <c r="O182" i="174"/>
  <c r="N182" i="174"/>
  <c r="O181" i="174"/>
  <c r="N181" i="174"/>
  <c r="H181" i="174"/>
  <c r="O180" i="174"/>
  <c r="N180" i="174"/>
  <c r="H180" i="174"/>
  <c r="O179" i="174"/>
  <c r="N179" i="174"/>
  <c r="H179" i="174"/>
  <c r="O178" i="174"/>
  <c r="N178" i="174"/>
  <c r="H178" i="174"/>
  <c r="O177" i="174"/>
  <c r="N177" i="174"/>
  <c r="H177" i="174"/>
  <c r="O176" i="174"/>
  <c r="N176" i="174"/>
  <c r="H176" i="174"/>
  <c r="O175" i="174"/>
  <c r="N175" i="174"/>
  <c r="H175" i="174"/>
  <c r="O174" i="174"/>
  <c r="N174" i="174"/>
  <c r="H174" i="174"/>
  <c r="O173" i="174"/>
  <c r="N173" i="174"/>
  <c r="H173" i="174"/>
  <c r="O172" i="174"/>
  <c r="N172" i="174"/>
  <c r="H172" i="174"/>
  <c r="O171" i="174"/>
  <c r="N171" i="174"/>
  <c r="H171" i="174"/>
  <c r="O170" i="174"/>
  <c r="N170" i="174"/>
  <c r="H170" i="174"/>
  <c r="O169" i="174"/>
  <c r="N169" i="174"/>
  <c r="H169" i="174"/>
  <c r="O168" i="174"/>
  <c r="N168" i="174"/>
  <c r="O167" i="174"/>
  <c r="N167" i="174"/>
  <c r="H167" i="174"/>
  <c r="O166" i="174"/>
  <c r="N166" i="174"/>
  <c r="H166" i="174"/>
  <c r="O165" i="174"/>
  <c r="N165" i="174"/>
  <c r="H165" i="174"/>
  <c r="O164" i="174"/>
  <c r="N164" i="174"/>
  <c r="H164" i="174"/>
  <c r="O163" i="174"/>
  <c r="N163" i="174"/>
  <c r="H163" i="174"/>
  <c r="O162" i="174"/>
  <c r="N162" i="174"/>
  <c r="H162" i="174"/>
  <c r="O161" i="174"/>
  <c r="N161" i="174"/>
  <c r="H161" i="174"/>
  <c r="N160" i="174"/>
  <c r="H160" i="174"/>
  <c r="O159" i="174"/>
  <c r="N159" i="174"/>
  <c r="N158" i="174"/>
  <c r="O157" i="174"/>
  <c r="N157" i="174"/>
  <c r="H157" i="174"/>
  <c r="O156" i="174"/>
  <c r="N156" i="174"/>
  <c r="H156" i="174"/>
  <c r="O155" i="174"/>
  <c r="N155" i="174"/>
  <c r="H155" i="174"/>
  <c r="O154" i="174"/>
  <c r="N154" i="174"/>
  <c r="H154" i="174"/>
  <c r="O153" i="174"/>
  <c r="N153" i="174"/>
  <c r="H153" i="174"/>
  <c r="O152" i="174"/>
  <c r="N152" i="174"/>
  <c r="H152" i="174"/>
  <c r="O151" i="174"/>
  <c r="N151" i="174"/>
  <c r="H151" i="174"/>
  <c r="O150" i="174"/>
  <c r="N150" i="174"/>
  <c r="H150" i="174"/>
  <c r="O149" i="174"/>
  <c r="N149" i="174"/>
  <c r="H149" i="174"/>
  <c r="O148" i="174"/>
  <c r="N148" i="174"/>
  <c r="H148" i="174"/>
  <c r="O147" i="174"/>
  <c r="N147" i="174"/>
  <c r="H147" i="174"/>
  <c r="O146" i="174"/>
  <c r="N146" i="174"/>
  <c r="H146" i="174"/>
  <c r="O145" i="174"/>
  <c r="N145" i="174"/>
  <c r="H145" i="174"/>
  <c r="O144" i="174"/>
  <c r="N144" i="174"/>
  <c r="H144" i="174"/>
  <c r="O143" i="174"/>
  <c r="N143" i="174"/>
  <c r="H143" i="174"/>
  <c r="O142" i="174"/>
  <c r="N142" i="174"/>
  <c r="H142" i="174"/>
  <c r="O141" i="174"/>
  <c r="N141" i="174"/>
  <c r="H141" i="174"/>
  <c r="O140" i="174"/>
  <c r="N140" i="174"/>
  <c r="H140" i="174"/>
  <c r="O139" i="174"/>
  <c r="N139" i="174"/>
  <c r="H139" i="174"/>
  <c r="O138" i="174"/>
  <c r="N138" i="174"/>
  <c r="H138" i="174"/>
  <c r="O137" i="174"/>
  <c r="N137" i="174"/>
  <c r="H137" i="174"/>
  <c r="O136" i="174"/>
  <c r="N136" i="174"/>
  <c r="H136" i="174"/>
  <c r="O135" i="174"/>
  <c r="N135" i="174"/>
  <c r="H135" i="174"/>
  <c r="O134" i="174"/>
  <c r="N134" i="174"/>
  <c r="H134" i="174"/>
  <c r="O133" i="174"/>
  <c r="N133" i="174"/>
  <c r="H133" i="174"/>
  <c r="O132" i="174"/>
  <c r="N132" i="174"/>
  <c r="H132" i="174"/>
  <c r="O131" i="174"/>
  <c r="N131" i="174"/>
  <c r="H131" i="174"/>
  <c r="O130" i="174"/>
  <c r="N130" i="174"/>
  <c r="H130" i="174"/>
  <c r="O129" i="174"/>
  <c r="N129" i="174"/>
  <c r="H129" i="174"/>
  <c r="O128" i="174"/>
  <c r="N128" i="174"/>
  <c r="H128" i="174"/>
  <c r="O127" i="174"/>
  <c r="N127" i="174"/>
  <c r="H127" i="174"/>
  <c r="O126" i="174"/>
  <c r="N126" i="174"/>
  <c r="H126" i="174"/>
  <c r="O125" i="174"/>
  <c r="N125" i="174"/>
  <c r="H125" i="174"/>
  <c r="O124" i="174"/>
  <c r="N124" i="174"/>
  <c r="H124" i="174"/>
  <c r="O123" i="174"/>
  <c r="N123" i="174"/>
  <c r="H123" i="174"/>
  <c r="O122" i="174"/>
  <c r="N122" i="174"/>
  <c r="H122" i="174"/>
  <c r="O121" i="174"/>
  <c r="N121" i="174"/>
  <c r="H121" i="174"/>
  <c r="O120" i="174"/>
  <c r="N120" i="174"/>
  <c r="H120" i="174"/>
  <c r="O119" i="174"/>
  <c r="N119" i="174"/>
  <c r="H119" i="174"/>
  <c r="O118" i="174"/>
  <c r="N118" i="174"/>
  <c r="H118" i="174"/>
  <c r="O117" i="174"/>
  <c r="N117" i="174"/>
  <c r="H117" i="174"/>
  <c r="O116" i="174"/>
  <c r="N116" i="174"/>
  <c r="H116" i="174"/>
  <c r="O115" i="174"/>
  <c r="N115" i="174"/>
  <c r="H115" i="174"/>
  <c r="O114" i="174"/>
  <c r="N114" i="174"/>
  <c r="H114" i="174"/>
  <c r="O113" i="174"/>
  <c r="N113" i="174"/>
  <c r="H113" i="174"/>
  <c r="O112" i="174"/>
  <c r="N112" i="174"/>
  <c r="H112" i="174"/>
  <c r="O111" i="174"/>
  <c r="N111" i="174"/>
  <c r="H111" i="174"/>
  <c r="O110" i="174"/>
  <c r="N110" i="174"/>
  <c r="H110" i="174"/>
  <c r="O109" i="174"/>
  <c r="N109" i="174"/>
  <c r="H109" i="174"/>
  <c r="O108" i="174"/>
  <c r="N108" i="174"/>
  <c r="H108" i="174"/>
  <c r="O107" i="174"/>
  <c r="N107" i="174"/>
  <c r="H107" i="174"/>
  <c r="O106" i="174"/>
  <c r="N106" i="174"/>
  <c r="H106" i="174"/>
  <c r="O105" i="174"/>
  <c r="N105" i="174"/>
  <c r="H105" i="174"/>
  <c r="O104" i="174"/>
  <c r="N104" i="174"/>
  <c r="H104" i="174"/>
  <c r="O103" i="174"/>
  <c r="N103" i="174"/>
  <c r="H103" i="174"/>
  <c r="O102" i="174"/>
  <c r="N102" i="174"/>
  <c r="O101" i="174"/>
  <c r="N101" i="174"/>
  <c r="H101" i="174"/>
  <c r="O100" i="174"/>
  <c r="N100" i="174"/>
  <c r="H100" i="174"/>
  <c r="O99" i="174"/>
  <c r="N99" i="174"/>
  <c r="H99" i="174"/>
  <c r="O98" i="174"/>
  <c r="N98" i="174"/>
  <c r="H98" i="174"/>
  <c r="O97" i="174"/>
  <c r="N97" i="174"/>
  <c r="H97" i="174"/>
  <c r="O96" i="174"/>
  <c r="N96" i="174"/>
  <c r="H96" i="174"/>
  <c r="O95" i="174"/>
  <c r="N95" i="174"/>
  <c r="H95" i="174"/>
  <c r="O94" i="174"/>
  <c r="N94" i="174"/>
  <c r="H94" i="174"/>
  <c r="O93" i="174"/>
  <c r="N93" i="174"/>
  <c r="H93" i="174"/>
  <c r="N92" i="174"/>
  <c r="H92" i="174"/>
  <c r="N91" i="174"/>
  <c r="H91" i="174"/>
  <c r="N90" i="174"/>
  <c r="H90" i="174"/>
  <c r="O89" i="174"/>
  <c r="N89" i="174"/>
  <c r="H89" i="174"/>
  <c r="O88" i="174"/>
  <c r="N88" i="174"/>
  <c r="H88" i="174"/>
  <c r="O87" i="174"/>
  <c r="N87" i="174"/>
  <c r="H87" i="174"/>
  <c r="O86" i="174"/>
  <c r="N86" i="174"/>
  <c r="H86" i="174"/>
  <c r="O85" i="174"/>
  <c r="N85" i="174"/>
  <c r="H85" i="174"/>
  <c r="O84" i="174"/>
  <c r="N84" i="174"/>
  <c r="H84" i="174"/>
  <c r="O83" i="174"/>
  <c r="N83" i="174"/>
  <c r="H83" i="174"/>
  <c r="O82" i="174"/>
  <c r="N82" i="174"/>
  <c r="O81" i="174"/>
  <c r="N81" i="174"/>
  <c r="O80" i="174"/>
  <c r="N80" i="174"/>
  <c r="H80" i="174"/>
  <c r="O79" i="174"/>
  <c r="N79" i="174"/>
  <c r="H79" i="174"/>
  <c r="O78" i="174"/>
  <c r="N78" i="174"/>
  <c r="O77" i="174"/>
  <c r="N77" i="174"/>
  <c r="H77" i="174"/>
  <c r="O76" i="174"/>
  <c r="N76" i="174"/>
  <c r="H76" i="174"/>
  <c r="O75" i="174"/>
  <c r="N75" i="174"/>
  <c r="H75" i="174"/>
  <c r="O74" i="174"/>
  <c r="N74" i="174"/>
  <c r="H74" i="174"/>
  <c r="O73" i="174"/>
  <c r="N73" i="174"/>
  <c r="H73" i="174"/>
  <c r="O72" i="174"/>
  <c r="N72" i="174"/>
  <c r="H72" i="174"/>
  <c r="O71" i="174"/>
  <c r="N71" i="174"/>
  <c r="H71" i="174"/>
  <c r="O70" i="174"/>
  <c r="N70" i="174"/>
  <c r="H70" i="174"/>
  <c r="T69" i="174"/>
  <c r="T96" i="174" s="1"/>
  <c r="O69" i="174"/>
  <c r="N69" i="174"/>
  <c r="H69" i="174"/>
  <c r="O68" i="174"/>
  <c r="N68" i="174"/>
  <c r="H68" i="174"/>
  <c r="O67" i="174"/>
  <c r="N67" i="174"/>
  <c r="H67" i="174"/>
  <c r="O66" i="174"/>
  <c r="N66" i="174"/>
  <c r="H66" i="174"/>
  <c r="O65" i="174"/>
  <c r="N65" i="174"/>
  <c r="H65" i="174"/>
  <c r="O64" i="174"/>
  <c r="N64" i="174"/>
  <c r="H64" i="174"/>
  <c r="O63" i="174"/>
  <c r="N63" i="174"/>
  <c r="H63" i="174"/>
  <c r="O62" i="174"/>
  <c r="N62" i="174"/>
  <c r="H62" i="174"/>
  <c r="O61" i="174"/>
  <c r="N61" i="174"/>
  <c r="H61" i="174"/>
  <c r="O60" i="174"/>
  <c r="N60" i="174"/>
  <c r="H60" i="174"/>
  <c r="O59" i="174"/>
  <c r="N59" i="174"/>
  <c r="H59" i="174"/>
  <c r="O58" i="174"/>
  <c r="N58" i="174"/>
  <c r="H58" i="174"/>
  <c r="O57" i="174"/>
  <c r="N57" i="174"/>
  <c r="H57" i="174"/>
  <c r="O56" i="174"/>
  <c r="N56" i="174"/>
  <c r="H56" i="174"/>
  <c r="O55" i="174"/>
  <c r="N55" i="174"/>
  <c r="O54" i="174"/>
  <c r="N54" i="174"/>
  <c r="H54" i="174"/>
  <c r="O53" i="174"/>
  <c r="N53" i="174"/>
  <c r="H53" i="174"/>
  <c r="O52" i="174"/>
  <c r="N52" i="174"/>
  <c r="O51" i="174"/>
  <c r="N51" i="174"/>
  <c r="O50" i="174"/>
  <c r="N50" i="174"/>
  <c r="H50" i="174"/>
  <c r="O49" i="174"/>
  <c r="N49" i="174"/>
  <c r="H49" i="174"/>
  <c r="O48" i="174"/>
  <c r="N48" i="174"/>
  <c r="H48" i="174"/>
  <c r="O47" i="174"/>
  <c r="N47" i="174"/>
  <c r="H47" i="174"/>
  <c r="O46" i="174"/>
  <c r="N46" i="174"/>
  <c r="H46" i="174"/>
  <c r="O45" i="174"/>
  <c r="N45" i="174"/>
  <c r="H45" i="174"/>
  <c r="O44" i="174"/>
  <c r="N44" i="174"/>
  <c r="H44" i="174"/>
  <c r="O43" i="174"/>
  <c r="N43" i="174"/>
  <c r="H43" i="174"/>
  <c r="O42" i="174"/>
  <c r="N42" i="174"/>
  <c r="H42" i="174"/>
  <c r="O41" i="174"/>
  <c r="N41" i="174"/>
  <c r="H41" i="174"/>
  <c r="O40" i="174"/>
  <c r="N40" i="174"/>
  <c r="H40" i="174"/>
  <c r="O39" i="174"/>
  <c r="N39" i="174"/>
  <c r="H39" i="174"/>
  <c r="O38" i="174"/>
  <c r="N38" i="174"/>
  <c r="H38" i="174"/>
  <c r="O37" i="174"/>
  <c r="N37" i="174"/>
  <c r="H37" i="174"/>
  <c r="O36" i="174"/>
  <c r="N36" i="174"/>
  <c r="H36" i="174"/>
  <c r="O35" i="174"/>
  <c r="N35" i="174"/>
  <c r="H35" i="174"/>
  <c r="N34" i="174"/>
  <c r="H34" i="174"/>
  <c r="O33" i="174"/>
  <c r="N33" i="174"/>
  <c r="O32" i="174"/>
  <c r="N32" i="174"/>
  <c r="O31" i="174"/>
  <c r="N31" i="174"/>
  <c r="O30" i="174"/>
  <c r="N30" i="174"/>
  <c r="H30" i="174"/>
  <c r="O29" i="174"/>
  <c r="N29" i="174"/>
  <c r="H29" i="174"/>
  <c r="O28" i="174"/>
  <c r="N28" i="174"/>
  <c r="H28" i="174"/>
  <c r="O27" i="174"/>
  <c r="N27" i="174"/>
  <c r="H27" i="174"/>
  <c r="O26" i="174"/>
  <c r="N26" i="174"/>
  <c r="H26" i="174"/>
  <c r="O25" i="174"/>
  <c r="N25" i="174"/>
  <c r="H25" i="174"/>
  <c r="O24" i="174"/>
  <c r="N24" i="174"/>
  <c r="H24" i="174"/>
  <c r="O23" i="174"/>
  <c r="N23" i="174"/>
  <c r="H23" i="174"/>
  <c r="O22" i="174"/>
  <c r="N22" i="174"/>
  <c r="H22" i="174"/>
  <c r="O21" i="174"/>
  <c r="N21" i="174"/>
  <c r="H21" i="174"/>
  <c r="O20" i="174"/>
  <c r="N20" i="174"/>
  <c r="H20" i="174"/>
  <c r="O19" i="174"/>
  <c r="N19" i="174"/>
  <c r="H19" i="174"/>
  <c r="O18" i="174"/>
  <c r="N18" i="174"/>
  <c r="N17" i="174"/>
  <c r="O16" i="174"/>
  <c r="N16" i="174"/>
  <c r="O15" i="174"/>
  <c r="N15" i="174"/>
  <c r="H15" i="174"/>
  <c r="S14" i="174"/>
  <c r="O14" i="174"/>
  <c r="N14" i="174"/>
  <c r="O13" i="174"/>
  <c r="N13" i="174"/>
  <c r="H13" i="174"/>
  <c r="O12" i="174"/>
  <c r="N12" i="174"/>
  <c r="H12" i="174"/>
  <c r="O11" i="174"/>
  <c r="N11" i="174"/>
  <c r="H11" i="174"/>
  <c r="O10" i="174"/>
  <c r="N10" i="174"/>
  <c r="O9" i="174"/>
  <c r="N9" i="174"/>
  <c r="O8" i="174"/>
  <c r="N8" i="174"/>
  <c r="H8" i="174"/>
  <c r="O7" i="174"/>
  <c r="N7" i="174"/>
  <c r="H7" i="174"/>
  <c r="O6" i="174"/>
  <c r="N6" i="174"/>
  <c r="H6" i="174"/>
  <c r="O5" i="174"/>
  <c r="N5" i="174"/>
  <c r="H5" i="174"/>
  <c r="O4" i="174"/>
  <c r="N4" i="174"/>
  <c r="H4" i="174"/>
  <c r="O3" i="174"/>
  <c r="N3" i="174"/>
  <c r="H3" i="174"/>
  <c r="O2" i="174"/>
  <c r="O229" i="174" s="1"/>
  <c r="B230" i="174" s="1"/>
  <c r="B235" i="174" s="1"/>
  <c r="B241" i="174" s="1"/>
  <c r="B254" i="174" s="1"/>
  <c r="N2" i="174"/>
  <c r="N229" i="174" s="1"/>
  <c r="H2" i="174"/>
  <c r="H229" i="174" s="1"/>
  <c r="B269" i="173"/>
  <c r="B260" i="173"/>
  <c r="B259" i="173"/>
  <c r="B273" i="173" s="1"/>
  <c r="B252" i="173"/>
  <c r="B253" i="173" s="1"/>
  <c r="B250" i="173"/>
  <c r="B249" i="173"/>
  <c r="B248" i="173"/>
  <c r="B251" i="173" s="1"/>
  <c r="B244" i="173"/>
  <c r="B242" i="173"/>
  <c r="B245" i="173" s="1"/>
  <c r="B238" i="173"/>
  <c r="B237" i="173"/>
  <c r="B236" i="173"/>
  <c r="B240" i="173" s="1"/>
  <c r="B233" i="173"/>
  <c r="B231" i="173"/>
  <c r="P229" i="173"/>
  <c r="K229" i="173"/>
  <c r="I229" i="173"/>
  <c r="N228" i="173"/>
  <c r="N227" i="173"/>
  <c r="N226" i="173"/>
  <c r="N225" i="173"/>
  <c r="N224" i="173"/>
  <c r="N223" i="173"/>
  <c r="N222" i="173"/>
  <c r="N221" i="173"/>
  <c r="N220" i="173"/>
  <c r="O219" i="173"/>
  <c r="N219" i="173"/>
  <c r="H219" i="173"/>
  <c r="O218" i="173"/>
  <c r="N218" i="173"/>
  <c r="H218" i="173"/>
  <c r="O217" i="173"/>
  <c r="N217" i="173"/>
  <c r="H217" i="173"/>
  <c r="O216" i="173"/>
  <c r="N216" i="173"/>
  <c r="H216" i="173"/>
  <c r="O215" i="173"/>
  <c r="N215" i="173"/>
  <c r="H215" i="173"/>
  <c r="O214" i="173"/>
  <c r="N214" i="173"/>
  <c r="H214" i="173"/>
  <c r="O213" i="173"/>
  <c r="N213" i="173"/>
  <c r="H213" i="173"/>
  <c r="O212" i="173"/>
  <c r="N212" i="173"/>
  <c r="H212" i="173"/>
  <c r="O211" i="173"/>
  <c r="N211" i="173"/>
  <c r="H211" i="173"/>
  <c r="O210" i="173"/>
  <c r="N210" i="173"/>
  <c r="H210" i="173"/>
  <c r="O209" i="173"/>
  <c r="N209" i="173"/>
  <c r="H209" i="173"/>
  <c r="O208" i="173"/>
  <c r="N208" i="173"/>
  <c r="H208" i="173"/>
  <c r="O207" i="173"/>
  <c r="N207" i="173"/>
  <c r="H207" i="173"/>
  <c r="O206" i="173"/>
  <c r="N206" i="173"/>
  <c r="H206" i="173"/>
  <c r="O205" i="173"/>
  <c r="N205" i="173"/>
  <c r="H205" i="173"/>
  <c r="O204" i="173"/>
  <c r="N204" i="173"/>
  <c r="H204" i="173"/>
  <c r="O203" i="173"/>
  <c r="N203" i="173"/>
  <c r="H203" i="173"/>
  <c r="O202" i="173"/>
  <c r="N202" i="173"/>
  <c r="H202" i="173"/>
  <c r="O201" i="173"/>
  <c r="N201" i="173"/>
  <c r="H201" i="173"/>
  <c r="O200" i="173"/>
  <c r="N200" i="173"/>
  <c r="H200" i="173"/>
  <c r="O199" i="173"/>
  <c r="N199" i="173"/>
  <c r="H199" i="173"/>
  <c r="O198" i="173"/>
  <c r="N198" i="173"/>
  <c r="H198" i="173"/>
  <c r="O197" i="173"/>
  <c r="N197" i="173"/>
  <c r="H197" i="173"/>
  <c r="O196" i="173"/>
  <c r="N196" i="173"/>
  <c r="H196" i="173"/>
  <c r="O195" i="173"/>
  <c r="N195" i="173"/>
  <c r="H195" i="173"/>
  <c r="O194" i="173"/>
  <c r="N194" i="173"/>
  <c r="H194" i="173"/>
  <c r="O193" i="173"/>
  <c r="N193" i="173"/>
  <c r="H193" i="173"/>
  <c r="O192" i="173"/>
  <c r="N192" i="173"/>
  <c r="O191" i="173"/>
  <c r="N191" i="173"/>
  <c r="H191" i="173"/>
  <c r="O190" i="173"/>
  <c r="N190" i="173"/>
  <c r="H190" i="173"/>
  <c r="O189" i="173"/>
  <c r="N189" i="173"/>
  <c r="H189" i="173"/>
  <c r="O188" i="173"/>
  <c r="N188" i="173"/>
  <c r="H188" i="173"/>
  <c r="O187" i="173"/>
  <c r="N187" i="173"/>
  <c r="H187" i="173"/>
  <c r="O186" i="173"/>
  <c r="N186" i="173"/>
  <c r="H186" i="173"/>
  <c r="O185" i="173"/>
  <c r="N185" i="173"/>
  <c r="H185" i="173"/>
  <c r="O184" i="173"/>
  <c r="N184" i="173"/>
  <c r="O183" i="173"/>
  <c r="N183" i="173"/>
  <c r="O182" i="173"/>
  <c r="N182" i="173"/>
  <c r="O181" i="173"/>
  <c r="N181" i="173"/>
  <c r="H181" i="173"/>
  <c r="O180" i="173"/>
  <c r="N180" i="173"/>
  <c r="H180" i="173"/>
  <c r="O179" i="173"/>
  <c r="N179" i="173"/>
  <c r="H179" i="173"/>
  <c r="O178" i="173"/>
  <c r="N178" i="173"/>
  <c r="H178" i="173"/>
  <c r="O177" i="173"/>
  <c r="N177" i="173"/>
  <c r="H177" i="173"/>
  <c r="O176" i="173"/>
  <c r="N176" i="173"/>
  <c r="H176" i="173"/>
  <c r="O175" i="173"/>
  <c r="N175" i="173"/>
  <c r="H175" i="173"/>
  <c r="O174" i="173"/>
  <c r="N174" i="173"/>
  <c r="H174" i="173"/>
  <c r="O173" i="173"/>
  <c r="N173" i="173"/>
  <c r="H173" i="173"/>
  <c r="O172" i="173"/>
  <c r="N172" i="173"/>
  <c r="H172" i="173"/>
  <c r="O171" i="173"/>
  <c r="N171" i="173"/>
  <c r="H171" i="173"/>
  <c r="O170" i="173"/>
  <c r="N170" i="173"/>
  <c r="H170" i="173"/>
  <c r="O169" i="173"/>
  <c r="N169" i="173"/>
  <c r="H169" i="173"/>
  <c r="O168" i="173"/>
  <c r="N168" i="173"/>
  <c r="O167" i="173"/>
  <c r="N167" i="173"/>
  <c r="H167" i="173"/>
  <c r="O166" i="173"/>
  <c r="N166" i="173"/>
  <c r="H166" i="173"/>
  <c r="O165" i="173"/>
  <c r="N165" i="173"/>
  <c r="H165" i="173"/>
  <c r="O164" i="173"/>
  <c r="N164" i="173"/>
  <c r="H164" i="173"/>
  <c r="O163" i="173"/>
  <c r="N163" i="173"/>
  <c r="H163" i="173"/>
  <c r="O162" i="173"/>
  <c r="N162" i="173"/>
  <c r="H162" i="173"/>
  <c r="O161" i="173"/>
  <c r="N161" i="173"/>
  <c r="H161" i="173"/>
  <c r="N160" i="173"/>
  <c r="H160" i="173"/>
  <c r="O159" i="173"/>
  <c r="N159" i="173"/>
  <c r="N158" i="173"/>
  <c r="O157" i="173"/>
  <c r="N157" i="173"/>
  <c r="H157" i="173"/>
  <c r="O156" i="173"/>
  <c r="N156" i="173"/>
  <c r="H156" i="173"/>
  <c r="O155" i="173"/>
  <c r="N155" i="173"/>
  <c r="H155" i="173"/>
  <c r="O154" i="173"/>
  <c r="N154" i="173"/>
  <c r="H154" i="173"/>
  <c r="O153" i="173"/>
  <c r="N153" i="173"/>
  <c r="H153" i="173"/>
  <c r="O152" i="173"/>
  <c r="N152" i="173"/>
  <c r="H152" i="173"/>
  <c r="O151" i="173"/>
  <c r="N151" i="173"/>
  <c r="H151" i="173"/>
  <c r="O150" i="173"/>
  <c r="N150" i="173"/>
  <c r="H150" i="173"/>
  <c r="O149" i="173"/>
  <c r="N149" i="173"/>
  <c r="H149" i="173"/>
  <c r="O148" i="173"/>
  <c r="N148" i="173"/>
  <c r="H148" i="173"/>
  <c r="O147" i="173"/>
  <c r="N147" i="173"/>
  <c r="H147" i="173"/>
  <c r="O146" i="173"/>
  <c r="N146" i="173"/>
  <c r="H146" i="173"/>
  <c r="O145" i="173"/>
  <c r="N145" i="173"/>
  <c r="H145" i="173"/>
  <c r="O144" i="173"/>
  <c r="N144" i="173"/>
  <c r="H144" i="173"/>
  <c r="O143" i="173"/>
  <c r="N143" i="173"/>
  <c r="H143" i="173"/>
  <c r="O142" i="173"/>
  <c r="N142" i="173"/>
  <c r="H142" i="173"/>
  <c r="O141" i="173"/>
  <c r="N141" i="173"/>
  <c r="H141" i="173"/>
  <c r="O140" i="173"/>
  <c r="N140" i="173"/>
  <c r="H140" i="173"/>
  <c r="O139" i="173"/>
  <c r="N139" i="173"/>
  <c r="H139" i="173"/>
  <c r="O138" i="173"/>
  <c r="N138" i="173"/>
  <c r="H138" i="173"/>
  <c r="O137" i="173"/>
  <c r="N137" i="173"/>
  <c r="H137" i="173"/>
  <c r="O136" i="173"/>
  <c r="N136" i="173"/>
  <c r="H136" i="173"/>
  <c r="O135" i="173"/>
  <c r="N135" i="173"/>
  <c r="H135" i="173"/>
  <c r="O134" i="173"/>
  <c r="N134" i="173"/>
  <c r="H134" i="173"/>
  <c r="O133" i="173"/>
  <c r="N133" i="173"/>
  <c r="H133" i="173"/>
  <c r="O132" i="173"/>
  <c r="N132" i="173"/>
  <c r="H132" i="173"/>
  <c r="O131" i="173"/>
  <c r="N131" i="173"/>
  <c r="H131" i="173"/>
  <c r="O130" i="173"/>
  <c r="N130" i="173"/>
  <c r="H130" i="173"/>
  <c r="O129" i="173"/>
  <c r="N129" i="173"/>
  <c r="H129" i="173"/>
  <c r="O128" i="173"/>
  <c r="N128" i="173"/>
  <c r="H128" i="173"/>
  <c r="O127" i="173"/>
  <c r="N127" i="173"/>
  <c r="H127" i="173"/>
  <c r="O126" i="173"/>
  <c r="N126" i="173"/>
  <c r="H126" i="173"/>
  <c r="O125" i="173"/>
  <c r="N125" i="173"/>
  <c r="H125" i="173"/>
  <c r="O124" i="173"/>
  <c r="N124" i="173"/>
  <c r="H124" i="173"/>
  <c r="O123" i="173"/>
  <c r="N123" i="173"/>
  <c r="H123" i="173"/>
  <c r="O122" i="173"/>
  <c r="N122" i="173"/>
  <c r="H122" i="173"/>
  <c r="O121" i="173"/>
  <c r="N121" i="173"/>
  <c r="H121" i="173"/>
  <c r="O120" i="173"/>
  <c r="N120" i="173"/>
  <c r="H120" i="173"/>
  <c r="O119" i="173"/>
  <c r="N119" i="173"/>
  <c r="H119" i="173"/>
  <c r="O118" i="173"/>
  <c r="N118" i="173"/>
  <c r="H118" i="173"/>
  <c r="O117" i="173"/>
  <c r="N117" i="173"/>
  <c r="H117" i="173"/>
  <c r="O116" i="173"/>
  <c r="N116" i="173"/>
  <c r="H116" i="173"/>
  <c r="O115" i="173"/>
  <c r="N115" i="173"/>
  <c r="H115" i="173"/>
  <c r="O114" i="173"/>
  <c r="N114" i="173"/>
  <c r="H114" i="173"/>
  <c r="O113" i="173"/>
  <c r="N113" i="173"/>
  <c r="H113" i="173"/>
  <c r="O112" i="173"/>
  <c r="N112" i="173"/>
  <c r="H112" i="173"/>
  <c r="O111" i="173"/>
  <c r="N111" i="173"/>
  <c r="H111" i="173"/>
  <c r="O110" i="173"/>
  <c r="N110" i="173"/>
  <c r="H110" i="173"/>
  <c r="O109" i="173"/>
  <c r="N109" i="173"/>
  <c r="H109" i="173"/>
  <c r="O108" i="173"/>
  <c r="N108" i="173"/>
  <c r="H108" i="173"/>
  <c r="O107" i="173"/>
  <c r="N107" i="173"/>
  <c r="H107" i="173"/>
  <c r="O106" i="173"/>
  <c r="N106" i="173"/>
  <c r="H106" i="173"/>
  <c r="O105" i="173"/>
  <c r="N105" i="173"/>
  <c r="H105" i="173"/>
  <c r="O104" i="173"/>
  <c r="N104" i="173"/>
  <c r="H104" i="173"/>
  <c r="O103" i="173"/>
  <c r="N103" i="173"/>
  <c r="H103" i="173"/>
  <c r="O102" i="173"/>
  <c r="N102" i="173"/>
  <c r="H102" i="173"/>
  <c r="O101" i="173"/>
  <c r="N101" i="173"/>
  <c r="H101" i="173"/>
  <c r="O100" i="173"/>
  <c r="N100" i="173"/>
  <c r="H100" i="173"/>
  <c r="O99" i="173"/>
  <c r="N99" i="173"/>
  <c r="H99" i="173"/>
  <c r="O98" i="173"/>
  <c r="N98" i="173"/>
  <c r="H98" i="173"/>
  <c r="O97" i="173"/>
  <c r="N97" i="173"/>
  <c r="H97" i="173"/>
  <c r="O96" i="173"/>
  <c r="N96" i="173"/>
  <c r="H96" i="173"/>
  <c r="O95" i="173"/>
  <c r="N95" i="173"/>
  <c r="H95" i="173"/>
  <c r="O94" i="173"/>
  <c r="N94" i="173"/>
  <c r="H94" i="173"/>
  <c r="O93" i="173"/>
  <c r="N93" i="173"/>
  <c r="H93" i="173"/>
  <c r="N92" i="173"/>
  <c r="H92" i="173"/>
  <c r="N91" i="173"/>
  <c r="H91" i="173"/>
  <c r="N90" i="173"/>
  <c r="H90" i="173"/>
  <c r="O89" i="173"/>
  <c r="N89" i="173"/>
  <c r="H89" i="173"/>
  <c r="O88" i="173"/>
  <c r="N88" i="173"/>
  <c r="H88" i="173"/>
  <c r="O87" i="173"/>
  <c r="N87" i="173"/>
  <c r="H87" i="173"/>
  <c r="O86" i="173"/>
  <c r="N86" i="173"/>
  <c r="H86" i="173"/>
  <c r="O85" i="173"/>
  <c r="N85" i="173"/>
  <c r="H85" i="173"/>
  <c r="O84" i="173"/>
  <c r="N84" i="173"/>
  <c r="H84" i="173"/>
  <c r="O83" i="173"/>
  <c r="N83" i="173"/>
  <c r="H83" i="173"/>
  <c r="O82" i="173"/>
  <c r="N82" i="173"/>
  <c r="O81" i="173"/>
  <c r="N81" i="173"/>
  <c r="O80" i="173"/>
  <c r="N80" i="173"/>
  <c r="H80" i="173"/>
  <c r="O79" i="173"/>
  <c r="N79" i="173"/>
  <c r="H79" i="173"/>
  <c r="O78" i="173"/>
  <c r="N78" i="173"/>
  <c r="O77" i="173"/>
  <c r="N77" i="173"/>
  <c r="H77" i="173"/>
  <c r="O76" i="173"/>
  <c r="N76" i="173"/>
  <c r="H76" i="173"/>
  <c r="O75" i="173"/>
  <c r="N75" i="173"/>
  <c r="H75" i="173"/>
  <c r="O74" i="173"/>
  <c r="N74" i="173"/>
  <c r="H74" i="173"/>
  <c r="O73" i="173"/>
  <c r="N73" i="173"/>
  <c r="H73" i="173"/>
  <c r="O72" i="173"/>
  <c r="N72" i="173"/>
  <c r="H72" i="173"/>
  <c r="O71" i="173"/>
  <c r="N71" i="173"/>
  <c r="H71" i="173"/>
  <c r="O70" i="173"/>
  <c r="N70" i="173"/>
  <c r="H70" i="173"/>
  <c r="T69" i="173"/>
  <c r="T96" i="173" s="1"/>
  <c r="O69" i="173"/>
  <c r="N69" i="173"/>
  <c r="H69" i="173"/>
  <c r="O68" i="173"/>
  <c r="N68" i="173"/>
  <c r="H68" i="173"/>
  <c r="O67" i="173"/>
  <c r="N67" i="173"/>
  <c r="H67" i="173"/>
  <c r="O66" i="173"/>
  <c r="N66" i="173"/>
  <c r="H66" i="173"/>
  <c r="O65" i="173"/>
  <c r="N65" i="173"/>
  <c r="H65" i="173"/>
  <c r="O64" i="173"/>
  <c r="N64" i="173"/>
  <c r="H64" i="173"/>
  <c r="O63" i="173"/>
  <c r="N63" i="173"/>
  <c r="H63" i="173"/>
  <c r="O62" i="173"/>
  <c r="N62" i="173"/>
  <c r="H62" i="173"/>
  <c r="O61" i="173"/>
  <c r="N61" i="173"/>
  <c r="H61" i="173"/>
  <c r="O60" i="173"/>
  <c r="N60" i="173"/>
  <c r="H60" i="173"/>
  <c r="O59" i="173"/>
  <c r="N59" i="173"/>
  <c r="H59" i="173"/>
  <c r="O58" i="173"/>
  <c r="N58" i="173"/>
  <c r="H58" i="173"/>
  <c r="O57" i="173"/>
  <c r="N57" i="173"/>
  <c r="H57" i="173"/>
  <c r="O56" i="173"/>
  <c r="N56" i="173"/>
  <c r="H56" i="173"/>
  <c r="O55" i="173"/>
  <c r="N55" i="173"/>
  <c r="O54" i="173"/>
  <c r="N54" i="173"/>
  <c r="H54" i="173"/>
  <c r="O53" i="173"/>
  <c r="N53" i="173"/>
  <c r="H53" i="173"/>
  <c r="O52" i="173"/>
  <c r="N52" i="173"/>
  <c r="O51" i="173"/>
  <c r="N51" i="173"/>
  <c r="O50" i="173"/>
  <c r="N50" i="173"/>
  <c r="H50" i="173"/>
  <c r="O49" i="173"/>
  <c r="N49" i="173"/>
  <c r="H49" i="173"/>
  <c r="O48" i="173"/>
  <c r="N48" i="173"/>
  <c r="H48" i="173"/>
  <c r="O47" i="173"/>
  <c r="N47" i="173"/>
  <c r="H47" i="173"/>
  <c r="O46" i="173"/>
  <c r="N46" i="173"/>
  <c r="H46" i="173"/>
  <c r="O45" i="173"/>
  <c r="N45" i="173"/>
  <c r="H45" i="173"/>
  <c r="O44" i="173"/>
  <c r="N44" i="173"/>
  <c r="H44" i="173"/>
  <c r="O43" i="173"/>
  <c r="N43" i="173"/>
  <c r="H43" i="173"/>
  <c r="O42" i="173"/>
  <c r="N42" i="173"/>
  <c r="H42" i="173"/>
  <c r="O41" i="173"/>
  <c r="N41" i="173"/>
  <c r="H41" i="173"/>
  <c r="O40" i="173"/>
  <c r="N40" i="173"/>
  <c r="H40" i="173"/>
  <c r="O39" i="173"/>
  <c r="N39" i="173"/>
  <c r="H39" i="173"/>
  <c r="O38" i="173"/>
  <c r="N38" i="173"/>
  <c r="H38" i="173"/>
  <c r="O37" i="173"/>
  <c r="N37" i="173"/>
  <c r="H37" i="173"/>
  <c r="O36" i="173"/>
  <c r="N36" i="173"/>
  <c r="H36" i="173"/>
  <c r="O35" i="173"/>
  <c r="N35" i="173"/>
  <c r="H35" i="173"/>
  <c r="N34" i="173"/>
  <c r="H34" i="173"/>
  <c r="O33" i="173"/>
  <c r="N33" i="173"/>
  <c r="O32" i="173"/>
  <c r="N32" i="173"/>
  <c r="O31" i="173"/>
  <c r="N31" i="173"/>
  <c r="O30" i="173"/>
  <c r="N30" i="173"/>
  <c r="H30" i="173"/>
  <c r="O29" i="173"/>
  <c r="N29" i="173"/>
  <c r="H29" i="173"/>
  <c r="O28" i="173"/>
  <c r="N28" i="173"/>
  <c r="H28" i="173"/>
  <c r="O27" i="173"/>
  <c r="N27" i="173"/>
  <c r="H27" i="173"/>
  <c r="O26" i="173"/>
  <c r="N26" i="173"/>
  <c r="H26" i="173"/>
  <c r="O25" i="173"/>
  <c r="N25" i="173"/>
  <c r="H25" i="173"/>
  <c r="O24" i="173"/>
  <c r="N24" i="173"/>
  <c r="H24" i="173"/>
  <c r="O23" i="173"/>
  <c r="N23" i="173"/>
  <c r="H23" i="173"/>
  <c r="O22" i="173"/>
  <c r="N22" i="173"/>
  <c r="H22" i="173"/>
  <c r="O21" i="173"/>
  <c r="N21" i="173"/>
  <c r="H21" i="173"/>
  <c r="O20" i="173"/>
  <c r="N20" i="173"/>
  <c r="H20" i="173"/>
  <c r="O19" i="173"/>
  <c r="N19" i="173"/>
  <c r="H19" i="173"/>
  <c r="O18" i="173"/>
  <c r="N18" i="173"/>
  <c r="N17" i="173"/>
  <c r="O16" i="173"/>
  <c r="N16" i="173"/>
  <c r="O15" i="173"/>
  <c r="N15" i="173"/>
  <c r="H15" i="173"/>
  <c r="S14" i="173"/>
  <c r="O14" i="173"/>
  <c r="N14" i="173"/>
  <c r="O13" i="173"/>
  <c r="N13" i="173"/>
  <c r="H13" i="173"/>
  <c r="O12" i="173"/>
  <c r="N12" i="173"/>
  <c r="H12" i="173"/>
  <c r="O11" i="173"/>
  <c r="N11" i="173"/>
  <c r="H11" i="173"/>
  <c r="O10" i="173"/>
  <c r="N10" i="173"/>
  <c r="O9" i="173"/>
  <c r="N9" i="173"/>
  <c r="O8" i="173"/>
  <c r="N8" i="173"/>
  <c r="H8" i="173"/>
  <c r="O7" i="173"/>
  <c r="N7" i="173"/>
  <c r="H7" i="173"/>
  <c r="O6" i="173"/>
  <c r="N6" i="173"/>
  <c r="H6" i="173"/>
  <c r="O5" i="173"/>
  <c r="N5" i="173"/>
  <c r="H5" i="173"/>
  <c r="O4" i="173"/>
  <c r="N4" i="173"/>
  <c r="H4" i="173"/>
  <c r="O3" i="173"/>
  <c r="N3" i="173"/>
  <c r="H3" i="173"/>
  <c r="O2" i="173"/>
  <c r="O229" i="173" s="1"/>
  <c r="B230" i="173" s="1"/>
  <c r="B235" i="173" s="1"/>
  <c r="B241" i="173" s="1"/>
  <c r="B254" i="173" s="1"/>
  <c r="N2" i="173"/>
  <c r="N229" i="173" s="1"/>
  <c r="H2" i="173"/>
  <c r="H229" i="173" s="1"/>
  <c r="H36" i="172"/>
  <c r="H35" i="163"/>
  <c r="B252" i="172"/>
  <c r="B250" i="172"/>
  <c r="B249" i="172"/>
  <c r="B242" i="172"/>
  <c r="B238" i="172"/>
  <c r="B237" i="172"/>
  <c r="B236" i="172"/>
  <c r="B233" i="172"/>
  <c r="B231" i="172"/>
  <c r="B269" i="172"/>
  <c r="B260" i="172"/>
  <c r="B259" i="172"/>
  <c r="B273" i="172" s="1"/>
  <c r="B253" i="172"/>
  <c r="B248" i="172"/>
  <c r="B251" i="172" s="1"/>
  <c r="B244" i="172"/>
  <c r="B245" i="172"/>
  <c r="B240" i="172"/>
  <c r="P229" i="172"/>
  <c r="K229" i="172"/>
  <c r="I229" i="172"/>
  <c r="N228" i="172"/>
  <c r="N227" i="172"/>
  <c r="N226" i="172"/>
  <c r="N225" i="172"/>
  <c r="N224" i="172"/>
  <c r="N223" i="172"/>
  <c r="N222" i="172"/>
  <c r="N221" i="172"/>
  <c r="N220" i="172"/>
  <c r="O219" i="172"/>
  <c r="N219" i="172"/>
  <c r="H219" i="172"/>
  <c r="O218" i="172"/>
  <c r="N218" i="172"/>
  <c r="H218" i="172"/>
  <c r="O217" i="172"/>
  <c r="N217" i="172"/>
  <c r="H217" i="172"/>
  <c r="O216" i="172"/>
  <c r="N216" i="172"/>
  <c r="H216" i="172"/>
  <c r="O215" i="172"/>
  <c r="N215" i="172"/>
  <c r="H215" i="172"/>
  <c r="O214" i="172"/>
  <c r="N214" i="172"/>
  <c r="H214" i="172"/>
  <c r="O213" i="172"/>
  <c r="N213" i="172"/>
  <c r="H213" i="172"/>
  <c r="O212" i="172"/>
  <c r="N212" i="172"/>
  <c r="H212" i="172"/>
  <c r="O211" i="172"/>
  <c r="N211" i="172"/>
  <c r="H211" i="172"/>
  <c r="O210" i="172"/>
  <c r="N210" i="172"/>
  <c r="H210" i="172"/>
  <c r="O209" i="172"/>
  <c r="N209" i="172"/>
  <c r="H209" i="172"/>
  <c r="O208" i="172"/>
  <c r="N208" i="172"/>
  <c r="H208" i="172"/>
  <c r="O207" i="172"/>
  <c r="N207" i="172"/>
  <c r="H207" i="172"/>
  <c r="O206" i="172"/>
  <c r="N206" i="172"/>
  <c r="H206" i="172"/>
  <c r="O205" i="172"/>
  <c r="N205" i="172"/>
  <c r="H205" i="172"/>
  <c r="O204" i="172"/>
  <c r="N204" i="172"/>
  <c r="H204" i="172"/>
  <c r="O203" i="172"/>
  <c r="N203" i="172"/>
  <c r="H203" i="172"/>
  <c r="O202" i="172"/>
  <c r="N202" i="172"/>
  <c r="H202" i="172"/>
  <c r="O201" i="172"/>
  <c r="N201" i="172"/>
  <c r="H201" i="172"/>
  <c r="O200" i="172"/>
  <c r="N200" i="172"/>
  <c r="H200" i="172"/>
  <c r="O199" i="172"/>
  <c r="N199" i="172"/>
  <c r="H199" i="172"/>
  <c r="O198" i="172"/>
  <c r="N198" i="172"/>
  <c r="H198" i="172"/>
  <c r="O197" i="172"/>
  <c r="N197" i="172"/>
  <c r="H197" i="172"/>
  <c r="O196" i="172"/>
  <c r="N196" i="172"/>
  <c r="H196" i="172"/>
  <c r="O195" i="172"/>
  <c r="N195" i="172"/>
  <c r="H195" i="172"/>
  <c r="O194" i="172"/>
  <c r="N194" i="172"/>
  <c r="H194" i="172"/>
  <c r="O193" i="172"/>
  <c r="N193" i="172"/>
  <c r="H193" i="172"/>
  <c r="O192" i="172"/>
  <c r="N192" i="172"/>
  <c r="O191" i="172"/>
  <c r="N191" i="172"/>
  <c r="H191" i="172"/>
  <c r="O190" i="172"/>
  <c r="N190" i="172"/>
  <c r="H190" i="172"/>
  <c r="O189" i="172"/>
  <c r="N189" i="172"/>
  <c r="H189" i="172"/>
  <c r="O188" i="172"/>
  <c r="N188" i="172"/>
  <c r="H188" i="172"/>
  <c r="O187" i="172"/>
  <c r="N187" i="172"/>
  <c r="H187" i="172"/>
  <c r="O186" i="172"/>
  <c r="N186" i="172"/>
  <c r="H186" i="172"/>
  <c r="O185" i="172"/>
  <c r="N185" i="172"/>
  <c r="H185" i="172"/>
  <c r="O184" i="172"/>
  <c r="N184" i="172"/>
  <c r="O183" i="172"/>
  <c r="N183" i="172"/>
  <c r="O182" i="172"/>
  <c r="N182" i="172"/>
  <c r="O181" i="172"/>
  <c r="N181" i="172"/>
  <c r="H181" i="172"/>
  <c r="O180" i="172"/>
  <c r="N180" i="172"/>
  <c r="H180" i="172"/>
  <c r="O179" i="172"/>
  <c r="N179" i="172"/>
  <c r="H179" i="172"/>
  <c r="O178" i="172"/>
  <c r="N178" i="172"/>
  <c r="H178" i="172"/>
  <c r="O177" i="172"/>
  <c r="N177" i="172"/>
  <c r="H177" i="172"/>
  <c r="O176" i="172"/>
  <c r="N176" i="172"/>
  <c r="H176" i="172"/>
  <c r="O175" i="172"/>
  <c r="N175" i="172"/>
  <c r="H175" i="172"/>
  <c r="O174" i="172"/>
  <c r="N174" i="172"/>
  <c r="H174" i="172"/>
  <c r="O173" i="172"/>
  <c r="N173" i="172"/>
  <c r="H173" i="172"/>
  <c r="O172" i="172"/>
  <c r="N172" i="172"/>
  <c r="H172" i="172"/>
  <c r="O171" i="172"/>
  <c r="N171" i="172"/>
  <c r="H171" i="172"/>
  <c r="O170" i="172"/>
  <c r="N170" i="172"/>
  <c r="H170" i="172"/>
  <c r="O169" i="172"/>
  <c r="N169" i="172"/>
  <c r="H169" i="172"/>
  <c r="O168" i="172"/>
  <c r="N168" i="172"/>
  <c r="O167" i="172"/>
  <c r="N167" i="172"/>
  <c r="H167" i="172"/>
  <c r="O166" i="172"/>
  <c r="N166" i="172"/>
  <c r="H166" i="172"/>
  <c r="O165" i="172"/>
  <c r="N165" i="172"/>
  <c r="H165" i="172"/>
  <c r="O164" i="172"/>
  <c r="N164" i="172"/>
  <c r="H164" i="172"/>
  <c r="O163" i="172"/>
  <c r="N163" i="172"/>
  <c r="H163" i="172"/>
  <c r="O162" i="172"/>
  <c r="N162" i="172"/>
  <c r="H162" i="172"/>
  <c r="O161" i="172"/>
  <c r="N161" i="172"/>
  <c r="H161" i="172"/>
  <c r="N160" i="172"/>
  <c r="H160" i="172"/>
  <c r="O159" i="172"/>
  <c r="N159" i="172"/>
  <c r="N158" i="172"/>
  <c r="O157" i="172"/>
  <c r="N157" i="172"/>
  <c r="H157" i="172"/>
  <c r="O156" i="172"/>
  <c r="N156" i="172"/>
  <c r="H156" i="172"/>
  <c r="O155" i="172"/>
  <c r="N155" i="172"/>
  <c r="H155" i="172"/>
  <c r="O154" i="172"/>
  <c r="N154" i="172"/>
  <c r="H154" i="172"/>
  <c r="O153" i="172"/>
  <c r="N153" i="172"/>
  <c r="H153" i="172"/>
  <c r="O152" i="172"/>
  <c r="N152" i="172"/>
  <c r="H152" i="172"/>
  <c r="O151" i="172"/>
  <c r="N151" i="172"/>
  <c r="H151" i="172"/>
  <c r="O150" i="172"/>
  <c r="N150" i="172"/>
  <c r="H150" i="172"/>
  <c r="O149" i="172"/>
  <c r="N149" i="172"/>
  <c r="H149" i="172"/>
  <c r="O148" i="172"/>
  <c r="N148" i="172"/>
  <c r="H148" i="172"/>
  <c r="O147" i="172"/>
  <c r="N147" i="172"/>
  <c r="H147" i="172"/>
  <c r="O146" i="172"/>
  <c r="N146" i="172"/>
  <c r="H146" i="172"/>
  <c r="O145" i="172"/>
  <c r="N145" i="172"/>
  <c r="H145" i="172"/>
  <c r="O144" i="172"/>
  <c r="N144" i="172"/>
  <c r="H144" i="172"/>
  <c r="O143" i="172"/>
  <c r="N143" i="172"/>
  <c r="H143" i="172"/>
  <c r="O142" i="172"/>
  <c r="N142" i="172"/>
  <c r="H142" i="172"/>
  <c r="O141" i="172"/>
  <c r="N141" i="172"/>
  <c r="H141" i="172"/>
  <c r="O140" i="172"/>
  <c r="N140" i="172"/>
  <c r="H140" i="172"/>
  <c r="O139" i="172"/>
  <c r="N139" i="172"/>
  <c r="H139" i="172"/>
  <c r="O138" i="172"/>
  <c r="N138" i="172"/>
  <c r="H138" i="172"/>
  <c r="O137" i="172"/>
  <c r="N137" i="172"/>
  <c r="H137" i="172"/>
  <c r="O136" i="172"/>
  <c r="N136" i="172"/>
  <c r="H136" i="172"/>
  <c r="O135" i="172"/>
  <c r="N135" i="172"/>
  <c r="H135" i="172"/>
  <c r="O134" i="172"/>
  <c r="N134" i="172"/>
  <c r="H134" i="172"/>
  <c r="O133" i="172"/>
  <c r="N133" i="172"/>
  <c r="H133" i="172"/>
  <c r="O132" i="172"/>
  <c r="N132" i="172"/>
  <c r="H132" i="172"/>
  <c r="O131" i="172"/>
  <c r="N131" i="172"/>
  <c r="H131" i="172"/>
  <c r="O130" i="172"/>
  <c r="N130" i="172"/>
  <c r="H130" i="172"/>
  <c r="O129" i="172"/>
  <c r="N129" i="172"/>
  <c r="H129" i="172"/>
  <c r="O128" i="172"/>
  <c r="N128" i="172"/>
  <c r="H128" i="172"/>
  <c r="O127" i="172"/>
  <c r="N127" i="172"/>
  <c r="H127" i="172"/>
  <c r="O126" i="172"/>
  <c r="N126" i="172"/>
  <c r="H126" i="172"/>
  <c r="O125" i="172"/>
  <c r="N125" i="172"/>
  <c r="H125" i="172"/>
  <c r="O124" i="172"/>
  <c r="N124" i="172"/>
  <c r="H124" i="172"/>
  <c r="O123" i="172"/>
  <c r="N123" i="172"/>
  <c r="H123" i="172"/>
  <c r="O122" i="172"/>
  <c r="N122" i="172"/>
  <c r="H122" i="172"/>
  <c r="O121" i="172"/>
  <c r="N121" i="172"/>
  <c r="H121" i="172"/>
  <c r="O120" i="172"/>
  <c r="N120" i="172"/>
  <c r="H120" i="172"/>
  <c r="O119" i="172"/>
  <c r="N119" i="172"/>
  <c r="H119" i="172"/>
  <c r="O118" i="172"/>
  <c r="N118" i="172"/>
  <c r="H118" i="172"/>
  <c r="O117" i="172"/>
  <c r="N117" i="172"/>
  <c r="H117" i="172"/>
  <c r="O116" i="172"/>
  <c r="N116" i="172"/>
  <c r="H116" i="172"/>
  <c r="O115" i="172"/>
  <c r="N115" i="172"/>
  <c r="H115" i="172"/>
  <c r="O114" i="172"/>
  <c r="N114" i="172"/>
  <c r="H114" i="172"/>
  <c r="O113" i="172"/>
  <c r="N113" i="172"/>
  <c r="H113" i="172"/>
  <c r="O112" i="172"/>
  <c r="N112" i="172"/>
  <c r="H112" i="172"/>
  <c r="O111" i="172"/>
  <c r="N111" i="172"/>
  <c r="H111" i="172"/>
  <c r="O110" i="172"/>
  <c r="N110" i="172"/>
  <c r="H110" i="172"/>
  <c r="O109" i="172"/>
  <c r="N109" i="172"/>
  <c r="H109" i="172"/>
  <c r="O108" i="172"/>
  <c r="N108" i="172"/>
  <c r="H108" i="172"/>
  <c r="O107" i="172"/>
  <c r="N107" i="172"/>
  <c r="H107" i="172"/>
  <c r="O106" i="172"/>
  <c r="N106" i="172"/>
  <c r="H106" i="172"/>
  <c r="O105" i="172"/>
  <c r="N105" i="172"/>
  <c r="H105" i="172"/>
  <c r="O104" i="172"/>
  <c r="N104" i="172"/>
  <c r="H104" i="172"/>
  <c r="O103" i="172"/>
  <c r="N103" i="172"/>
  <c r="H103" i="172"/>
  <c r="O102" i="172"/>
  <c r="N102" i="172"/>
  <c r="H102" i="172"/>
  <c r="O101" i="172"/>
  <c r="N101" i="172"/>
  <c r="H101" i="172"/>
  <c r="O100" i="172"/>
  <c r="N100" i="172"/>
  <c r="H100" i="172"/>
  <c r="O99" i="172"/>
  <c r="N99" i="172"/>
  <c r="H99" i="172"/>
  <c r="O98" i="172"/>
  <c r="N98" i="172"/>
  <c r="H98" i="172"/>
  <c r="O97" i="172"/>
  <c r="N97" i="172"/>
  <c r="H97" i="172"/>
  <c r="O96" i="172"/>
  <c r="N96" i="172"/>
  <c r="H96" i="172"/>
  <c r="O95" i="172"/>
  <c r="N95" i="172"/>
  <c r="H95" i="172"/>
  <c r="O94" i="172"/>
  <c r="N94" i="172"/>
  <c r="H94" i="172"/>
  <c r="O93" i="172"/>
  <c r="N93" i="172"/>
  <c r="H93" i="172"/>
  <c r="N92" i="172"/>
  <c r="H92" i="172"/>
  <c r="N91" i="172"/>
  <c r="H91" i="172"/>
  <c r="N90" i="172"/>
  <c r="H90" i="172"/>
  <c r="O89" i="172"/>
  <c r="N89" i="172"/>
  <c r="H89" i="172"/>
  <c r="O88" i="172"/>
  <c r="N88" i="172"/>
  <c r="H88" i="172"/>
  <c r="O87" i="172"/>
  <c r="N87" i="172"/>
  <c r="H87" i="172"/>
  <c r="O86" i="172"/>
  <c r="N86" i="172"/>
  <c r="H86" i="172"/>
  <c r="O85" i="172"/>
  <c r="N85" i="172"/>
  <c r="H85" i="172"/>
  <c r="O84" i="172"/>
  <c r="N84" i="172"/>
  <c r="H84" i="172"/>
  <c r="O83" i="172"/>
  <c r="N83" i="172"/>
  <c r="H83" i="172"/>
  <c r="O82" i="172"/>
  <c r="N82" i="172"/>
  <c r="O81" i="172"/>
  <c r="N81" i="172"/>
  <c r="O80" i="172"/>
  <c r="N80" i="172"/>
  <c r="H80" i="172"/>
  <c r="O79" i="172"/>
  <c r="N79" i="172"/>
  <c r="H79" i="172"/>
  <c r="O78" i="172"/>
  <c r="N78" i="172"/>
  <c r="O77" i="172"/>
  <c r="N77" i="172"/>
  <c r="H77" i="172"/>
  <c r="O76" i="172"/>
  <c r="N76" i="172"/>
  <c r="H76" i="172"/>
  <c r="O75" i="172"/>
  <c r="N75" i="172"/>
  <c r="H75" i="172"/>
  <c r="O74" i="172"/>
  <c r="N74" i="172"/>
  <c r="H74" i="172"/>
  <c r="O73" i="172"/>
  <c r="N73" i="172"/>
  <c r="H73" i="172"/>
  <c r="O72" i="172"/>
  <c r="N72" i="172"/>
  <c r="H72" i="172"/>
  <c r="O71" i="172"/>
  <c r="N71" i="172"/>
  <c r="H71" i="172"/>
  <c r="O70" i="172"/>
  <c r="N70" i="172"/>
  <c r="H70" i="172"/>
  <c r="T69" i="172"/>
  <c r="T96" i="172" s="1"/>
  <c r="O69" i="172"/>
  <c r="N69" i="172"/>
  <c r="H69" i="172"/>
  <c r="O68" i="172"/>
  <c r="N68" i="172"/>
  <c r="H68" i="172"/>
  <c r="O67" i="172"/>
  <c r="N67" i="172"/>
  <c r="H67" i="172"/>
  <c r="O66" i="172"/>
  <c r="N66" i="172"/>
  <c r="H66" i="172"/>
  <c r="O65" i="172"/>
  <c r="N65" i="172"/>
  <c r="H65" i="172"/>
  <c r="O64" i="172"/>
  <c r="N64" i="172"/>
  <c r="H64" i="172"/>
  <c r="O63" i="172"/>
  <c r="N63" i="172"/>
  <c r="H63" i="172"/>
  <c r="O62" i="172"/>
  <c r="N62" i="172"/>
  <c r="H62" i="172"/>
  <c r="O61" i="172"/>
  <c r="N61" i="172"/>
  <c r="H61" i="172"/>
  <c r="O60" i="172"/>
  <c r="N60" i="172"/>
  <c r="H60" i="172"/>
  <c r="O59" i="172"/>
  <c r="N59" i="172"/>
  <c r="H59" i="172"/>
  <c r="O58" i="172"/>
  <c r="N58" i="172"/>
  <c r="H58" i="172"/>
  <c r="O57" i="172"/>
  <c r="N57" i="172"/>
  <c r="H57" i="172"/>
  <c r="O56" i="172"/>
  <c r="N56" i="172"/>
  <c r="H56" i="172"/>
  <c r="O55" i="172"/>
  <c r="N55" i="172"/>
  <c r="O54" i="172"/>
  <c r="N54" i="172"/>
  <c r="H54" i="172"/>
  <c r="O53" i="172"/>
  <c r="N53" i="172"/>
  <c r="H53" i="172"/>
  <c r="O52" i="172"/>
  <c r="N52" i="172"/>
  <c r="O51" i="172"/>
  <c r="N51" i="172"/>
  <c r="O50" i="172"/>
  <c r="N50" i="172"/>
  <c r="H50" i="172"/>
  <c r="O49" i="172"/>
  <c r="N49" i="172"/>
  <c r="H49" i="172"/>
  <c r="O48" i="172"/>
  <c r="N48" i="172"/>
  <c r="H48" i="172"/>
  <c r="O47" i="172"/>
  <c r="N47" i="172"/>
  <c r="H47" i="172"/>
  <c r="O46" i="172"/>
  <c r="N46" i="172"/>
  <c r="H46" i="172"/>
  <c r="O45" i="172"/>
  <c r="N45" i="172"/>
  <c r="H45" i="172"/>
  <c r="O44" i="172"/>
  <c r="N44" i="172"/>
  <c r="H44" i="172"/>
  <c r="O43" i="172"/>
  <c r="N43" i="172"/>
  <c r="H43" i="172"/>
  <c r="O42" i="172"/>
  <c r="N42" i="172"/>
  <c r="H42" i="172"/>
  <c r="O41" i="172"/>
  <c r="N41" i="172"/>
  <c r="H41" i="172"/>
  <c r="O40" i="172"/>
  <c r="N40" i="172"/>
  <c r="H40" i="172"/>
  <c r="O39" i="172"/>
  <c r="N39" i="172"/>
  <c r="H39" i="172"/>
  <c r="O38" i="172"/>
  <c r="N38" i="172"/>
  <c r="H38" i="172"/>
  <c r="O37" i="172"/>
  <c r="N37" i="172"/>
  <c r="H37" i="172"/>
  <c r="O36" i="172"/>
  <c r="N36" i="172"/>
  <c r="O35" i="172"/>
  <c r="N35" i="172"/>
  <c r="H35" i="172"/>
  <c r="N34" i="172"/>
  <c r="H34" i="172"/>
  <c r="O33" i="172"/>
  <c r="N33" i="172"/>
  <c r="O32" i="172"/>
  <c r="N32" i="172"/>
  <c r="O31" i="172"/>
  <c r="N31" i="172"/>
  <c r="O30" i="172"/>
  <c r="N30" i="172"/>
  <c r="H30" i="172"/>
  <c r="O29" i="172"/>
  <c r="N29" i="172"/>
  <c r="H29" i="172"/>
  <c r="O28" i="172"/>
  <c r="N28" i="172"/>
  <c r="H28" i="172"/>
  <c r="O27" i="172"/>
  <c r="N27" i="172"/>
  <c r="H27" i="172"/>
  <c r="O26" i="172"/>
  <c r="N26" i="172"/>
  <c r="H26" i="172"/>
  <c r="O25" i="172"/>
  <c r="N25" i="172"/>
  <c r="H25" i="172"/>
  <c r="O24" i="172"/>
  <c r="N24" i="172"/>
  <c r="H24" i="172"/>
  <c r="O23" i="172"/>
  <c r="N23" i="172"/>
  <c r="H23" i="172"/>
  <c r="O22" i="172"/>
  <c r="N22" i="172"/>
  <c r="H22" i="172"/>
  <c r="O21" i="172"/>
  <c r="N21" i="172"/>
  <c r="H21" i="172"/>
  <c r="O20" i="172"/>
  <c r="N20" i="172"/>
  <c r="H20" i="172"/>
  <c r="O19" i="172"/>
  <c r="N19" i="172"/>
  <c r="H19" i="172"/>
  <c r="O18" i="172"/>
  <c r="N18" i="172"/>
  <c r="N17" i="172"/>
  <c r="O16" i="172"/>
  <c r="N16" i="172"/>
  <c r="O15" i="172"/>
  <c r="N15" i="172"/>
  <c r="H15" i="172"/>
  <c r="S14" i="172"/>
  <c r="O14" i="172"/>
  <c r="N14" i="172"/>
  <c r="O13" i="172"/>
  <c r="N13" i="172"/>
  <c r="H13" i="172"/>
  <c r="O12" i="172"/>
  <c r="N12" i="172"/>
  <c r="H12" i="172"/>
  <c r="O11" i="172"/>
  <c r="N11" i="172"/>
  <c r="H11" i="172"/>
  <c r="O10" i="172"/>
  <c r="N10" i="172"/>
  <c r="O9" i="172"/>
  <c r="N9" i="172"/>
  <c r="O8" i="172"/>
  <c r="N8" i="172"/>
  <c r="H8" i="172"/>
  <c r="O7" i="172"/>
  <c r="N7" i="172"/>
  <c r="H7" i="172"/>
  <c r="O6" i="172"/>
  <c r="N6" i="172"/>
  <c r="H6" i="172"/>
  <c r="O5" i="172"/>
  <c r="N5" i="172"/>
  <c r="H5" i="172"/>
  <c r="O4" i="172"/>
  <c r="N4" i="172"/>
  <c r="H4" i="172"/>
  <c r="O3" i="172"/>
  <c r="N3" i="172"/>
  <c r="H3" i="172"/>
  <c r="O2" i="172"/>
  <c r="O229" i="172" s="1"/>
  <c r="B230" i="172" s="1"/>
  <c r="B235" i="172" s="1"/>
  <c r="B241" i="172" s="1"/>
  <c r="B254" i="172" s="1"/>
  <c r="N2" i="172"/>
  <c r="N229" i="172" s="1"/>
  <c r="H2" i="172"/>
  <c r="H229" i="172" s="1"/>
  <c r="B269" i="171"/>
  <c r="B260" i="171"/>
  <c r="B259" i="171"/>
  <c r="B273" i="171" s="1"/>
  <c r="B252" i="171"/>
  <c r="B253" i="171" s="1"/>
  <c r="B250" i="171"/>
  <c r="B249" i="171"/>
  <c r="B248" i="171"/>
  <c r="B251" i="171" s="1"/>
  <c r="B244" i="171"/>
  <c r="B242" i="171"/>
  <c r="B245" i="171" s="1"/>
  <c r="B238" i="171"/>
  <c r="B237" i="171"/>
  <c r="B236" i="171"/>
  <c r="B240" i="171" s="1"/>
  <c r="B233" i="171"/>
  <c r="B231" i="171"/>
  <c r="P229" i="171"/>
  <c r="K229" i="171"/>
  <c r="I229" i="171"/>
  <c r="N228" i="171"/>
  <c r="N227" i="171"/>
  <c r="N226" i="171"/>
  <c r="N225" i="171"/>
  <c r="N224" i="171"/>
  <c r="N223" i="171"/>
  <c r="N222" i="171"/>
  <c r="N221" i="171"/>
  <c r="N220" i="171"/>
  <c r="O219" i="171"/>
  <c r="N219" i="171"/>
  <c r="H219" i="171"/>
  <c r="O218" i="171"/>
  <c r="N218" i="171"/>
  <c r="H218" i="171"/>
  <c r="O217" i="171"/>
  <c r="N217" i="171"/>
  <c r="H217" i="171"/>
  <c r="O216" i="171"/>
  <c r="N216" i="171"/>
  <c r="H216" i="171"/>
  <c r="O215" i="171"/>
  <c r="N215" i="171"/>
  <c r="H215" i="171"/>
  <c r="O214" i="171"/>
  <c r="N214" i="171"/>
  <c r="H214" i="171"/>
  <c r="O213" i="171"/>
  <c r="N213" i="171"/>
  <c r="H213" i="171"/>
  <c r="O212" i="171"/>
  <c r="N212" i="171"/>
  <c r="H212" i="171"/>
  <c r="O211" i="171"/>
  <c r="N211" i="171"/>
  <c r="H211" i="171"/>
  <c r="O210" i="171"/>
  <c r="N210" i="171"/>
  <c r="H210" i="171"/>
  <c r="O209" i="171"/>
  <c r="N209" i="171"/>
  <c r="H209" i="171"/>
  <c r="O208" i="171"/>
  <c r="N208" i="171"/>
  <c r="H208" i="171"/>
  <c r="O207" i="171"/>
  <c r="N207" i="171"/>
  <c r="H207" i="171"/>
  <c r="O206" i="171"/>
  <c r="N206" i="171"/>
  <c r="H206" i="171"/>
  <c r="O205" i="171"/>
  <c r="N205" i="171"/>
  <c r="H205" i="171"/>
  <c r="O204" i="171"/>
  <c r="N204" i="171"/>
  <c r="H204" i="171"/>
  <c r="O203" i="171"/>
  <c r="N203" i="171"/>
  <c r="H203" i="171"/>
  <c r="O202" i="171"/>
  <c r="N202" i="171"/>
  <c r="H202" i="171"/>
  <c r="O201" i="171"/>
  <c r="N201" i="171"/>
  <c r="H201" i="171"/>
  <c r="O200" i="171"/>
  <c r="N200" i="171"/>
  <c r="H200" i="171"/>
  <c r="O199" i="171"/>
  <c r="N199" i="171"/>
  <c r="H199" i="171"/>
  <c r="O198" i="171"/>
  <c r="N198" i="171"/>
  <c r="H198" i="171"/>
  <c r="O197" i="171"/>
  <c r="N197" i="171"/>
  <c r="H197" i="171"/>
  <c r="O196" i="171"/>
  <c r="N196" i="171"/>
  <c r="H196" i="171"/>
  <c r="O195" i="171"/>
  <c r="N195" i="171"/>
  <c r="H195" i="171"/>
  <c r="O194" i="171"/>
  <c r="N194" i="171"/>
  <c r="H194" i="171"/>
  <c r="O193" i="171"/>
  <c r="N193" i="171"/>
  <c r="H193" i="171"/>
  <c r="O192" i="171"/>
  <c r="N192" i="171"/>
  <c r="O191" i="171"/>
  <c r="N191" i="171"/>
  <c r="H191" i="171"/>
  <c r="O190" i="171"/>
  <c r="N190" i="171"/>
  <c r="H190" i="171"/>
  <c r="O189" i="171"/>
  <c r="N189" i="171"/>
  <c r="H189" i="171"/>
  <c r="O188" i="171"/>
  <c r="N188" i="171"/>
  <c r="H188" i="171"/>
  <c r="O187" i="171"/>
  <c r="N187" i="171"/>
  <c r="H187" i="171"/>
  <c r="O186" i="171"/>
  <c r="N186" i="171"/>
  <c r="H186" i="171"/>
  <c r="O185" i="171"/>
  <c r="N185" i="171"/>
  <c r="H185" i="171"/>
  <c r="O184" i="171"/>
  <c r="N184" i="171"/>
  <c r="O183" i="171"/>
  <c r="N183" i="171"/>
  <c r="O182" i="171"/>
  <c r="N182" i="171"/>
  <c r="O181" i="171"/>
  <c r="N181" i="171"/>
  <c r="H181" i="171"/>
  <c r="O180" i="171"/>
  <c r="N180" i="171"/>
  <c r="H180" i="171"/>
  <c r="O179" i="171"/>
  <c r="N179" i="171"/>
  <c r="H179" i="171"/>
  <c r="O178" i="171"/>
  <c r="N178" i="171"/>
  <c r="H178" i="171"/>
  <c r="O177" i="171"/>
  <c r="N177" i="171"/>
  <c r="H177" i="171"/>
  <c r="O176" i="171"/>
  <c r="N176" i="171"/>
  <c r="H176" i="171"/>
  <c r="O175" i="171"/>
  <c r="N175" i="171"/>
  <c r="H175" i="171"/>
  <c r="O174" i="171"/>
  <c r="N174" i="171"/>
  <c r="H174" i="171"/>
  <c r="O173" i="171"/>
  <c r="N173" i="171"/>
  <c r="H173" i="171"/>
  <c r="O172" i="171"/>
  <c r="N172" i="171"/>
  <c r="H172" i="171"/>
  <c r="O171" i="171"/>
  <c r="N171" i="171"/>
  <c r="H171" i="171"/>
  <c r="O170" i="171"/>
  <c r="N170" i="171"/>
  <c r="H170" i="171"/>
  <c r="O169" i="171"/>
  <c r="N169" i="171"/>
  <c r="H169" i="171"/>
  <c r="O168" i="171"/>
  <c r="N168" i="171"/>
  <c r="O167" i="171"/>
  <c r="N167" i="171"/>
  <c r="H167" i="171"/>
  <c r="O166" i="171"/>
  <c r="N166" i="171"/>
  <c r="H166" i="171"/>
  <c r="O165" i="171"/>
  <c r="N165" i="171"/>
  <c r="H165" i="171"/>
  <c r="O164" i="171"/>
  <c r="N164" i="171"/>
  <c r="H164" i="171"/>
  <c r="O163" i="171"/>
  <c r="N163" i="171"/>
  <c r="H163" i="171"/>
  <c r="O162" i="171"/>
  <c r="N162" i="171"/>
  <c r="H162" i="171"/>
  <c r="O161" i="171"/>
  <c r="N161" i="171"/>
  <c r="H161" i="171"/>
  <c r="N160" i="171"/>
  <c r="H160" i="171"/>
  <c r="O159" i="171"/>
  <c r="N159" i="171"/>
  <c r="N158" i="171"/>
  <c r="O157" i="171"/>
  <c r="N157" i="171"/>
  <c r="H157" i="171"/>
  <c r="O156" i="171"/>
  <c r="N156" i="171"/>
  <c r="H156" i="171"/>
  <c r="O155" i="171"/>
  <c r="N155" i="171"/>
  <c r="H155" i="171"/>
  <c r="O154" i="171"/>
  <c r="N154" i="171"/>
  <c r="H154" i="171"/>
  <c r="O153" i="171"/>
  <c r="N153" i="171"/>
  <c r="H153" i="171"/>
  <c r="O152" i="171"/>
  <c r="N152" i="171"/>
  <c r="H152" i="171"/>
  <c r="O151" i="171"/>
  <c r="N151" i="171"/>
  <c r="H151" i="171"/>
  <c r="O150" i="171"/>
  <c r="N150" i="171"/>
  <c r="H150" i="171"/>
  <c r="O149" i="171"/>
  <c r="N149" i="171"/>
  <c r="H149" i="171"/>
  <c r="O148" i="171"/>
  <c r="N148" i="171"/>
  <c r="H148" i="171"/>
  <c r="O147" i="171"/>
  <c r="N147" i="171"/>
  <c r="H147" i="171"/>
  <c r="O146" i="171"/>
  <c r="N146" i="171"/>
  <c r="H146" i="171"/>
  <c r="O145" i="171"/>
  <c r="N145" i="171"/>
  <c r="H145" i="171"/>
  <c r="O144" i="171"/>
  <c r="N144" i="171"/>
  <c r="H144" i="171"/>
  <c r="O143" i="171"/>
  <c r="N143" i="171"/>
  <c r="H143" i="171"/>
  <c r="O142" i="171"/>
  <c r="N142" i="171"/>
  <c r="H142" i="171"/>
  <c r="O141" i="171"/>
  <c r="N141" i="171"/>
  <c r="H141" i="171"/>
  <c r="O140" i="171"/>
  <c r="N140" i="171"/>
  <c r="H140" i="171"/>
  <c r="O139" i="171"/>
  <c r="N139" i="171"/>
  <c r="H139" i="171"/>
  <c r="O138" i="171"/>
  <c r="N138" i="171"/>
  <c r="H138" i="171"/>
  <c r="O137" i="171"/>
  <c r="N137" i="171"/>
  <c r="H137" i="171"/>
  <c r="O136" i="171"/>
  <c r="N136" i="171"/>
  <c r="H136" i="171"/>
  <c r="O135" i="171"/>
  <c r="N135" i="171"/>
  <c r="H135" i="171"/>
  <c r="O134" i="171"/>
  <c r="N134" i="171"/>
  <c r="H134" i="171"/>
  <c r="O133" i="171"/>
  <c r="N133" i="171"/>
  <c r="H133" i="171"/>
  <c r="O132" i="171"/>
  <c r="N132" i="171"/>
  <c r="H132" i="171"/>
  <c r="O131" i="171"/>
  <c r="N131" i="171"/>
  <c r="H131" i="171"/>
  <c r="O130" i="171"/>
  <c r="N130" i="171"/>
  <c r="H130" i="171"/>
  <c r="O129" i="171"/>
  <c r="N129" i="171"/>
  <c r="H129" i="171"/>
  <c r="O128" i="171"/>
  <c r="N128" i="171"/>
  <c r="H128" i="171"/>
  <c r="O127" i="171"/>
  <c r="N127" i="171"/>
  <c r="H127" i="171"/>
  <c r="O126" i="171"/>
  <c r="N126" i="171"/>
  <c r="H126" i="171"/>
  <c r="O125" i="171"/>
  <c r="N125" i="171"/>
  <c r="H125" i="171"/>
  <c r="O124" i="171"/>
  <c r="N124" i="171"/>
  <c r="H124" i="171"/>
  <c r="O123" i="171"/>
  <c r="N123" i="171"/>
  <c r="H123" i="171"/>
  <c r="O122" i="171"/>
  <c r="N122" i="171"/>
  <c r="H122" i="171"/>
  <c r="O121" i="171"/>
  <c r="N121" i="171"/>
  <c r="H121" i="171"/>
  <c r="O120" i="171"/>
  <c r="N120" i="171"/>
  <c r="H120" i="171"/>
  <c r="O119" i="171"/>
  <c r="N119" i="171"/>
  <c r="H119" i="171"/>
  <c r="O118" i="171"/>
  <c r="N118" i="171"/>
  <c r="H118" i="171"/>
  <c r="O117" i="171"/>
  <c r="N117" i="171"/>
  <c r="H117" i="171"/>
  <c r="O116" i="171"/>
  <c r="N116" i="171"/>
  <c r="H116" i="171"/>
  <c r="O115" i="171"/>
  <c r="N115" i="171"/>
  <c r="H115" i="171"/>
  <c r="O114" i="171"/>
  <c r="N114" i="171"/>
  <c r="H114" i="171"/>
  <c r="O113" i="171"/>
  <c r="N113" i="171"/>
  <c r="H113" i="171"/>
  <c r="O112" i="171"/>
  <c r="N112" i="171"/>
  <c r="H112" i="171"/>
  <c r="O111" i="171"/>
  <c r="N111" i="171"/>
  <c r="H111" i="171"/>
  <c r="O110" i="171"/>
  <c r="N110" i="171"/>
  <c r="H110" i="171"/>
  <c r="O109" i="171"/>
  <c r="N109" i="171"/>
  <c r="H109" i="171"/>
  <c r="O108" i="171"/>
  <c r="N108" i="171"/>
  <c r="H108" i="171"/>
  <c r="O107" i="171"/>
  <c r="N107" i="171"/>
  <c r="H107" i="171"/>
  <c r="O106" i="171"/>
  <c r="N106" i="171"/>
  <c r="H106" i="171"/>
  <c r="O105" i="171"/>
  <c r="N105" i="171"/>
  <c r="H105" i="171"/>
  <c r="O104" i="171"/>
  <c r="N104" i="171"/>
  <c r="H104" i="171"/>
  <c r="O103" i="171"/>
  <c r="N103" i="171"/>
  <c r="H103" i="171"/>
  <c r="O102" i="171"/>
  <c r="N102" i="171"/>
  <c r="H102" i="171"/>
  <c r="O101" i="171"/>
  <c r="N101" i="171"/>
  <c r="H101" i="171"/>
  <c r="O100" i="171"/>
  <c r="N100" i="171"/>
  <c r="H100" i="171"/>
  <c r="O99" i="171"/>
  <c r="N99" i="171"/>
  <c r="H99" i="171"/>
  <c r="O98" i="171"/>
  <c r="N98" i="171"/>
  <c r="H98" i="171"/>
  <c r="O97" i="171"/>
  <c r="N97" i="171"/>
  <c r="H97" i="171"/>
  <c r="O96" i="171"/>
  <c r="N96" i="171"/>
  <c r="H96" i="171"/>
  <c r="O95" i="171"/>
  <c r="N95" i="171"/>
  <c r="H95" i="171"/>
  <c r="O94" i="171"/>
  <c r="N94" i="171"/>
  <c r="H94" i="171"/>
  <c r="O93" i="171"/>
  <c r="N93" i="171"/>
  <c r="H93" i="171"/>
  <c r="N92" i="171"/>
  <c r="H92" i="171"/>
  <c r="N91" i="171"/>
  <c r="H91" i="171"/>
  <c r="N90" i="171"/>
  <c r="H90" i="171"/>
  <c r="O89" i="171"/>
  <c r="N89" i="171"/>
  <c r="H89" i="171"/>
  <c r="O88" i="171"/>
  <c r="N88" i="171"/>
  <c r="H88" i="171"/>
  <c r="O87" i="171"/>
  <c r="N87" i="171"/>
  <c r="H87" i="171"/>
  <c r="O86" i="171"/>
  <c r="N86" i="171"/>
  <c r="H86" i="171"/>
  <c r="O85" i="171"/>
  <c r="N85" i="171"/>
  <c r="H85" i="171"/>
  <c r="O84" i="171"/>
  <c r="N84" i="171"/>
  <c r="H84" i="171"/>
  <c r="O83" i="171"/>
  <c r="N83" i="171"/>
  <c r="H83" i="171"/>
  <c r="O82" i="171"/>
  <c r="N82" i="171"/>
  <c r="O81" i="171"/>
  <c r="N81" i="171"/>
  <c r="O80" i="171"/>
  <c r="N80" i="171"/>
  <c r="H80" i="171"/>
  <c r="O79" i="171"/>
  <c r="N79" i="171"/>
  <c r="H79" i="171"/>
  <c r="O78" i="171"/>
  <c r="N78" i="171"/>
  <c r="O77" i="171"/>
  <c r="N77" i="171"/>
  <c r="H77" i="171"/>
  <c r="O76" i="171"/>
  <c r="N76" i="171"/>
  <c r="H76" i="171"/>
  <c r="O75" i="171"/>
  <c r="N75" i="171"/>
  <c r="H75" i="171"/>
  <c r="O74" i="171"/>
  <c r="N74" i="171"/>
  <c r="H74" i="171"/>
  <c r="O73" i="171"/>
  <c r="N73" i="171"/>
  <c r="H73" i="171"/>
  <c r="O72" i="171"/>
  <c r="N72" i="171"/>
  <c r="H72" i="171"/>
  <c r="O71" i="171"/>
  <c r="N71" i="171"/>
  <c r="H71" i="171"/>
  <c r="O70" i="171"/>
  <c r="N70" i="171"/>
  <c r="H70" i="171"/>
  <c r="T69" i="171"/>
  <c r="T96" i="171" s="1"/>
  <c r="O69" i="171"/>
  <c r="N69" i="171"/>
  <c r="H69" i="171"/>
  <c r="O68" i="171"/>
  <c r="N68" i="171"/>
  <c r="H68" i="171"/>
  <c r="O67" i="171"/>
  <c r="N67" i="171"/>
  <c r="H67" i="171"/>
  <c r="O66" i="171"/>
  <c r="N66" i="171"/>
  <c r="H66" i="171"/>
  <c r="O65" i="171"/>
  <c r="N65" i="171"/>
  <c r="H65" i="171"/>
  <c r="O64" i="171"/>
  <c r="N64" i="171"/>
  <c r="H64" i="171"/>
  <c r="O63" i="171"/>
  <c r="N63" i="171"/>
  <c r="H63" i="171"/>
  <c r="O62" i="171"/>
  <c r="N62" i="171"/>
  <c r="H62" i="171"/>
  <c r="O61" i="171"/>
  <c r="N61" i="171"/>
  <c r="H61" i="171"/>
  <c r="O60" i="171"/>
  <c r="N60" i="171"/>
  <c r="H60" i="171"/>
  <c r="O59" i="171"/>
  <c r="N59" i="171"/>
  <c r="H59" i="171"/>
  <c r="O58" i="171"/>
  <c r="N58" i="171"/>
  <c r="H58" i="171"/>
  <c r="O57" i="171"/>
  <c r="N57" i="171"/>
  <c r="H57" i="171"/>
  <c r="O56" i="171"/>
  <c r="N56" i="171"/>
  <c r="H56" i="171"/>
  <c r="O55" i="171"/>
  <c r="N55" i="171"/>
  <c r="O54" i="171"/>
  <c r="N54" i="171"/>
  <c r="H54" i="171"/>
  <c r="O53" i="171"/>
  <c r="N53" i="171"/>
  <c r="H53" i="171"/>
  <c r="O52" i="171"/>
  <c r="N52" i="171"/>
  <c r="O51" i="171"/>
  <c r="N51" i="171"/>
  <c r="O50" i="171"/>
  <c r="N50" i="171"/>
  <c r="H50" i="171"/>
  <c r="O49" i="171"/>
  <c r="N49" i="171"/>
  <c r="H49" i="171"/>
  <c r="O48" i="171"/>
  <c r="N48" i="171"/>
  <c r="H48" i="171"/>
  <c r="O47" i="171"/>
  <c r="N47" i="171"/>
  <c r="H47" i="171"/>
  <c r="O46" i="171"/>
  <c r="N46" i="171"/>
  <c r="H46" i="171"/>
  <c r="O45" i="171"/>
  <c r="N45" i="171"/>
  <c r="H45" i="171"/>
  <c r="O44" i="171"/>
  <c r="N44" i="171"/>
  <c r="H44" i="171"/>
  <c r="O43" i="171"/>
  <c r="N43" i="171"/>
  <c r="H43" i="171"/>
  <c r="O42" i="171"/>
  <c r="N42" i="171"/>
  <c r="H42" i="171"/>
  <c r="O41" i="171"/>
  <c r="N41" i="171"/>
  <c r="H41" i="171"/>
  <c r="O40" i="171"/>
  <c r="N40" i="171"/>
  <c r="H40" i="171"/>
  <c r="O39" i="171"/>
  <c r="N39" i="171"/>
  <c r="H39" i="171"/>
  <c r="O38" i="171"/>
  <c r="N38" i="171"/>
  <c r="H38" i="171"/>
  <c r="O37" i="171"/>
  <c r="N37" i="171"/>
  <c r="H37" i="171"/>
  <c r="O36" i="171"/>
  <c r="N36" i="171"/>
  <c r="O35" i="171"/>
  <c r="N35" i="171"/>
  <c r="H35" i="171"/>
  <c r="N34" i="171"/>
  <c r="H34" i="171"/>
  <c r="O33" i="171"/>
  <c r="N33" i="171"/>
  <c r="O32" i="171"/>
  <c r="N32" i="171"/>
  <c r="O31" i="171"/>
  <c r="N31" i="171"/>
  <c r="O30" i="171"/>
  <c r="N30" i="171"/>
  <c r="H30" i="171"/>
  <c r="O29" i="171"/>
  <c r="N29" i="171"/>
  <c r="H29" i="171"/>
  <c r="O28" i="171"/>
  <c r="N28" i="171"/>
  <c r="H28" i="171"/>
  <c r="O27" i="171"/>
  <c r="N27" i="171"/>
  <c r="H27" i="171"/>
  <c r="O26" i="171"/>
  <c r="N26" i="171"/>
  <c r="H26" i="171"/>
  <c r="O25" i="171"/>
  <c r="N25" i="171"/>
  <c r="H25" i="171"/>
  <c r="O24" i="171"/>
  <c r="N24" i="171"/>
  <c r="H24" i="171"/>
  <c r="O23" i="171"/>
  <c r="N23" i="171"/>
  <c r="H23" i="171"/>
  <c r="O22" i="171"/>
  <c r="N22" i="171"/>
  <c r="H22" i="171"/>
  <c r="O21" i="171"/>
  <c r="N21" i="171"/>
  <c r="H21" i="171"/>
  <c r="O20" i="171"/>
  <c r="N20" i="171"/>
  <c r="H20" i="171"/>
  <c r="O19" i="171"/>
  <c r="N19" i="171"/>
  <c r="H19" i="171"/>
  <c r="O18" i="171"/>
  <c r="N18" i="171"/>
  <c r="N17" i="171"/>
  <c r="O16" i="171"/>
  <c r="N16" i="171"/>
  <c r="O15" i="171"/>
  <c r="N15" i="171"/>
  <c r="H15" i="171"/>
  <c r="S14" i="171"/>
  <c r="O14" i="171"/>
  <c r="N14" i="171"/>
  <c r="O13" i="171"/>
  <c r="N13" i="171"/>
  <c r="H13" i="171"/>
  <c r="O12" i="171"/>
  <c r="N12" i="171"/>
  <c r="H12" i="171"/>
  <c r="O11" i="171"/>
  <c r="N11" i="171"/>
  <c r="H11" i="171"/>
  <c r="O10" i="171"/>
  <c r="N10" i="171"/>
  <c r="O9" i="171"/>
  <c r="N9" i="171"/>
  <c r="O8" i="171"/>
  <c r="N8" i="171"/>
  <c r="H8" i="171"/>
  <c r="O7" i="171"/>
  <c r="N7" i="171"/>
  <c r="H7" i="171"/>
  <c r="O6" i="171"/>
  <c r="N6" i="171"/>
  <c r="H6" i="171"/>
  <c r="O5" i="171"/>
  <c r="N5" i="171"/>
  <c r="H5" i="171"/>
  <c r="O4" i="171"/>
  <c r="N4" i="171"/>
  <c r="H4" i="171"/>
  <c r="O3" i="171"/>
  <c r="N3" i="171"/>
  <c r="H3" i="171"/>
  <c r="O2" i="171"/>
  <c r="O229" i="171" s="1"/>
  <c r="B230" i="171" s="1"/>
  <c r="B235" i="171" s="1"/>
  <c r="B241" i="171" s="1"/>
  <c r="B254" i="171" s="1"/>
  <c r="N2" i="171"/>
  <c r="N229" i="171" s="1"/>
  <c r="H2" i="171"/>
  <c r="H229" i="171" s="1"/>
  <c r="B268" i="170"/>
  <c r="B259" i="170"/>
  <c r="B258" i="170"/>
  <c r="B272" i="170" s="1"/>
  <c r="B251" i="170"/>
  <c r="B252" i="170" s="1"/>
  <c r="B249" i="170"/>
  <c r="B248" i="170"/>
  <c r="B247" i="170"/>
  <c r="B250" i="170" s="1"/>
  <c r="B243" i="170"/>
  <c r="B241" i="170"/>
  <c r="B244" i="170" s="1"/>
  <c r="B237" i="170"/>
  <c r="B236" i="170"/>
  <c r="B235" i="170"/>
  <c r="B239" i="170" s="1"/>
  <c r="B232" i="170"/>
  <c r="B230" i="170"/>
  <c r="P228" i="170"/>
  <c r="K228" i="170"/>
  <c r="I228" i="170"/>
  <c r="N227" i="170"/>
  <c r="N226" i="170"/>
  <c r="N225" i="170"/>
  <c r="N224" i="170"/>
  <c r="N223" i="170"/>
  <c r="N222" i="170"/>
  <c r="N221" i="170"/>
  <c r="N220" i="170"/>
  <c r="N219" i="170"/>
  <c r="O218" i="170"/>
  <c r="N218" i="170"/>
  <c r="H218" i="170"/>
  <c r="O217" i="170"/>
  <c r="N217" i="170"/>
  <c r="H217" i="170"/>
  <c r="O216" i="170"/>
  <c r="N216" i="170"/>
  <c r="H216" i="170"/>
  <c r="O215" i="170"/>
  <c r="N215" i="170"/>
  <c r="H215" i="170"/>
  <c r="O214" i="170"/>
  <c r="N214" i="170"/>
  <c r="H214" i="170"/>
  <c r="O213" i="170"/>
  <c r="N213" i="170"/>
  <c r="H213" i="170"/>
  <c r="O212" i="170"/>
  <c r="N212" i="170"/>
  <c r="H212" i="170"/>
  <c r="O211" i="170"/>
  <c r="N211" i="170"/>
  <c r="H211" i="170"/>
  <c r="O210" i="170"/>
  <c r="N210" i="170"/>
  <c r="H210" i="170"/>
  <c r="O209" i="170"/>
  <c r="N209" i="170"/>
  <c r="H209" i="170"/>
  <c r="O208" i="170"/>
  <c r="N208" i="170"/>
  <c r="H208" i="170"/>
  <c r="O207" i="170"/>
  <c r="N207" i="170"/>
  <c r="H207" i="170"/>
  <c r="O206" i="170"/>
  <c r="N206" i="170"/>
  <c r="H206" i="170"/>
  <c r="O205" i="170"/>
  <c r="N205" i="170"/>
  <c r="H205" i="170"/>
  <c r="O204" i="170"/>
  <c r="N204" i="170"/>
  <c r="H204" i="170"/>
  <c r="O203" i="170"/>
  <c r="N203" i="170"/>
  <c r="H203" i="170"/>
  <c r="O202" i="170"/>
  <c r="N202" i="170"/>
  <c r="H202" i="170"/>
  <c r="O201" i="170"/>
  <c r="N201" i="170"/>
  <c r="H201" i="170"/>
  <c r="O200" i="170"/>
  <c r="N200" i="170"/>
  <c r="H200" i="170"/>
  <c r="O199" i="170"/>
  <c r="N199" i="170"/>
  <c r="H199" i="170"/>
  <c r="O198" i="170"/>
  <c r="N198" i="170"/>
  <c r="H198" i="170"/>
  <c r="O197" i="170"/>
  <c r="N197" i="170"/>
  <c r="H197" i="170"/>
  <c r="O196" i="170"/>
  <c r="N196" i="170"/>
  <c r="H196" i="170"/>
  <c r="O195" i="170"/>
  <c r="N195" i="170"/>
  <c r="H195" i="170"/>
  <c r="O194" i="170"/>
  <c r="N194" i="170"/>
  <c r="H194" i="170"/>
  <c r="O193" i="170"/>
  <c r="N193" i="170"/>
  <c r="H193" i="170"/>
  <c r="O192" i="170"/>
  <c r="N192" i="170"/>
  <c r="H192" i="170"/>
  <c r="O191" i="170"/>
  <c r="N191" i="170"/>
  <c r="O190" i="170"/>
  <c r="N190" i="170"/>
  <c r="H190" i="170"/>
  <c r="O189" i="170"/>
  <c r="N189" i="170"/>
  <c r="H189" i="170"/>
  <c r="O188" i="170"/>
  <c r="N188" i="170"/>
  <c r="H188" i="170"/>
  <c r="O187" i="170"/>
  <c r="N187" i="170"/>
  <c r="H187" i="170"/>
  <c r="O186" i="170"/>
  <c r="N186" i="170"/>
  <c r="H186" i="170"/>
  <c r="O185" i="170"/>
  <c r="N185" i="170"/>
  <c r="H185" i="170"/>
  <c r="O184" i="170"/>
  <c r="N184" i="170"/>
  <c r="H184" i="170"/>
  <c r="O183" i="170"/>
  <c r="N183" i="170"/>
  <c r="O182" i="170"/>
  <c r="N182" i="170"/>
  <c r="O181" i="170"/>
  <c r="N181" i="170"/>
  <c r="O180" i="170"/>
  <c r="N180" i="170"/>
  <c r="H180" i="170"/>
  <c r="O179" i="170"/>
  <c r="N179" i="170"/>
  <c r="H179" i="170"/>
  <c r="O178" i="170"/>
  <c r="N178" i="170"/>
  <c r="H178" i="170"/>
  <c r="O177" i="170"/>
  <c r="N177" i="170"/>
  <c r="H177" i="170"/>
  <c r="O176" i="170"/>
  <c r="N176" i="170"/>
  <c r="H176" i="170"/>
  <c r="O175" i="170"/>
  <c r="N175" i="170"/>
  <c r="H175" i="170"/>
  <c r="O174" i="170"/>
  <c r="N174" i="170"/>
  <c r="H174" i="170"/>
  <c r="O173" i="170"/>
  <c r="N173" i="170"/>
  <c r="H173" i="170"/>
  <c r="O172" i="170"/>
  <c r="N172" i="170"/>
  <c r="H172" i="170"/>
  <c r="O171" i="170"/>
  <c r="N171" i="170"/>
  <c r="H171" i="170"/>
  <c r="O170" i="170"/>
  <c r="N170" i="170"/>
  <c r="H170" i="170"/>
  <c r="O169" i="170"/>
  <c r="N169" i="170"/>
  <c r="H169" i="170"/>
  <c r="O168" i="170"/>
  <c r="N168" i="170"/>
  <c r="H168" i="170"/>
  <c r="O167" i="170"/>
  <c r="N167" i="170"/>
  <c r="O166" i="170"/>
  <c r="N166" i="170"/>
  <c r="H166" i="170"/>
  <c r="O165" i="170"/>
  <c r="N165" i="170"/>
  <c r="H165" i="170"/>
  <c r="O164" i="170"/>
  <c r="N164" i="170"/>
  <c r="H164" i="170"/>
  <c r="O163" i="170"/>
  <c r="N163" i="170"/>
  <c r="H163" i="170"/>
  <c r="O162" i="170"/>
  <c r="N162" i="170"/>
  <c r="H162" i="170"/>
  <c r="O161" i="170"/>
  <c r="N161" i="170"/>
  <c r="H161" i="170"/>
  <c r="N160" i="170"/>
  <c r="H160" i="170"/>
  <c r="O159" i="170"/>
  <c r="N159" i="170"/>
  <c r="N158" i="170"/>
  <c r="O157" i="170"/>
  <c r="N157" i="170"/>
  <c r="H157" i="170"/>
  <c r="O156" i="170"/>
  <c r="N156" i="170"/>
  <c r="H156" i="170"/>
  <c r="O155" i="170"/>
  <c r="N155" i="170"/>
  <c r="H155" i="170"/>
  <c r="O154" i="170"/>
  <c r="N154" i="170"/>
  <c r="H154" i="170"/>
  <c r="O153" i="170"/>
  <c r="N153" i="170"/>
  <c r="H153" i="170"/>
  <c r="O152" i="170"/>
  <c r="N152" i="170"/>
  <c r="H152" i="170"/>
  <c r="O151" i="170"/>
  <c r="N151" i="170"/>
  <c r="H151" i="170"/>
  <c r="O150" i="170"/>
  <c r="N150" i="170"/>
  <c r="H150" i="170"/>
  <c r="O149" i="170"/>
  <c r="N149" i="170"/>
  <c r="H149" i="170"/>
  <c r="O148" i="170"/>
  <c r="N148" i="170"/>
  <c r="H148" i="170"/>
  <c r="O147" i="170"/>
  <c r="N147" i="170"/>
  <c r="H147" i="170"/>
  <c r="O146" i="170"/>
  <c r="N146" i="170"/>
  <c r="H146" i="170"/>
  <c r="O145" i="170"/>
  <c r="N145" i="170"/>
  <c r="H145" i="170"/>
  <c r="O144" i="170"/>
  <c r="N144" i="170"/>
  <c r="H144" i="170"/>
  <c r="O143" i="170"/>
  <c r="N143" i="170"/>
  <c r="H143" i="170"/>
  <c r="O142" i="170"/>
  <c r="N142" i="170"/>
  <c r="H142" i="170"/>
  <c r="O141" i="170"/>
  <c r="N141" i="170"/>
  <c r="H141" i="170"/>
  <c r="O140" i="170"/>
  <c r="N140" i="170"/>
  <c r="H140" i="170"/>
  <c r="O139" i="170"/>
  <c r="N139" i="170"/>
  <c r="H139" i="170"/>
  <c r="O138" i="170"/>
  <c r="N138" i="170"/>
  <c r="H138" i="170"/>
  <c r="O137" i="170"/>
  <c r="N137" i="170"/>
  <c r="H137" i="170"/>
  <c r="O136" i="170"/>
  <c r="N136" i="170"/>
  <c r="H136" i="170"/>
  <c r="O135" i="170"/>
  <c r="N135" i="170"/>
  <c r="H135" i="170"/>
  <c r="O134" i="170"/>
  <c r="N134" i="170"/>
  <c r="H134" i="170"/>
  <c r="O133" i="170"/>
  <c r="N133" i="170"/>
  <c r="H133" i="170"/>
  <c r="O132" i="170"/>
  <c r="N132" i="170"/>
  <c r="H132" i="170"/>
  <c r="O131" i="170"/>
  <c r="N131" i="170"/>
  <c r="H131" i="170"/>
  <c r="O130" i="170"/>
  <c r="N130" i="170"/>
  <c r="H130" i="170"/>
  <c r="O129" i="170"/>
  <c r="N129" i="170"/>
  <c r="H129" i="170"/>
  <c r="O128" i="170"/>
  <c r="N128" i="170"/>
  <c r="H128" i="170"/>
  <c r="O127" i="170"/>
  <c r="N127" i="170"/>
  <c r="H127" i="170"/>
  <c r="O126" i="170"/>
  <c r="N126" i="170"/>
  <c r="H126" i="170"/>
  <c r="O125" i="170"/>
  <c r="N125" i="170"/>
  <c r="H125" i="170"/>
  <c r="O124" i="170"/>
  <c r="N124" i="170"/>
  <c r="H124" i="170"/>
  <c r="O123" i="170"/>
  <c r="N123" i="170"/>
  <c r="H123" i="170"/>
  <c r="O122" i="170"/>
  <c r="N122" i="170"/>
  <c r="H122" i="170"/>
  <c r="O121" i="170"/>
  <c r="N121" i="170"/>
  <c r="H121" i="170"/>
  <c r="O120" i="170"/>
  <c r="N120" i="170"/>
  <c r="H120" i="170"/>
  <c r="O119" i="170"/>
  <c r="N119" i="170"/>
  <c r="H119" i="170"/>
  <c r="O118" i="170"/>
  <c r="N118" i="170"/>
  <c r="H118" i="170"/>
  <c r="O117" i="170"/>
  <c r="N117" i="170"/>
  <c r="H117" i="170"/>
  <c r="O116" i="170"/>
  <c r="N116" i="170"/>
  <c r="H116" i="170"/>
  <c r="O115" i="170"/>
  <c r="N115" i="170"/>
  <c r="H115" i="170"/>
  <c r="O114" i="170"/>
  <c r="N114" i="170"/>
  <c r="H114" i="170"/>
  <c r="O113" i="170"/>
  <c r="N113" i="170"/>
  <c r="H113" i="170"/>
  <c r="O112" i="170"/>
  <c r="N112" i="170"/>
  <c r="H112" i="170"/>
  <c r="O111" i="170"/>
  <c r="N111" i="170"/>
  <c r="H111" i="170"/>
  <c r="O110" i="170"/>
  <c r="N110" i="170"/>
  <c r="H110" i="170"/>
  <c r="O109" i="170"/>
  <c r="N109" i="170"/>
  <c r="H109" i="170"/>
  <c r="O108" i="170"/>
  <c r="N108" i="170"/>
  <c r="H108" i="170"/>
  <c r="O107" i="170"/>
  <c r="N107" i="170"/>
  <c r="H107" i="170"/>
  <c r="O106" i="170"/>
  <c r="N106" i="170"/>
  <c r="H106" i="170"/>
  <c r="O105" i="170"/>
  <c r="N105" i="170"/>
  <c r="H105" i="170"/>
  <c r="O104" i="170"/>
  <c r="N104" i="170"/>
  <c r="H104" i="170"/>
  <c r="O103" i="170"/>
  <c r="N103" i="170"/>
  <c r="H103" i="170"/>
  <c r="O102" i="170"/>
  <c r="N102" i="170"/>
  <c r="H102" i="170"/>
  <c r="O101" i="170"/>
  <c r="N101" i="170"/>
  <c r="H101" i="170"/>
  <c r="O100" i="170"/>
  <c r="N100" i="170"/>
  <c r="H100" i="170"/>
  <c r="O99" i="170"/>
  <c r="N99" i="170"/>
  <c r="H99" i="170"/>
  <c r="O98" i="170"/>
  <c r="N98" i="170"/>
  <c r="H98" i="170"/>
  <c r="O97" i="170"/>
  <c r="N97" i="170"/>
  <c r="H97" i="170"/>
  <c r="O96" i="170"/>
  <c r="N96" i="170"/>
  <c r="H96" i="170"/>
  <c r="O95" i="170"/>
  <c r="N95" i="170"/>
  <c r="H95" i="170"/>
  <c r="O94" i="170"/>
  <c r="N94" i="170"/>
  <c r="H94" i="170"/>
  <c r="O93" i="170"/>
  <c r="N93" i="170"/>
  <c r="H93" i="170"/>
  <c r="N92" i="170"/>
  <c r="H92" i="170"/>
  <c r="N91" i="170"/>
  <c r="H91" i="170"/>
  <c r="N90" i="170"/>
  <c r="H90" i="170"/>
  <c r="O89" i="170"/>
  <c r="N89" i="170"/>
  <c r="H89" i="170"/>
  <c r="O88" i="170"/>
  <c r="N88" i="170"/>
  <c r="H88" i="170"/>
  <c r="O87" i="170"/>
  <c r="N87" i="170"/>
  <c r="H87" i="170"/>
  <c r="O86" i="170"/>
  <c r="N86" i="170"/>
  <c r="H86" i="170"/>
  <c r="O85" i="170"/>
  <c r="N85" i="170"/>
  <c r="H85" i="170"/>
  <c r="O84" i="170"/>
  <c r="N84" i="170"/>
  <c r="H84" i="170"/>
  <c r="O83" i="170"/>
  <c r="N83" i="170"/>
  <c r="H83" i="170"/>
  <c r="O82" i="170"/>
  <c r="N82" i="170"/>
  <c r="O81" i="170"/>
  <c r="N81" i="170"/>
  <c r="O80" i="170"/>
  <c r="N80" i="170"/>
  <c r="H80" i="170"/>
  <c r="O79" i="170"/>
  <c r="N79" i="170"/>
  <c r="H79" i="170"/>
  <c r="O78" i="170"/>
  <c r="N78" i="170"/>
  <c r="O77" i="170"/>
  <c r="N77" i="170"/>
  <c r="H77" i="170"/>
  <c r="O76" i="170"/>
  <c r="N76" i="170"/>
  <c r="H76" i="170"/>
  <c r="O75" i="170"/>
  <c r="N75" i="170"/>
  <c r="H75" i="170"/>
  <c r="O74" i="170"/>
  <c r="N74" i="170"/>
  <c r="H74" i="170"/>
  <c r="O73" i="170"/>
  <c r="N73" i="170"/>
  <c r="H73" i="170"/>
  <c r="O72" i="170"/>
  <c r="N72" i="170"/>
  <c r="H72" i="170"/>
  <c r="O71" i="170"/>
  <c r="N71" i="170"/>
  <c r="H71" i="170"/>
  <c r="O70" i="170"/>
  <c r="N70" i="170"/>
  <c r="H70" i="170"/>
  <c r="T69" i="170"/>
  <c r="T96" i="170" s="1"/>
  <c r="O69" i="170"/>
  <c r="N69" i="170"/>
  <c r="H69" i="170"/>
  <c r="O68" i="170"/>
  <c r="N68" i="170"/>
  <c r="H68" i="170"/>
  <c r="O67" i="170"/>
  <c r="N67" i="170"/>
  <c r="H67" i="170"/>
  <c r="O66" i="170"/>
  <c r="N66" i="170"/>
  <c r="H66" i="170"/>
  <c r="O65" i="170"/>
  <c r="N65" i="170"/>
  <c r="H65" i="170"/>
  <c r="O64" i="170"/>
  <c r="N64" i="170"/>
  <c r="H64" i="170"/>
  <c r="O63" i="170"/>
  <c r="N63" i="170"/>
  <c r="H63" i="170"/>
  <c r="O62" i="170"/>
  <c r="N62" i="170"/>
  <c r="H62" i="170"/>
  <c r="O61" i="170"/>
  <c r="N61" i="170"/>
  <c r="H61" i="170"/>
  <c r="O60" i="170"/>
  <c r="N60" i="170"/>
  <c r="H60" i="170"/>
  <c r="O59" i="170"/>
  <c r="N59" i="170"/>
  <c r="H59" i="170"/>
  <c r="O58" i="170"/>
  <c r="N58" i="170"/>
  <c r="H58" i="170"/>
  <c r="O57" i="170"/>
  <c r="N57" i="170"/>
  <c r="H57" i="170"/>
  <c r="O56" i="170"/>
  <c r="N56" i="170"/>
  <c r="H56" i="170"/>
  <c r="O55" i="170"/>
  <c r="N55" i="170"/>
  <c r="O54" i="170"/>
  <c r="N54" i="170"/>
  <c r="H54" i="170"/>
  <c r="O53" i="170"/>
  <c r="N53" i="170"/>
  <c r="H53" i="170"/>
  <c r="O52" i="170"/>
  <c r="N52" i="170"/>
  <c r="O51" i="170"/>
  <c r="N51" i="170"/>
  <c r="O50" i="170"/>
  <c r="N50" i="170"/>
  <c r="H50" i="170"/>
  <c r="O49" i="170"/>
  <c r="N49" i="170"/>
  <c r="H49" i="170"/>
  <c r="O48" i="170"/>
  <c r="N48" i="170"/>
  <c r="H48" i="170"/>
  <c r="O47" i="170"/>
  <c r="N47" i="170"/>
  <c r="H47" i="170"/>
  <c r="O46" i="170"/>
  <c r="N46" i="170"/>
  <c r="H46" i="170"/>
  <c r="O45" i="170"/>
  <c r="N45" i="170"/>
  <c r="H45" i="170"/>
  <c r="O44" i="170"/>
  <c r="N44" i="170"/>
  <c r="H44" i="170"/>
  <c r="O43" i="170"/>
  <c r="N43" i="170"/>
  <c r="H43" i="170"/>
  <c r="O42" i="170"/>
  <c r="N42" i="170"/>
  <c r="H42" i="170"/>
  <c r="O41" i="170"/>
  <c r="N41" i="170"/>
  <c r="H41" i="170"/>
  <c r="O40" i="170"/>
  <c r="N40" i="170"/>
  <c r="H40" i="170"/>
  <c r="O39" i="170"/>
  <c r="N39" i="170"/>
  <c r="H39" i="170"/>
  <c r="O38" i="170"/>
  <c r="N38" i="170"/>
  <c r="H38" i="170"/>
  <c r="O37" i="170"/>
  <c r="N37" i="170"/>
  <c r="H37" i="170"/>
  <c r="O36" i="170"/>
  <c r="N36" i="170"/>
  <c r="O35" i="170"/>
  <c r="N35" i="170"/>
  <c r="H35" i="170"/>
  <c r="N34" i="170"/>
  <c r="H34" i="170"/>
  <c r="O33" i="170"/>
  <c r="N33" i="170"/>
  <c r="H33" i="170"/>
  <c r="O32" i="170"/>
  <c r="N32" i="170"/>
  <c r="O31" i="170"/>
  <c r="N31" i="170"/>
  <c r="O30" i="170"/>
  <c r="N30" i="170"/>
  <c r="H30" i="170"/>
  <c r="O29" i="170"/>
  <c r="N29" i="170"/>
  <c r="H29" i="170"/>
  <c r="O28" i="170"/>
  <c r="N28" i="170"/>
  <c r="H28" i="170"/>
  <c r="O27" i="170"/>
  <c r="N27" i="170"/>
  <c r="H27" i="170"/>
  <c r="O26" i="170"/>
  <c r="N26" i="170"/>
  <c r="H26" i="170"/>
  <c r="O25" i="170"/>
  <c r="N25" i="170"/>
  <c r="H25" i="170"/>
  <c r="O24" i="170"/>
  <c r="N24" i="170"/>
  <c r="H24" i="170"/>
  <c r="O23" i="170"/>
  <c r="N23" i="170"/>
  <c r="H23" i="170"/>
  <c r="O22" i="170"/>
  <c r="N22" i="170"/>
  <c r="H22" i="170"/>
  <c r="O21" i="170"/>
  <c r="N21" i="170"/>
  <c r="H21" i="170"/>
  <c r="O20" i="170"/>
  <c r="N20" i="170"/>
  <c r="H20" i="170"/>
  <c r="O19" i="170"/>
  <c r="N19" i="170"/>
  <c r="H19" i="170"/>
  <c r="O18" i="170"/>
  <c r="N18" i="170"/>
  <c r="N17" i="170"/>
  <c r="O16" i="170"/>
  <c r="N16" i="170"/>
  <c r="O15" i="170"/>
  <c r="N15" i="170"/>
  <c r="H15" i="170"/>
  <c r="S14" i="170"/>
  <c r="O14" i="170"/>
  <c r="N14" i="170"/>
  <c r="O13" i="170"/>
  <c r="N13" i="170"/>
  <c r="H13" i="170"/>
  <c r="O12" i="170"/>
  <c r="N12" i="170"/>
  <c r="H12" i="170"/>
  <c r="O11" i="170"/>
  <c r="N11" i="170"/>
  <c r="H11" i="170"/>
  <c r="O10" i="170"/>
  <c r="N10" i="170"/>
  <c r="O9" i="170"/>
  <c r="N9" i="170"/>
  <c r="O8" i="170"/>
  <c r="N8" i="170"/>
  <c r="H8" i="170"/>
  <c r="O7" i="170"/>
  <c r="N7" i="170"/>
  <c r="H7" i="170"/>
  <c r="O6" i="170"/>
  <c r="N6" i="170"/>
  <c r="H6" i="170"/>
  <c r="O5" i="170"/>
  <c r="N5" i="170"/>
  <c r="H5" i="170"/>
  <c r="O4" i="170"/>
  <c r="N4" i="170"/>
  <c r="H4" i="170"/>
  <c r="O3" i="170"/>
  <c r="N3" i="170"/>
  <c r="H3" i="170"/>
  <c r="O2" i="170"/>
  <c r="O228" i="170" s="1"/>
  <c r="B229" i="170" s="1"/>
  <c r="B234" i="170" s="1"/>
  <c r="B240" i="170" s="1"/>
  <c r="B253" i="170" s="1"/>
  <c r="N2" i="170"/>
  <c r="N228" i="170" s="1"/>
  <c r="H2" i="170"/>
  <c r="H228" i="170" s="1"/>
  <c r="B269" i="169"/>
  <c r="B260" i="169"/>
  <c r="B259" i="169"/>
  <c r="B273" i="169" s="1"/>
  <c r="B252" i="169"/>
  <c r="B253" i="169" s="1"/>
  <c r="B250" i="169"/>
  <c r="B249" i="169"/>
  <c r="B248" i="169"/>
  <c r="B251" i="169" s="1"/>
  <c r="B244" i="169"/>
  <c r="B242" i="169"/>
  <c r="B245" i="169" s="1"/>
  <c r="B238" i="169"/>
  <c r="B237" i="169"/>
  <c r="B236" i="169"/>
  <c r="B240" i="169" s="1"/>
  <c r="B233" i="169"/>
  <c r="B231" i="169"/>
  <c r="P229" i="169"/>
  <c r="K229" i="169"/>
  <c r="I229" i="169"/>
  <c r="N228" i="169"/>
  <c r="N227" i="169"/>
  <c r="N226" i="169"/>
  <c r="N225" i="169"/>
  <c r="N224" i="169"/>
  <c r="N223" i="169"/>
  <c r="N222" i="169"/>
  <c r="N221" i="169"/>
  <c r="N220" i="169"/>
  <c r="O219" i="169"/>
  <c r="N219" i="169"/>
  <c r="H219" i="169"/>
  <c r="O218" i="169"/>
  <c r="N218" i="169"/>
  <c r="H218" i="169"/>
  <c r="O217" i="169"/>
  <c r="N217" i="169"/>
  <c r="H217" i="169"/>
  <c r="O216" i="169"/>
  <c r="N216" i="169"/>
  <c r="H216" i="169"/>
  <c r="O215" i="169"/>
  <c r="N215" i="169"/>
  <c r="H215" i="169"/>
  <c r="O214" i="169"/>
  <c r="N214" i="169"/>
  <c r="H214" i="169"/>
  <c r="O213" i="169"/>
  <c r="N213" i="169"/>
  <c r="H213" i="169"/>
  <c r="O212" i="169"/>
  <c r="N212" i="169"/>
  <c r="H212" i="169"/>
  <c r="O211" i="169"/>
  <c r="N211" i="169"/>
  <c r="H211" i="169"/>
  <c r="O210" i="169"/>
  <c r="N210" i="169"/>
  <c r="H210" i="169"/>
  <c r="O209" i="169"/>
  <c r="N209" i="169"/>
  <c r="H209" i="169"/>
  <c r="O208" i="169"/>
  <c r="N208" i="169"/>
  <c r="H208" i="169"/>
  <c r="O207" i="169"/>
  <c r="N207" i="169"/>
  <c r="H207" i="169"/>
  <c r="O206" i="169"/>
  <c r="N206" i="169"/>
  <c r="H206" i="169"/>
  <c r="O205" i="169"/>
  <c r="N205" i="169"/>
  <c r="H205" i="169"/>
  <c r="O204" i="169"/>
  <c r="N204" i="169"/>
  <c r="H204" i="169"/>
  <c r="O203" i="169"/>
  <c r="N203" i="169"/>
  <c r="H203" i="169"/>
  <c r="O202" i="169"/>
  <c r="N202" i="169"/>
  <c r="H202" i="169"/>
  <c r="O201" i="169"/>
  <c r="N201" i="169"/>
  <c r="H201" i="169"/>
  <c r="O200" i="169"/>
  <c r="N200" i="169"/>
  <c r="H200" i="169"/>
  <c r="O199" i="169"/>
  <c r="N199" i="169"/>
  <c r="H199" i="169"/>
  <c r="O198" i="169"/>
  <c r="N198" i="169"/>
  <c r="H198" i="169"/>
  <c r="O197" i="169"/>
  <c r="N197" i="169"/>
  <c r="H197" i="169"/>
  <c r="O196" i="169"/>
  <c r="N196" i="169"/>
  <c r="H196" i="169"/>
  <c r="O195" i="169"/>
  <c r="N195" i="169"/>
  <c r="H195" i="169"/>
  <c r="O194" i="169"/>
  <c r="N194" i="169"/>
  <c r="H194" i="169"/>
  <c r="O193" i="169"/>
  <c r="N193" i="169"/>
  <c r="H193" i="169"/>
  <c r="O192" i="169"/>
  <c r="N192" i="169"/>
  <c r="O191" i="169"/>
  <c r="N191" i="169"/>
  <c r="H191" i="169"/>
  <c r="O190" i="169"/>
  <c r="N190" i="169"/>
  <c r="H190" i="169"/>
  <c r="O189" i="169"/>
  <c r="N189" i="169"/>
  <c r="H189" i="169"/>
  <c r="O188" i="169"/>
  <c r="N188" i="169"/>
  <c r="H188" i="169"/>
  <c r="O187" i="169"/>
  <c r="N187" i="169"/>
  <c r="H187" i="169"/>
  <c r="O186" i="169"/>
  <c r="N186" i="169"/>
  <c r="H186" i="169"/>
  <c r="O185" i="169"/>
  <c r="N185" i="169"/>
  <c r="H185" i="169"/>
  <c r="O184" i="169"/>
  <c r="N184" i="169"/>
  <c r="O183" i="169"/>
  <c r="N183" i="169"/>
  <c r="O182" i="169"/>
  <c r="N182" i="169"/>
  <c r="O181" i="169"/>
  <c r="N181" i="169"/>
  <c r="H181" i="169"/>
  <c r="O180" i="169"/>
  <c r="N180" i="169"/>
  <c r="H180" i="169"/>
  <c r="O179" i="169"/>
  <c r="N179" i="169"/>
  <c r="H179" i="169"/>
  <c r="O178" i="169"/>
  <c r="N178" i="169"/>
  <c r="H178" i="169"/>
  <c r="O177" i="169"/>
  <c r="N177" i="169"/>
  <c r="H177" i="169"/>
  <c r="O176" i="169"/>
  <c r="N176" i="169"/>
  <c r="H176" i="169"/>
  <c r="O175" i="169"/>
  <c r="N175" i="169"/>
  <c r="H175" i="169"/>
  <c r="O174" i="169"/>
  <c r="N174" i="169"/>
  <c r="H174" i="169"/>
  <c r="O173" i="169"/>
  <c r="N173" i="169"/>
  <c r="H173" i="169"/>
  <c r="O172" i="169"/>
  <c r="N172" i="169"/>
  <c r="H172" i="169"/>
  <c r="O171" i="169"/>
  <c r="N171" i="169"/>
  <c r="H171" i="169"/>
  <c r="O170" i="169"/>
  <c r="N170" i="169"/>
  <c r="H170" i="169"/>
  <c r="O169" i="169"/>
  <c r="N169" i="169"/>
  <c r="H169" i="169"/>
  <c r="O168" i="169"/>
  <c r="N168" i="169"/>
  <c r="O167" i="169"/>
  <c r="N167" i="169"/>
  <c r="H167" i="169"/>
  <c r="O166" i="169"/>
  <c r="N166" i="169"/>
  <c r="H166" i="169"/>
  <c r="O165" i="169"/>
  <c r="N165" i="169"/>
  <c r="H165" i="169"/>
  <c r="O164" i="169"/>
  <c r="N164" i="169"/>
  <c r="H164" i="169"/>
  <c r="O163" i="169"/>
  <c r="N163" i="169"/>
  <c r="H163" i="169"/>
  <c r="O162" i="169"/>
  <c r="N162" i="169"/>
  <c r="H162" i="169"/>
  <c r="O161" i="169"/>
  <c r="N161" i="169"/>
  <c r="H161" i="169"/>
  <c r="N160" i="169"/>
  <c r="H160" i="169"/>
  <c r="O159" i="169"/>
  <c r="N159" i="169"/>
  <c r="N158" i="169"/>
  <c r="O157" i="169"/>
  <c r="N157" i="169"/>
  <c r="H157" i="169"/>
  <c r="O156" i="169"/>
  <c r="N156" i="169"/>
  <c r="H156" i="169"/>
  <c r="O155" i="169"/>
  <c r="N155" i="169"/>
  <c r="H155" i="169"/>
  <c r="O154" i="169"/>
  <c r="N154" i="169"/>
  <c r="H154" i="169"/>
  <c r="O153" i="169"/>
  <c r="N153" i="169"/>
  <c r="H153" i="169"/>
  <c r="O152" i="169"/>
  <c r="N152" i="169"/>
  <c r="H152" i="169"/>
  <c r="O151" i="169"/>
  <c r="N151" i="169"/>
  <c r="H151" i="169"/>
  <c r="O150" i="169"/>
  <c r="N150" i="169"/>
  <c r="H150" i="169"/>
  <c r="O149" i="169"/>
  <c r="N149" i="169"/>
  <c r="H149" i="169"/>
  <c r="O148" i="169"/>
  <c r="N148" i="169"/>
  <c r="H148" i="169"/>
  <c r="O147" i="169"/>
  <c r="N147" i="169"/>
  <c r="H147" i="169"/>
  <c r="O146" i="169"/>
  <c r="N146" i="169"/>
  <c r="H146" i="169"/>
  <c r="O145" i="169"/>
  <c r="N145" i="169"/>
  <c r="H145" i="169"/>
  <c r="O144" i="169"/>
  <c r="N144" i="169"/>
  <c r="H144" i="169"/>
  <c r="O143" i="169"/>
  <c r="N143" i="169"/>
  <c r="H143" i="169"/>
  <c r="O142" i="169"/>
  <c r="N142" i="169"/>
  <c r="H142" i="169"/>
  <c r="O141" i="169"/>
  <c r="N141" i="169"/>
  <c r="H141" i="169"/>
  <c r="O140" i="169"/>
  <c r="N140" i="169"/>
  <c r="H140" i="169"/>
  <c r="O139" i="169"/>
  <c r="N139" i="169"/>
  <c r="H139" i="169"/>
  <c r="O138" i="169"/>
  <c r="N138" i="169"/>
  <c r="H138" i="169"/>
  <c r="O137" i="169"/>
  <c r="N137" i="169"/>
  <c r="H137" i="169"/>
  <c r="O136" i="169"/>
  <c r="N136" i="169"/>
  <c r="H136" i="169"/>
  <c r="O135" i="169"/>
  <c r="N135" i="169"/>
  <c r="H135" i="169"/>
  <c r="O134" i="169"/>
  <c r="N134" i="169"/>
  <c r="H134" i="169"/>
  <c r="O133" i="169"/>
  <c r="N133" i="169"/>
  <c r="H133" i="169"/>
  <c r="O132" i="169"/>
  <c r="N132" i="169"/>
  <c r="H132" i="169"/>
  <c r="O131" i="169"/>
  <c r="N131" i="169"/>
  <c r="H131" i="169"/>
  <c r="O130" i="169"/>
  <c r="N130" i="169"/>
  <c r="H130" i="169"/>
  <c r="O129" i="169"/>
  <c r="N129" i="169"/>
  <c r="H129" i="169"/>
  <c r="O128" i="169"/>
  <c r="N128" i="169"/>
  <c r="H128" i="169"/>
  <c r="O127" i="169"/>
  <c r="N127" i="169"/>
  <c r="H127" i="169"/>
  <c r="O126" i="169"/>
  <c r="N126" i="169"/>
  <c r="H126" i="169"/>
  <c r="O125" i="169"/>
  <c r="N125" i="169"/>
  <c r="H125" i="169"/>
  <c r="O124" i="169"/>
  <c r="N124" i="169"/>
  <c r="H124" i="169"/>
  <c r="O123" i="169"/>
  <c r="N123" i="169"/>
  <c r="H123" i="169"/>
  <c r="O122" i="169"/>
  <c r="N122" i="169"/>
  <c r="H122" i="169"/>
  <c r="O121" i="169"/>
  <c r="N121" i="169"/>
  <c r="H121" i="169"/>
  <c r="O120" i="169"/>
  <c r="N120" i="169"/>
  <c r="H120" i="169"/>
  <c r="O119" i="169"/>
  <c r="N119" i="169"/>
  <c r="H119" i="169"/>
  <c r="O118" i="169"/>
  <c r="N118" i="169"/>
  <c r="H118" i="169"/>
  <c r="O117" i="169"/>
  <c r="N117" i="169"/>
  <c r="H117" i="169"/>
  <c r="O116" i="169"/>
  <c r="N116" i="169"/>
  <c r="H116" i="169"/>
  <c r="O115" i="169"/>
  <c r="N115" i="169"/>
  <c r="H115" i="169"/>
  <c r="O114" i="169"/>
  <c r="N114" i="169"/>
  <c r="H114" i="169"/>
  <c r="O113" i="169"/>
  <c r="N113" i="169"/>
  <c r="H113" i="169"/>
  <c r="O112" i="169"/>
  <c r="N112" i="169"/>
  <c r="H112" i="169"/>
  <c r="O111" i="169"/>
  <c r="N111" i="169"/>
  <c r="H111" i="169"/>
  <c r="O110" i="169"/>
  <c r="N110" i="169"/>
  <c r="H110" i="169"/>
  <c r="O109" i="169"/>
  <c r="N109" i="169"/>
  <c r="H109" i="169"/>
  <c r="O108" i="169"/>
  <c r="N108" i="169"/>
  <c r="H108" i="169"/>
  <c r="O107" i="169"/>
  <c r="N107" i="169"/>
  <c r="H107" i="169"/>
  <c r="O106" i="169"/>
  <c r="N106" i="169"/>
  <c r="H106" i="169"/>
  <c r="O105" i="169"/>
  <c r="N105" i="169"/>
  <c r="H105" i="169"/>
  <c r="O104" i="169"/>
  <c r="N104" i="169"/>
  <c r="H104" i="169"/>
  <c r="O103" i="169"/>
  <c r="N103" i="169"/>
  <c r="H103" i="169"/>
  <c r="O102" i="169"/>
  <c r="N102" i="169"/>
  <c r="H102" i="169"/>
  <c r="O101" i="169"/>
  <c r="N101" i="169"/>
  <c r="H101" i="169"/>
  <c r="O100" i="169"/>
  <c r="N100" i="169"/>
  <c r="H100" i="169"/>
  <c r="O99" i="169"/>
  <c r="N99" i="169"/>
  <c r="H99" i="169"/>
  <c r="O98" i="169"/>
  <c r="N98" i="169"/>
  <c r="H98" i="169"/>
  <c r="O97" i="169"/>
  <c r="N97" i="169"/>
  <c r="H97" i="169"/>
  <c r="O96" i="169"/>
  <c r="N96" i="169"/>
  <c r="H96" i="169"/>
  <c r="O95" i="169"/>
  <c r="N95" i="169"/>
  <c r="H95" i="169"/>
  <c r="O94" i="169"/>
  <c r="N94" i="169"/>
  <c r="H94" i="169"/>
  <c r="O93" i="169"/>
  <c r="N93" i="169"/>
  <c r="H93" i="169"/>
  <c r="N92" i="169"/>
  <c r="H92" i="169"/>
  <c r="N91" i="169"/>
  <c r="H91" i="169"/>
  <c r="N90" i="169"/>
  <c r="H90" i="169"/>
  <c r="O89" i="169"/>
  <c r="N89" i="169"/>
  <c r="H89" i="169"/>
  <c r="O88" i="169"/>
  <c r="N88" i="169"/>
  <c r="H88" i="169"/>
  <c r="O87" i="169"/>
  <c r="N87" i="169"/>
  <c r="H87" i="169"/>
  <c r="O86" i="169"/>
  <c r="N86" i="169"/>
  <c r="H86" i="169"/>
  <c r="O85" i="169"/>
  <c r="N85" i="169"/>
  <c r="H85" i="169"/>
  <c r="O84" i="169"/>
  <c r="N84" i="169"/>
  <c r="H84" i="169"/>
  <c r="O83" i="169"/>
  <c r="N83" i="169"/>
  <c r="H83" i="169"/>
  <c r="O82" i="169"/>
  <c r="N82" i="169"/>
  <c r="O81" i="169"/>
  <c r="N81" i="169"/>
  <c r="O80" i="169"/>
  <c r="N80" i="169"/>
  <c r="H80" i="169"/>
  <c r="O79" i="169"/>
  <c r="N79" i="169"/>
  <c r="H79" i="169"/>
  <c r="O78" i="169"/>
  <c r="N78" i="169"/>
  <c r="O77" i="169"/>
  <c r="N77" i="169"/>
  <c r="H77" i="169"/>
  <c r="O76" i="169"/>
  <c r="N76" i="169"/>
  <c r="H76" i="169"/>
  <c r="O75" i="169"/>
  <c r="N75" i="169"/>
  <c r="H75" i="169"/>
  <c r="O74" i="169"/>
  <c r="N74" i="169"/>
  <c r="H74" i="169"/>
  <c r="O73" i="169"/>
  <c r="N73" i="169"/>
  <c r="H73" i="169"/>
  <c r="O72" i="169"/>
  <c r="N72" i="169"/>
  <c r="H72" i="169"/>
  <c r="O71" i="169"/>
  <c r="N71" i="169"/>
  <c r="H71" i="169"/>
  <c r="O70" i="169"/>
  <c r="N70" i="169"/>
  <c r="H70" i="169"/>
  <c r="T69" i="169"/>
  <c r="T96" i="169" s="1"/>
  <c r="O69" i="169"/>
  <c r="N69" i="169"/>
  <c r="H69" i="169"/>
  <c r="O68" i="169"/>
  <c r="N68" i="169"/>
  <c r="H68" i="169"/>
  <c r="O67" i="169"/>
  <c r="N67" i="169"/>
  <c r="H67" i="169"/>
  <c r="O66" i="169"/>
  <c r="N66" i="169"/>
  <c r="H66" i="169"/>
  <c r="O65" i="169"/>
  <c r="N65" i="169"/>
  <c r="H65" i="169"/>
  <c r="O64" i="169"/>
  <c r="N64" i="169"/>
  <c r="H64" i="169"/>
  <c r="O63" i="169"/>
  <c r="N63" i="169"/>
  <c r="H63" i="169"/>
  <c r="O62" i="169"/>
  <c r="N62" i="169"/>
  <c r="H62" i="169"/>
  <c r="O61" i="169"/>
  <c r="N61" i="169"/>
  <c r="H61" i="169"/>
  <c r="O60" i="169"/>
  <c r="N60" i="169"/>
  <c r="H60" i="169"/>
  <c r="O59" i="169"/>
  <c r="N59" i="169"/>
  <c r="H59" i="169"/>
  <c r="O58" i="169"/>
  <c r="N58" i="169"/>
  <c r="H58" i="169"/>
  <c r="O57" i="169"/>
  <c r="N57" i="169"/>
  <c r="H57" i="169"/>
  <c r="O56" i="169"/>
  <c r="N56" i="169"/>
  <c r="H56" i="169"/>
  <c r="O55" i="169"/>
  <c r="N55" i="169"/>
  <c r="O54" i="169"/>
  <c r="N54" i="169"/>
  <c r="H54" i="169"/>
  <c r="O53" i="169"/>
  <c r="N53" i="169"/>
  <c r="H53" i="169"/>
  <c r="O52" i="169"/>
  <c r="N52" i="169"/>
  <c r="O51" i="169"/>
  <c r="N51" i="169"/>
  <c r="O50" i="169"/>
  <c r="N50" i="169"/>
  <c r="H50" i="169"/>
  <c r="O49" i="169"/>
  <c r="N49" i="169"/>
  <c r="H49" i="169"/>
  <c r="O48" i="169"/>
  <c r="N48" i="169"/>
  <c r="H48" i="169"/>
  <c r="O47" i="169"/>
  <c r="N47" i="169"/>
  <c r="H47" i="169"/>
  <c r="O46" i="169"/>
  <c r="N46" i="169"/>
  <c r="H46" i="169"/>
  <c r="O45" i="169"/>
  <c r="N45" i="169"/>
  <c r="H45" i="169"/>
  <c r="O44" i="169"/>
  <c r="N44" i="169"/>
  <c r="H44" i="169"/>
  <c r="O43" i="169"/>
  <c r="N43" i="169"/>
  <c r="H43" i="169"/>
  <c r="O42" i="169"/>
  <c r="N42" i="169"/>
  <c r="H42" i="169"/>
  <c r="O41" i="169"/>
  <c r="N41" i="169"/>
  <c r="H41" i="169"/>
  <c r="O40" i="169"/>
  <c r="N40" i="169"/>
  <c r="H40" i="169"/>
  <c r="O39" i="169"/>
  <c r="N39" i="169"/>
  <c r="H39" i="169"/>
  <c r="O38" i="169"/>
  <c r="N38" i="169"/>
  <c r="H38" i="169"/>
  <c r="O37" i="169"/>
  <c r="N37" i="169"/>
  <c r="H37" i="169"/>
  <c r="O36" i="169"/>
  <c r="N36" i="169"/>
  <c r="O35" i="169"/>
  <c r="N35" i="169"/>
  <c r="H35" i="169"/>
  <c r="N34" i="169"/>
  <c r="H34" i="169"/>
  <c r="O33" i="169"/>
  <c r="N33" i="169"/>
  <c r="H33" i="169"/>
  <c r="O32" i="169"/>
  <c r="N32" i="169"/>
  <c r="O31" i="169"/>
  <c r="N31" i="169"/>
  <c r="O30" i="169"/>
  <c r="N30" i="169"/>
  <c r="H30" i="169"/>
  <c r="O29" i="169"/>
  <c r="N29" i="169"/>
  <c r="H29" i="169"/>
  <c r="O28" i="169"/>
  <c r="N28" i="169"/>
  <c r="H28" i="169"/>
  <c r="O27" i="169"/>
  <c r="N27" i="169"/>
  <c r="H27" i="169"/>
  <c r="O26" i="169"/>
  <c r="N26" i="169"/>
  <c r="H26" i="169"/>
  <c r="O25" i="169"/>
  <c r="N25" i="169"/>
  <c r="H25" i="169"/>
  <c r="O24" i="169"/>
  <c r="N24" i="169"/>
  <c r="H24" i="169"/>
  <c r="O23" i="169"/>
  <c r="N23" i="169"/>
  <c r="H23" i="169"/>
  <c r="O22" i="169"/>
  <c r="N22" i="169"/>
  <c r="H22" i="169"/>
  <c r="O21" i="169"/>
  <c r="N21" i="169"/>
  <c r="H21" i="169"/>
  <c r="O20" i="169"/>
  <c r="N20" i="169"/>
  <c r="H20" i="169"/>
  <c r="O19" i="169"/>
  <c r="N19" i="169"/>
  <c r="H19" i="169"/>
  <c r="O18" i="169"/>
  <c r="N18" i="169"/>
  <c r="N17" i="169"/>
  <c r="O16" i="169"/>
  <c r="N16" i="169"/>
  <c r="O15" i="169"/>
  <c r="N15" i="169"/>
  <c r="H15" i="169"/>
  <c r="S14" i="169"/>
  <c r="O14" i="169"/>
  <c r="N14" i="169"/>
  <c r="O13" i="169"/>
  <c r="N13" i="169"/>
  <c r="H13" i="169"/>
  <c r="O12" i="169"/>
  <c r="N12" i="169"/>
  <c r="H12" i="169"/>
  <c r="O11" i="169"/>
  <c r="N11" i="169"/>
  <c r="H11" i="169"/>
  <c r="O10" i="169"/>
  <c r="N10" i="169"/>
  <c r="O9" i="169"/>
  <c r="N9" i="169"/>
  <c r="O8" i="169"/>
  <c r="N8" i="169"/>
  <c r="H8" i="169"/>
  <c r="O7" i="169"/>
  <c r="N7" i="169"/>
  <c r="H7" i="169"/>
  <c r="O6" i="169"/>
  <c r="N6" i="169"/>
  <c r="H6" i="169"/>
  <c r="O5" i="169"/>
  <c r="N5" i="169"/>
  <c r="H5" i="169"/>
  <c r="O4" i="169"/>
  <c r="N4" i="169"/>
  <c r="H4" i="169"/>
  <c r="O3" i="169"/>
  <c r="N3" i="169"/>
  <c r="H3" i="169"/>
  <c r="O2" i="169"/>
  <c r="O229" i="169" s="1"/>
  <c r="B230" i="169" s="1"/>
  <c r="B235" i="169" s="1"/>
  <c r="B241" i="169" s="1"/>
  <c r="B254" i="169" s="1"/>
  <c r="N2" i="169"/>
  <c r="N229" i="169" s="1"/>
  <c r="H2" i="169"/>
  <c r="H229" i="169" s="1"/>
  <c r="O28" i="168"/>
  <c r="O29" i="168"/>
  <c r="O30" i="168"/>
  <c r="O31" i="168"/>
  <c r="B269" i="168"/>
  <c r="B260" i="168"/>
  <c r="B259" i="168"/>
  <c r="B273" i="168" s="1"/>
  <c r="B252" i="168"/>
  <c r="B253" i="168" s="1"/>
  <c r="B250" i="168"/>
  <c r="B249" i="168"/>
  <c r="B248" i="168"/>
  <c r="B251" i="168" s="1"/>
  <c r="B244" i="168"/>
  <c r="B242" i="168"/>
  <c r="B245" i="168" s="1"/>
  <c r="B238" i="168"/>
  <c r="B237" i="168"/>
  <c r="B236" i="168"/>
  <c r="B240" i="168" s="1"/>
  <c r="B233" i="168"/>
  <c r="B231" i="168"/>
  <c r="P229" i="168"/>
  <c r="K229" i="168"/>
  <c r="I229" i="168"/>
  <c r="N228" i="168"/>
  <c r="N227" i="168"/>
  <c r="N226" i="168"/>
  <c r="N225" i="168"/>
  <c r="N224" i="168"/>
  <c r="N223" i="168"/>
  <c r="N222" i="168"/>
  <c r="N221" i="168"/>
  <c r="N220" i="168"/>
  <c r="O219" i="168"/>
  <c r="N219" i="168"/>
  <c r="H219" i="168"/>
  <c r="O218" i="168"/>
  <c r="N218" i="168"/>
  <c r="H218" i="168"/>
  <c r="O217" i="168"/>
  <c r="N217" i="168"/>
  <c r="H217" i="168"/>
  <c r="O216" i="168"/>
  <c r="N216" i="168"/>
  <c r="H216" i="168"/>
  <c r="O215" i="168"/>
  <c r="N215" i="168"/>
  <c r="H215" i="168"/>
  <c r="O214" i="168"/>
  <c r="N214" i="168"/>
  <c r="H214" i="168"/>
  <c r="O213" i="168"/>
  <c r="N213" i="168"/>
  <c r="H213" i="168"/>
  <c r="O212" i="168"/>
  <c r="N212" i="168"/>
  <c r="H212" i="168"/>
  <c r="O211" i="168"/>
  <c r="N211" i="168"/>
  <c r="H211" i="168"/>
  <c r="O210" i="168"/>
  <c r="N210" i="168"/>
  <c r="H210" i="168"/>
  <c r="O209" i="168"/>
  <c r="N209" i="168"/>
  <c r="H209" i="168"/>
  <c r="O208" i="168"/>
  <c r="N208" i="168"/>
  <c r="H208" i="168"/>
  <c r="O207" i="168"/>
  <c r="N207" i="168"/>
  <c r="H207" i="168"/>
  <c r="O206" i="168"/>
  <c r="N206" i="168"/>
  <c r="H206" i="168"/>
  <c r="O205" i="168"/>
  <c r="N205" i="168"/>
  <c r="H205" i="168"/>
  <c r="O204" i="168"/>
  <c r="N204" i="168"/>
  <c r="H204" i="168"/>
  <c r="O203" i="168"/>
  <c r="N203" i="168"/>
  <c r="H203" i="168"/>
  <c r="O202" i="168"/>
  <c r="N202" i="168"/>
  <c r="H202" i="168"/>
  <c r="O201" i="168"/>
  <c r="N201" i="168"/>
  <c r="H201" i="168"/>
  <c r="O200" i="168"/>
  <c r="N200" i="168"/>
  <c r="H200" i="168"/>
  <c r="O199" i="168"/>
  <c r="N199" i="168"/>
  <c r="H199" i="168"/>
  <c r="O198" i="168"/>
  <c r="N198" i="168"/>
  <c r="H198" i="168"/>
  <c r="O197" i="168"/>
  <c r="N197" i="168"/>
  <c r="H197" i="168"/>
  <c r="O196" i="168"/>
  <c r="N196" i="168"/>
  <c r="H196" i="168"/>
  <c r="O195" i="168"/>
  <c r="N195" i="168"/>
  <c r="H195" i="168"/>
  <c r="O194" i="168"/>
  <c r="N194" i="168"/>
  <c r="H194" i="168"/>
  <c r="O193" i="168"/>
  <c r="N193" i="168"/>
  <c r="H193" i="168"/>
  <c r="O192" i="168"/>
  <c r="N192" i="168"/>
  <c r="O191" i="168"/>
  <c r="N191" i="168"/>
  <c r="H191" i="168"/>
  <c r="O190" i="168"/>
  <c r="N190" i="168"/>
  <c r="H190" i="168"/>
  <c r="O189" i="168"/>
  <c r="N189" i="168"/>
  <c r="H189" i="168"/>
  <c r="O188" i="168"/>
  <c r="N188" i="168"/>
  <c r="H188" i="168"/>
  <c r="O187" i="168"/>
  <c r="N187" i="168"/>
  <c r="H187" i="168"/>
  <c r="O186" i="168"/>
  <c r="N186" i="168"/>
  <c r="H186" i="168"/>
  <c r="O185" i="168"/>
  <c r="N185" i="168"/>
  <c r="H185" i="168"/>
  <c r="O184" i="168"/>
  <c r="N184" i="168"/>
  <c r="O183" i="168"/>
  <c r="N183" i="168"/>
  <c r="O182" i="168"/>
  <c r="N182" i="168"/>
  <c r="O181" i="168"/>
  <c r="N181" i="168"/>
  <c r="H181" i="168"/>
  <c r="O180" i="168"/>
  <c r="N180" i="168"/>
  <c r="H180" i="168"/>
  <c r="O179" i="168"/>
  <c r="N179" i="168"/>
  <c r="H179" i="168"/>
  <c r="O178" i="168"/>
  <c r="N178" i="168"/>
  <c r="H178" i="168"/>
  <c r="O177" i="168"/>
  <c r="N177" i="168"/>
  <c r="H177" i="168"/>
  <c r="O176" i="168"/>
  <c r="N176" i="168"/>
  <c r="H176" i="168"/>
  <c r="O175" i="168"/>
  <c r="N175" i="168"/>
  <c r="H175" i="168"/>
  <c r="O174" i="168"/>
  <c r="N174" i="168"/>
  <c r="H174" i="168"/>
  <c r="O173" i="168"/>
  <c r="N173" i="168"/>
  <c r="H173" i="168"/>
  <c r="O172" i="168"/>
  <c r="N172" i="168"/>
  <c r="H172" i="168"/>
  <c r="O171" i="168"/>
  <c r="N171" i="168"/>
  <c r="H171" i="168"/>
  <c r="O170" i="168"/>
  <c r="N170" i="168"/>
  <c r="H170" i="168"/>
  <c r="O169" i="168"/>
  <c r="N169" i="168"/>
  <c r="H169" i="168"/>
  <c r="O168" i="168"/>
  <c r="N168" i="168"/>
  <c r="O167" i="168"/>
  <c r="N167" i="168"/>
  <c r="H167" i="168"/>
  <c r="O166" i="168"/>
  <c r="N166" i="168"/>
  <c r="H166" i="168"/>
  <c r="O165" i="168"/>
  <c r="N165" i="168"/>
  <c r="H165" i="168"/>
  <c r="O164" i="168"/>
  <c r="N164" i="168"/>
  <c r="H164" i="168"/>
  <c r="O163" i="168"/>
  <c r="N163" i="168"/>
  <c r="H163" i="168"/>
  <c r="O162" i="168"/>
  <c r="N162" i="168"/>
  <c r="H162" i="168"/>
  <c r="O161" i="168"/>
  <c r="N161" i="168"/>
  <c r="H161" i="168"/>
  <c r="N160" i="168"/>
  <c r="H160" i="168"/>
  <c r="O159" i="168"/>
  <c r="N159" i="168"/>
  <c r="N158" i="168"/>
  <c r="O157" i="168"/>
  <c r="N157" i="168"/>
  <c r="H157" i="168"/>
  <c r="O156" i="168"/>
  <c r="N156" i="168"/>
  <c r="H156" i="168"/>
  <c r="O155" i="168"/>
  <c r="N155" i="168"/>
  <c r="H155" i="168"/>
  <c r="O154" i="168"/>
  <c r="N154" i="168"/>
  <c r="H154" i="168"/>
  <c r="O153" i="168"/>
  <c r="N153" i="168"/>
  <c r="H153" i="168"/>
  <c r="O152" i="168"/>
  <c r="N152" i="168"/>
  <c r="H152" i="168"/>
  <c r="O151" i="168"/>
  <c r="N151" i="168"/>
  <c r="H151" i="168"/>
  <c r="O150" i="168"/>
  <c r="N150" i="168"/>
  <c r="H150" i="168"/>
  <c r="O149" i="168"/>
  <c r="N149" i="168"/>
  <c r="H149" i="168"/>
  <c r="O148" i="168"/>
  <c r="N148" i="168"/>
  <c r="H148" i="168"/>
  <c r="O147" i="168"/>
  <c r="N147" i="168"/>
  <c r="H147" i="168"/>
  <c r="O146" i="168"/>
  <c r="N146" i="168"/>
  <c r="H146" i="168"/>
  <c r="O145" i="168"/>
  <c r="N145" i="168"/>
  <c r="H145" i="168"/>
  <c r="O144" i="168"/>
  <c r="N144" i="168"/>
  <c r="H144" i="168"/>
  <c r="O143" i="168"/>
  <c r="N143" i="168"/>
  <c r="H143" i="168"/>
  <c r="O142" i="168"/>
  <c r="N142" i="168"/>
  <c r="H142" i="168"/>
  <c r="O141" i="168"/>
  <c r="N141" i="168"/>
  <c r="H141" i="168"/>
  <c r="O140" i="168"/>
  <c r="N140" i="168"/>
  <c r="H140" i="168"/>
  <c r="O139" i="168"/>
  <c r="N139" i="168"/>
  <c r="H139" i="168"/>
  <c r="O138" i="168"/>
  <c r="N138" i="168"/>
  <c r="H138" i="168"/>
  <c r="O137" i="168"/>
  <c r="N137" i="168"/>
  <c r="H137" i="168"/>
  <c r="O136" i="168"/>
  <c r="N136" i="168"/>
  <c r="H136" i="168"/>
  <c r="O135" i="168"/>
  <c r="N135" i="168"/>
  <c r="H135" i="168"/>
  <c r="O134" i="168"/>
  <c r="N134" i="168"/>
  <c r="H134" i="168"/>
  <c r="O133" i="168"/>
  <c r="N133" i="168"/>
  <c r="H133" i="168"/>
  <c r="O132" i="168"/>
  <c r="N132" i="168"/>
  <c r="H132" i="168"/>
  <c r="O131" i="168"/>
  <c r="N131" i="168"/>
  <c r="H131" i="168"/>
  <c r="O130" i="168"/>
  <c r="N130" i="168"/>
  <c r="H130" i="168"/>
  <c r="O129" i="168"/>
  <c r="N129" i="168"/>
  <c r="H129" i="168"/>
  <c r="O128" i="168"/>
  <c r="N128" i="168"/>
  <c r="H128" i="168"/>
  <c r="O127" i="168"/>
  <c r="N127" i="168"/>
  <c r="H127" i="168"/>
  <c r="O126" i="168"/>
  <c r="N126" i="168"/>
  <c r="H126" i="168"/>
  <c r="O125" i="168"/>
  <c r="N125" i="168"/>
  <c r="H125" i="168"/>
  <c r="O124" i="168"/>
  <c r="N124" i="168"/>
  <c r="H124" i="168"/>
  <c r="O123" i="168"/>
  <c r="N123" i="168"/>
  <c r="H123" i="168"/>
  <c r="O122" i="168"/>
  <c r="N122" i="168"/>
  <c r="H122" i="168"/>
  <c r="O121" i="168"/>
  <c r="N121" i="168"/>
  <c r="H121" i="168"/>
  <c r="O120" i="168"/>
  <c r="N120" i="168"/>
  <c r="H120" i="168"/>
  <c r="O119" i="168"/>
  <c r="N119" i="168"/>
  <c r="H119" i="168"/>
  <c r="O118" i="168"/>
  <c r="N118" i="168"/>
  <c r="H118" i="168"/>
  <c r="O117" i="168"/>
  <c r="N117" i="168"/>
  <c r="H117" i="168"/>
  <c r="O116" i="168"/>
  <c r="N116" i="168"/>
  <c r="H116" i="168"/>
  <c r="O115" i="168"/>
  <c r="N115" i="168"/>
  <c r="H115" i="168"/>
  <c r="O114" i="168"/>
  <c r="N114" i="168"/>
  <c r="H114" i="168"/>
  <c r="O113" i="168"/>
  <c r="N113" i="168"/>
  <c r="H113" i="168"/>
  <c r="O112" i="168"/>
  <c r="N112" i="168"/>
  <c r="H112" i="168"/>
  <c r="O111" i="168"/>
  <c r="N111" i="168"/>
  <c r="H111" i="168"/>
  <c r="O110" i="168"/>
  <c r="N110" i="168"/>
  <c r="H110" i="168"/>
  <c r="O109" i="168"/>
  <c r="N109" i="168"/>
  <c r="H109" i="168"/>
  <c r="O108" i="168"/>
  <c r="N108" i="168"/>
  <c r="H108" i="168"/>
  <c r="O107" i="168"/>
  <c r="N107" i="168"/>
  <c r="H107" i="168"/>
  <c r="O106" i="168"/>
  <c r="N106" i="168"/>
  <c r="H106" i="168"/>
  <c r="O105" i="168"/>
  <c r="N105" i="168"/>
  <c r="H105" i="168"/>
  <c r="O104" i="168"/>
  <c r="N104" i="168"/>
  <c r="H104" i="168"/>
  <c r="O103" i="168"/>
  <c r="N103" i="168"/>
  <c r="H103" i="168"/>
  <c r="O102" i="168"/>
  <c r="N102" i="168"/>
  <c r="H102" i="168"/>
  <c r="O101" i="168"/>
  <c r="N101" i="168"/>
  <c r="H101" i="168"/>
  <c r="O100" i="168"/>
  <c r="N100" i="168"/>
  <c r="H100" i="168"/>
  <c r="O99" i="168"/>
  <c r="N99" i="168"/>
  <c r="H99" i="168"/>
  <c r="O98" i="168"/>
  <c r="N98" i="168"/>
  <c r="H98" i="168"/>
  <c r="O97" i="168"/>
  <c r="N97" i="168"/>
  <c r="H97" i="168"/>
  <c r="O96" i="168"/>
  <c r="N96" i="168"/>
  <c r="H96" i="168"/>
  <c r="O95" i="168"/>
  <c r="N95" i="168"/>
  <c r="H95" i="168"/>
  <c r="O94" i="168"/>
  <c r="N94" i="168"/>
  <c r="H94" i="168"/>
  <c r="O93" i="168"/>
  <c r="N93" i="168"/>
  <c r="H93" i="168"/>
  <c r="N92" i="168"/>
  <c r="H92" i="168"/>
  <c r="N91" i="168"/>
  <c r="H91" i="168"/>
  <c r="N90" i="168"/>
  <c r="H90" i="168"/>
  <c r="O89" i="168"/>
  <c r="N89" i="168"/>
  <c r="H89" i="168"/>
  <c r="O88" i="168"/>
  <c r="N88" i="168"/>
  <c r="H88" i="168"/>
  <c r="O87" i="168"/>
  <c r="N87" i="168"/>
  <c r="H87" i="168"/>
  <c r="O86" i="168"/>
  <c r="N86" i="168"/>
  <c r="H86" i="168"/>
  <c r="O85" i="168"/>
  <c r="N85" i="168"/>
  <c r="H85" i="168"/>
  <c r="O84" i="168"/>
  <c r="N84" i="168"/>
  <c r="H84" i="168"/>
  <c r="O83" i="168"/>
  <c r="N83" i="168"/>
  <c r="H83" i="168"/>
  <c r="O82" i="168"/>
  <c r="N82" i="168"/>
  <c r="O81" i="168"/>
  <c r="N81" i="168"/>
  <c r="O80" i="168"/>
  <c r="N80" i="168"/>
  <c r="H80" i="168"/>
  <c r="O79" i="168"/>
  <c r="N79" i="168"/>
  <c r="H79" i="168"/>
  <c r="O78" i="168"/>
  <c r="N78" i="168"/>
  <c r="O77" i="168"/>
  <c r="N77" i="168"/>
  <c r="H77" i="168"/>
  <c r="O76" i="168"/>
  <c r="N76" i="168"/>
  <c r="H76" i="168"/>
  <c r="O75" i="168"/>
  <c r="N75" i="168"/>
  <c r="H75" i="168"/>
  <c r="O74" i="168"/>
  <c r="N74" i="168"/>
  <c r="H74" i="168"/>
  <c r="O73" i="168"/>
  <c r="N73" i="168"/>
  <c r="H73" i="168"/>
  <c r="O72" i="168"/>
  <c r="N72" i="168"/>
  <c r="H72" i="168"/>
  <c r="O71" i="168"/>
  <c r="N71" i="168"/>
  <c r="H71" i="168"/>
  <c r="O70" i="168"/>
  <c r="N70" i="168"/>
  <c r="H70" i="168"/>
  <c r="T69" i="168"/>
  <c r="T96" i="168" s="1"/>
  <c r="O69" i="168"/>
  <c r="N69" i="168"/>
  <c r="H69" i="168"/>
  <c r="O68" i="168"/>
  <c r="N68" i="168"/>
  <c r="H68" i="168"/>
  <c r="O67" i="168"/>
  <c r="N67" i="168"/>
  <c r="H67" i="168"/>
  <c r="O66" i="168"/>
  <c r="N66" i="168"/>
  <c r="H66" i="168"/>
  <c r="O65" i="168"/>
  <c r="N65" i="168"/>
  <c r="H65" i="168"/>
  <c r="O64" i="168"/>
  <c r="N64" i="168"/>
  <c r="H64" i="168"/>
  <c r="O63" i="168"/>
  <c r="N63" i="168"/>
  <c r="H63" i="168"/>
  <c r="O62" i="168"/>
  <c r="N62" i="168"/>
  <c r="H62" i="168"/>
  <c r="O61" i="168"/>
  <c r="N61" i="168"/>
  <c r="H61" i="168"/>
  <c r="O60" i="168"/>
  <c r="N60" i="168"/>
  <c r="H60" i="168"/>
  <c r="O59" i="168"/>
  <c r="N59" i="168"/>
  <c r="H59" i="168"/>
  <c r="O58" i="168"/>
  <c r="N58" i="168"/>
  <c r="H58" i="168"/>
  <c r="O57" i="168"/>
  <c r="N57" i="168"/>
  <c r="H57" i="168"/>
  <c r="O56" i="168"/>
  <c r="N56" i="168"/>
  <c r="H56" i="168"/>
  <c r="O55" i="168"/>
  <c r="N55" i="168"/>
  <c r="O54" i="168"/>
  <c r="N54" i="168"/>
  <c r="H54" i="168"/>
  <c r="O53" i="168"/>
  <c r="N53" i="168"/>
  <c r="H53" i="168"/>
  <c r="O52" i="168"/>
  <c r="N52" i="168"/>
  <c r="O51" i="168"/>
  <c r="N51" i="168"/>
  <c r="O50" i="168"/>
  <c r="N50" i="168"/>
  <c r="H50" i="168"/>
  <c r="O49" i="168"/>
  <c r="N49" i="168"/>
  <c r="H49" i="168"/>
  <c r="O48" i="168"/>
  <c r="N48" i="168"/>
  <c r="H48" i="168"/>
  <c r="O47" i="168"/>
  <c r="N47" i="168"/>
  <c r="H47" i="168"/>
  <c r="O46" i="168"/>
  <c r="N46" i="168"/>
  <c r="H46" i="168"/>
  <c r="O45" i="168"/>
  <c r="N45" i="168"/>
  <c r="H45" i="168"/>
  <c r="O44" i="168"/>
  <c r="N44" i="168"/>
  <c r="H44" i="168"/>
  <c r="O43" i="168"/>
  <c r="N43" i="168"/>
  <c r="H43" i="168"/>
  <c r="O42" i="168"/>
  <c r="N42" i="168"/>
  <c r="H42" i="168"/>
  <c r="O41" i="168"/>
  <c r="N41" i="168"/>
  <c r="H41" i="168"/>
  <c r="O40" i="168"/>
  <c r="N40" i="168"/>
  <c r="H40" i="168"/>
  <c r="O39" i="168"/>
  <c r="N39" i="168"/>
  <c r="H39" i="168"/>
  <c r="O38" i="168"/>
  <c r="N38" i="168"/>
  <c r="H38" i="168"/>
  <c r="O37" i="168"/>
  <c r="N37" i="168"/>
  <c r="H37" i="168"/>
  <c r="O36" i="168"/>
  <c r="N36" i="168"/>
  <c r="O35" i="168"/>
  <c r="N35" i="168"/>
  <c r="H35" i="168"/>
  <c r="N34" i="168"/>
  <c r="H34" i="168"/>
  <c r="O33" i="168"/>
  <c r="N33" i="168"/>
  <c r="H33" i="168"/>
  <c r="O32" i="168"/>
  <c r="N32" i="168"/>
  <c r="N31" i="168"/>
  <c r="N30" i="168"/>
  <c r="H30" i="168"/>
  <c r="N29" i="168"/>
  <c r="H29" i="168"/>
  <c r="N28" i="168"/>
  <c r="H28" i="168"/>
  <c r="O27" i="168"/>
  <c r="N27" i="168"/>
  <c r="H27" i="168"/>
  <c r="O26" i="168"/>
  <c r="N26" i="168"/>
  <c r="H26" i="168"/>
  <c r="O25" i="168"/>
  <c r="N25" i="168"/>
  <c r="H25" i="168"/>
  <c r="O24" i="168"/>
  <c r="N24" i="168"/>
  <c r="H24" i="168"/>
  <c r="O23" i="168"/>
  <c r="N23" i="168"/>
  <c r="H23" i="168"/>
  <c r="O22" i="168"/>
  <c r="N22" i="168"/>
  <c r="H22" i="168"/>
  <c r="O21" i="168"/>
  <c r="N21" i="168"/>
  <c r="H21" i="168"/>
  <c r="O20" i="168"/>
  <c r="N20" i="168"/>
  <c r="H20" i="168"/>
  <c r="O19" i="168"/>
  <c r="N19" i="168"/>
  <c r="H19" i="168"/>
  <c r="O18" i="168"/>
  <c r="N18" i="168"/>
  <c r="N17" i="168"/>
  <c r="O16" i="168"/>
  <c r="N16" i="168"/>
  <c r="O15" i="168"/>
  <c r="N15" i="168"/>
  <c r="H15" i="168"/>
  <c r="S14" i="168"/>
  <c r="O14" i="168"/>
  <c r="N14" i="168"/>
  <c r="O13" i="168"/>
  <c r="N13" i="168"/>
  <c r="H13" i="168"/>
  <c r="O12" i="168"/>
  <c r="N12" i="168"/>
  <c r="H12" i="168"/>
  <c r="O11" i="168"/>
  <c r="N11" i="168"/>
  <c r="H11" i="168"/>
  <c r="O10" i="168"/>
  <c r="N10" i="168"/>
  <c r="O9" i="168"/>
  <c r="N9" i="168"/>
  <c r="O8" i="168"/>
  <c r="N8" i="168"/>
  <c r="H8" i="168"/>
  <c r="O7" i="168"/>
  <c r="N7" i="168"/>
  <c r="H7" i="168"/>
  <c r="O6" i="168"/>
  <c r="N6" i="168"/>
  <c r="H6" i="168"/>
  <c r="O5" i="168"/>
  <c r="N5" i="168"/>
  <c r="H5" i="168"/>
  <c r="O4" i="168"/>
  <c r="N4" i="168"/>
  <c r="H4" i="168"/>
  <c r="O3" i="168"/>
  <c r="N3" i="168"/>
  <c r="H3" i="168"/>
  <c r="O2" i="168"/>
  <c r="O229" i="168" s="1"/>
  <c r="B230" i="168" s="1"/>
  <c r="B235" i="168" s="1"/>
  <c r="B241" i="168" s="1"/>
  <c r="B254" i="168" s="1"/>
  <c r="N2" i="168"/>
  <c r="N229" i="168" s="1"/>
  <c r="H2" i="168"/>
  <c r="H229" i="168" s="1"/>
  <c r="H170" i="167"/>
  <c r="H171" i="167"/>
  <c r="B269" i="167"/>
  <c r="B260" i="167"/>
  <c r="B259" i="167"/>
  <c r="B273" i="167" s="1"/>
  <c r="B252" i="167"/>
  <c r="B253" i="167" s="1"/>
  <c r="B250" i="167"/>
  <c r="B249" i="167"/>
  <c r="B248" i="167"/>
  <c r="B251" i="167" s="1"/>
  <c r="B244" i="167"/>
  <c r="B242" i="167"/>
  <c r="B245" i="167" s="1"/>
  <c r="B238" i="167"/>
  <c r="B237" i="167"/>
  <c r="B236" i="167"/>
  <c r="B240" i="167" s="1"/>
  <c r="B233" i="167"/>
  <c r="B231" i="167"/>
  <c r="P229" i="167"/>
  <c r="K229" i="167"/>
  <c r="I229" i="167"/>
  <c r="N228" i="167"/>
  <c r="N227" i="167"/>
  <c r="N226" i="167"/>
  <c r="N225" i="167"/>
  <c r="N224" i="167"/>
  <c r="N223" i="167"/>
  <c r="N222" i="167"/>
  <c r="N221" i="167"/>
  <c r="N220" i="167"/>
  <c r="O219" i="167"/>
  <c r="N219" i="167"/>
  <c r="H219" i="167"/>
  <c r="O218" i="167"/>
  <c r="N218" i="167"/>
  <c r="H218" i="167"/>
  <c r="O217" i="167"/>
  <c r="N217" i="167"/>
  <c r="H217" i="167"/>
  <c r="O216" i="167"/>
  <c r="N216" i="167"/>
  <c r="H216" i="167"/>
  <c r="O215" i="167"/>
  <c r="N215" i="167"/>
  <c r="H215" i="167"/>
  <c r="O214" i="167"/>
  <c r="N214" i="167"/>
  <c r="H214" i="167"/>
  <c r="O213" i="167"/>
  <c r="N213" i="167"/>
  <c r="H213" i="167"/>
  <c r="O212" i="167"/>
  <c r="N212" i="167"/>
  <c r="H212" i="167"/>
  <c r="O211" i="167"/>
  <c r="N211" i="167"/>
  <c r="H211" i="167"/>
  <c r="O210" i="167"/>
  <c r="N210" i="167"/>
  <c r="H210" i="167"/>
  <c r="O209" i="167"/>
  <c r="N209" i="167"/>
  <c r="H209" i="167"/>
  <c r="O208" i="167"/>
  <c r="N208" i="167"/>
  <c r="H208" i="167"/>
  <c r="O207" i="167"/>
  <c r="N207" i="167"/>
  <c r="H207" i="167"/>
  <c r="O206" i="167"/>
  <c r="N206" i="167"/>
  <c r="H206" i="167"/>
  <c r="O205" i="167"/>
  <c r="N205" i="167"/>
  <c r="H205" i="167"/>
  <c r="O204" i="167"/>
  <c r="N204" i="167"/>
  <c r="H204" i="167"/>
  <c r="O203" i="167"/>
  <c r="N203" i="167"/>
  <c r="H203" i="167"/>
  <c r="O202" i="167"/>
  <c r="N202" i="167"/>
  <c r="H202" i="167"/>
  <c r="O201" i="167"/>
  <c r="N201" i="167"/>
  <c r="H201" i="167"/>
  <c r="O200" i="167"/>
  <c r="N200" i="167"/>
  <c r="H200" i="167"/>
  <c r="O199" i="167"/>
  <c r="N199" i="167"/>
  <c r="H199" i="167"/>
  <c r="O198" i="167"/>
  <c r="N198" i="167"/>
  <c r="H198" i="167"/>
  <c r="O197" i="167"/>
  <c r="N197" i="167"/>
  <c r="H197" i="167"/>
  <c r="O196" i="167"/>
  <c r="N196" i="167"/>
  <c r="H196" i="167"/>
  <c r="O195" i="167"/>
  <c r="N195" i="167"/>
  <c r="H195" i="167"/>
  <c r="O194" i="167"/>
  <c r="N194" i="167"/>
  <c r="H194" i="167"/>
  <c r="O193" i="167"/>
  <c r="N193" i="167"/>
  <c r="H193" i="167"/>
  <c r="O192" i="167"/>
  <c r="N192" i="167"/>
  <c r="O191" i="167"/>
  <c r="N191" i="167"/>
  <c r="H191" i="167"/>
  <c r="O190" i="167"/>
  <c r="N190" i="167"/>
  <c r="H190" i="167"/>
  <c r="O189" i="167"/>
  <c r="N189" i="167"/>
  <c r="H189" i="167"/>
  <c r="O188" i="167"/>
  <c r="N188" i="167"/>
  <c r="H188" i="167"/>
  <c r="O187" i="167"/>
  <c r="N187" i="167"/>
  <c r="H187" i="167"/>
  <c r="O186" i="167"/>
  <c r="N186" i="167"/>
  <c r="H186" i="167"/>
  <c r="O185" i="167"/>
  <c r="N185" i="167"/>
  <c r="H185" i="167"/>
  <c r="O184" i="167"/>
  <c r="N184" i="167"/>
  <c r="O183" i="167"/>
  <c r="N183" i="167"/>
  <c r="O182" i="167"/>
  <c r="N182" i="167"/>
  <c r="O181" i="167"/>
  <c r="N181" i="167"/>
  <c r="H181" i="167"/>
  <c r="O180" i="167"/>
  <c r="N180" i="167"/>
  <c r="H180" i="167"/>
  <c r="O179" i="167"/>
  <c r="N179" i="167"/>
  <c r="H179" i="167"/>
  <c r="O178" i="167"/>
  <c r="N178" i="167"/>
  <c r="H178" i="167"/>
  <c r="O177" i="167"/>
  <c r="N177" i="167"/>
  <c r="H177" i="167"/>
  <c r="O176" i="167"/>
  <c r="N176" i="167"/>
  <c r="H176" i="167"/>
  <c r="O175" i="167"/>
  <c r="N175" i="167"/>
  <c r="H175" i="167"/>
  <c r="O174" i="167"/>
  <c r="N174" i="167"/>
  <c r="H174" i="167"/>
  <c r="O173" i="167"/>
  <c r="N173" i="167"/>
  <c r="H173" i="167"/>
  <c r="O172" i="167"/>
  <c r="N172" i="167"/>
  <c r="H172" i="167"/>
  <c r="O171" i="167"/>
  <c r="N171" i="167"/>
  <c r="O170" i="167"/>
  <c r="N170" i="167"/>
  <c r="O169" i="167"/>
  <c r="N169" i="167"/>
  <c r="H169" i="167"/>
  <c r="O168" i="167"/>
  <c r="N168" i="167"/>
  <c r="O167" i="167"/>
  <c r="N167" i="167"/>
  <c r="H167" i="167"/>
  <c r="O166" i="167"/>
  <c r="N166" i="167"/>
  <c r="H166" i="167"/>
  <c r="O165" i="167"/>
  <c r="N165" i="167"/>
  <c r="H165" i="167"/>
  <c r="O164" i="167"/>
  <c r="N164" i="167"/>
  <c r="H164" i="167"/>
  <c r="O163" i="167"/>
  <c r="N163" i="167"/>
  <c r="H163" i="167"/>
  <c r="O162" i="167"/>
  <c r="N162" i="167"/>
  <c r="H162" i="167"/>
  <c r="O161" i="167"/>
  <c r="N161" i="167"/>
  <c r="H161" i="167"/>
  <c r="N160" i="167"/>
  <c r="H160" i="167"/>
  <c r="O159" i="167"/>
  <c r="N159" i="167"/>
  <c r="N158" i="167"/>
  <c r="O157" i="167"/>
  <c r="N157" i="167"/>
  <c r="H157" i="167"/>
  <c r="O156" i="167"/>
  <c r="N156" i="167"/>
  <c r="H156" i="167"/>
  <c r="O155" i="167"/>
  <c r="N155" i="167"/>
  <c r="H155" i="167"/>
  <c r="O154" i="167"/>
  <c r="N154" i="167"/>
  <c r="H154" i="167"/>
  <c r="O153" i="167"/>
  <c r="N153" i="167"/>
  <c r="H153" i="167"/>
  <c r="O152" i="167"/>
  <c r="N152" i="167"/>
  <c r="H152" i="167"/>
  <c r="O151" i="167"/>
  <c r="N151" i="167"/>
  <c r="H151" i="167"/>
  <c r="O150" i="167"/>
  <c r="N150" i="167"/>
  <c r="H150" i="167"/>
  <c r="O149" i="167"/>
  <c r="N149" i="167"/>
  <c r="H149" i="167"/>
  <c r="O148" i="167"/>
  <c r="N148" i="167"/>
  <c r="H148" i="167"/>
  <c r="O147" i="167"/>
  <c r="N147" i="167"/>
  <c r="H147" i="167"/>
  <c r="O146" i="167"/>
  <c r="N146" i="167"/>
  <c r="H146" i="167"/>
  <c r="O145" i="167"/>
  <c r="N145" i="167"/>
  <c r="H145" i="167"/>
  <c r="O144" i="167"/>
  <c r="N144" i="167"/>
  <c r="H144" i="167"/>
  <c r="O143" i="167"/>
  <c r="N143" i="167"/>
  <c r="H143" i="167"/>
  <c r="O142" i="167"/>
  <c r="N142" i="167"/>
  <c r="H142" i="167"/>
  <c r="O141" i="167"/>
  <c r="N141" i="167"/>
  <c r="H141" i="167"/>
  <c r="O140" i="167"/>
  <c r="N140" i="167"/>
  <c r="H140" i="167"/>
  <c r="O139" i="167"/>
  <c r="N139" i="167"/>
  <c r="H139" i="167"/>
  <c r="O138" i="167"/>
  <c r="N138" i="167"/>
  <c r="H138" i="167"/>
  <c r="O137" i="167"/>
  <c r="N137" i="167"/>
  <c r="H137" i="167"/>
  <c r="O136" i="167"/>
  <c r="N136" i="167"/>
  <c r="H136" i="167"/>
  <c r="O135" i="167"/>
  <c r="N135" i="167"/>
  <c r="H135" i="167"/>
  <c r="O134" i="167"/>
  <c r="N134" i="167"/>
  <c r="H134" i="167"/>
  <c r="O133" i="167"/>
  <c r="N133" i="167"/>
  <c r="H133" i="167"/>
  <c r="O132" i="167"/>
  <c r="N132" i="167"/>
  <c r="H132" i="167"/>
  <c r="O131" i="167"/>
  <c r="N131" i="167"/>
  <c r="H131" i="167"/>
  <c r="O130" i="167"/>
  <c r="N130" i="167"/>
  <c r="H130" i="167"/>
  <c r="O129" i="167"/>
  <c r="N129" i="167"/>
  <c r="H129" i="167"/>
  <c r="O128" i="167"/>
  <c r="N128" i="167"/>
  <c r="H128" i="167"/>
  <c r="O127" i="167"/>
  <c r="N127" i="167"/>
  <c r="H127" i="167"/>
  <c r="O126" i="167"/>
  <c r="N126" i="167"/>
  <c r="H126" i="167"/>
  <c r="O125" i="167"/>
  <c r="N125" i="167"/>
  <c r="H125" i="167"/>
  <c r="O124" i="167"/>
  <c r="N124" i="167"/>
  <c r="H124" i="167"/>
  <c r="O123" i="167"/>
  <c r="N123" i="167"/>
  <c r="H123" i="167"/>
  <c r="O122" i="167"/>
  <c r="N122" i="167"/>
  <c r="H122" i="167"/>
  <c r="O121" i="167"/>
  <c r="N121" i="167"/>
  <c r="H121" i="167"/>
  <c r="O120" i="167"/>
  <c r="N120" i="167"/>
  <c r="H120" i="167"/>
  <c r="O119" i="167"/>
  <c r="N119" i="167"/>
  <c r="H119" i="167"/>
  <c r="O118" i="167"/>
  <c r="N118" i="167"/>
  <c r="H118" i="167"/>
  <c r="O117" i="167"/>
  <c r="N117" i="167"/>
  <c r="H117" i="167"/>
  <c r="O116" i="167"/>
  <c r="N116" i="167"/>
  <c r="H116" i="167"/>
  <c r="O115" i="167"/>
  <c r="N115" i="167"/>
  <c r="H115" i="167"/>
  <c r="O114" i="167"/>
  <c r="N114" i="167"/>
  <c r="H114" i="167"/>
  <c r="O113" i="167"/>
  <c r="N113" i="167"/>
  <c r="H113" i="167"/>
  <c r="O112" i="167"/>
  <c r="N112" i="167"/>
  <c r="H112" i="167"/>
  <c r="O111" i="167"/>
  <c r="N111" i="167"/>
  <c r="H111" i="167"/>
  <c r="O110" i="167"/>
  <c r="N110" i="167"/>
  <c r="H110" i="167"/>
  <c r="O109" i="167"/>
  <c r="N109" i="167"/>
  <c r="H109" i="167"/>
  <c r="O108" i="167"/>
  <c r="N108" i="167"/>
  <c r="H108" i="167"/>
  <c r="O107" i="167"/>
  <c r="N107" i="167"/>
  <c r="H107" i="167"/>
  <c r="O106" i="167"/>
  <c r="N106" i="167"/>
  <c r="H106" i="167"/>
  <c r="O105" i="167"/>
  <c r="N105" i="167"/>
  <c r="H105" i="167"/>
  <c r="O104" i="167"/>
  <c r="N104" i="167"/>
  <c r="H104" i="167"/>
  <c r="O103" i="167"/>
  <c r="N103" i="167"/>
  <c r="H103" i="167"/>
  <c r="O102" i="167"/>
  <c r="N102" i="167"/>
  <c r="H102" i="167"/>
  <c r="O101" i="167"/>
  <c r="N101" i="167"/>
  <c r="H101" i="167"/>
  <c r="O100" i="167"/>
  <c r="N100" i="167"/>
  <c r="H100" i="167"/>
  <c r="O99" i="167"/>
  <c r="N99" i="167"/>
  <c r="H99" i="167"/>
  <c r="O98" i="167"/>
  <c r="N98" i="167"/>
  <c r="H98" i="167"/>
  <c r="O97" i="167"/>
  <c r="N97" i="167"/>
  <c r="H97" i="167"/>
  <c r="O96" i="167"/>
  <c r="N96" i="167"/>
  <c r="H96" i="167"/>
  <c r="O95" i="167"/>
  <c r="N95" i="167"/>
  <c r="H95" i="167"/>
  <c r="O94" i="167"/>
  <c r="N94" i="167"/>
  <c r="H94" i="167"/>
  <c r="O93" i="167"/>
  <c r="N93" i="167"/>
  <c r="H93" i="167"/>
  <c r="N92" i="167"/>
  <c r="H92" i="167"/>
  <c r="N91" i="167"/>
  <c r="H91" i="167"/>
  <c r="N90" i="167"/>
  <c r="H90" i="167"/>
  <c r="O89" i="167"/>
  <c r="N89" i="167"/>
  <c r="H89" i="167"/>
  <c r="O88" i="167"/>
  <c r="N88" i="167"/>
  <c r="H88" i="167"/>
  <c r="O87" i="167"/>
  <c r="N87" i="167"/>
  <c r="H87" i="167"/>
  <c r="O86" i="167"/>
  <c r="N86" i="167"/>
  <c r="H86" i="167"/>
  <c r="O85" i="167"/>
  <c r="N85" i="167"/>
  <c r="H85" i="167"/>
  <c r="O84" i="167"/>
  <c r="N84" i="167"/>
  <c r="H84" i="167"/>
  <c r="O83" i="167"/>
  <c r="N83" i="167"/>
  <c r="H83" i="167"/>
  <c r="O82" i="167"/>
  <c r="N82" i="167"/>
  <c r="O81" i="167"/>
  <c r="N81" i="167"/>
  <c r="O80" i="167"/>
  <c r="N80" i="167"/>
  <c r="H80" i="167"/>
  <c r="O79" i="167"/>
  <c r="N79" i="167"/>
  <c r="H79" i="167"/>
  <c r="O78" i="167"/>
  <c r="N78" i="167"/>
  <c r="O77" i="167"/>
  <c r="N77" i="167"/>
  <c r="H77" i="167"/>
  <c r="O76" i="167"/>
  <c r="N76" i="167"/>
  <c r="H76" i="167"/>
  <c r="O75" i="167"/>
  <c r="N75" i="167"/>
  <c r="H75" i="167"/>
  <c r="O74" i="167"/>
  <c r="N74" i="167"/>
  <c r="H74" i="167"/>
  <c r="O73" i="167"/>
  <c r="N73" i="167"/>
  <c r="H73" i="167"/>
  <c r="O72" i="167"/>
  <c r="N72" i="167"/>
  <c r="H72" i="167"/>
  <c r="O71" i="167"/>
  <c r="N71" i="167"/>
  <c r="H71" i="167"/>
  <c r="O70" i="167"/>
  <c r="N70" i="167"/>
  <c r="H70" i="167"/>
  <c r="T69" i="167"/>
  <c r="T96" i="167" s="1"/>
  <c r="O69" i="167"/>
  <c r="N69" i="167"/>
  <c r="H69" i="167"/>
  <c r="O68" i="167"/>
  <c r="N68" i="167"/>
  <c r="H68" i="167"/>
  <c r="O67" i="167"/>
  <c r="N67" i="167"/>
  <c r="H67" i="167"/>
  <c r="O66" i="167"/>
  <c r="N66" i="167"/>
  <c r="H66" i="167"/>
  <c r="O65" i="167"/>
  <c r="N65" i="167"/>
  <c r="H65" i="167"/>
  <c r="O64" i="167"/>
  <c r="N64" i="167"/>
  <c r="H64" i="167"/>
  <c r="O63" i="167"/>
  <c r="N63" i="167"/>
  <c r="H63" i="167"/>
  <c r="O62" i="167"/>
  <c r="N62" i="167"/>
  <c r="H62" i="167"/>
  <c r="O61" i="167"/>
  <c r="N61" i="167"/>
  <c r="H61" i="167"/>
  <c r="O60" i="167"/>
  <c r="N60" i="167"/>
  <c r="H60" i="167"/>
  <c r="O59" i="167"/>
  <c r="N59" i="167"/>
  <c r="H59" i="167"/>
  <c r="O58" i="167"/>
  <c r="N58" i="167"/>
  <c r="H58" i="167"/>
  <c r="O57" i="167"/>
  <c r="N57" i="167"/>
  <c r="H57" i="167"/>
  <c r="O56" i="167"/>
  <c r="N56" i="167"/>
  <c r="H56" i="167"/>
  <c r="O55" i="167"/>
  <c r="N55" i="167"/>
  <c r="O54" i="167"/>
  <c r="N54" i="167"/>
  <c r="H54" i="167"/>
  <c r="O53" i="167"/>
  <c r="N53" i="167"/>
  <c r="H53" i="167"/>
  <c r="O52" i="167"/>
  <c r="N52" i="167"/>
  <c r="O51" i="167"/>
  <c r="N51" i="167"/>
  <c r="O50" i="167"/>
  <c r="N50" i="167"/>
  <c r="H50" i="167"/>
  <c r="O49" i="167"/>
  <c r="N49" i="167"/>
  <c r="H49" i="167"/>
  <c r="O48" i="167"/>
  <c r="N48" i="167"/>
  <c r="H48" i="167"/>
  <c r="O47" i="167"/>
  <c r="N47" i="167"/>
  <c r="H47" i="167"/>
  <c r="O46" i="167"/>
  <c r="N46" i="167"/>
  <c r="H46" i="167"/>
  <c r="O45" i="167"/>
  <c r="N45" i="167"/>
  <c r="H45" i="167"/>
  <c r="O44" i="167"/>
  <c r="N44" i="167"/>
  <c r="H44" i="167"/>
  <c r="O43" i="167"/>
  <c r="N43" i="167"/>
  <c r="H43" i="167"/>
  <c r="O42" i="167"/>
  <c r="N42" i="167"/>
  <c r="H42" i="167"/>
  <c r="O41" i="167"/>
  <c r="N41" i="167"/>
  <c r="H41" i="167"/>
  <c r="O40" i="167"/>
  <c r="N40" i="167"/>
  <c r="H40" i="167"/>
  <c r="O39" i="167"/>
  <c r="N39" i="167"/>
  <c r="H39" i="167"/>
  <c r="O38" i="167"/>
  <c r="N38" i="167"/>
  <c r="H38" i="167"/>
  <c r="O37" i="167"/>
  <c r="N37" i="167"/>
  <c r="H37" i="167"/>
  <c r="O36" i="167"/>
  <c r="N36" i="167"/>
  <c r="O35" i="167"/>
  <c r="N35" i="167"/>
  <c r="H35" i="167"/>
  <c r="N34" i="167"/>
  <c r="H34" i="167"/>
  <c r="O33" i="167"/>
  <c r="N33" i="167"/>
  <c r="H33" i="167"/>
  <c r="O32" i="167"/>
  <c r="N32" i="167"/>
  <c r="O31" i="167"/>
  <c r="N31" i="167"/>
  <c r="N30" i="167"/>
  <c r="H30" i="167"/>
  <c r="N29" i="167"/>
  <c r="H29" i="167"/>
  <c r="N28" i="167"/>
  <c r="H28" i="167"/>
  <c r="O27" i="167"/>
  <c r="N27" i="167"/>
  <c r="H27" i="167"/>
  <c r="O26" i="167"/>
  <c r="N26" i="167"/>
  <c r="H26" i="167"/>
  <c r="O25" i="167"/>
  <c r="N25" i="167"/>
  <c r="H25" i="167"/>
  <c r="O24" i="167"/>
  <c r="N24" i="167"/>
  <c r="H24" i="167"/>
  <c r="O23" i="167"/>
  <c r="N23" i="167"/>
  <c r="H23" i="167"/>
  <c r="O22" i="167"/>
  <c r="N22" i="167"/>
  <c r="H22" i="167"/>
  <c r="O21" i="167"/>
  <c r="N21" i="167"/>
  <c r="H21" i="167"/>
  <c r="O20" i="167"/>
  <c r="N20" i="167"/>
  <c r="H20" i="167"/>
  <c r="O19" i="167"/>
  <c r="N19" i="167"/>
  <c r="H19" i="167"/>
  <c r="O18" i="167"/>
  <c r="N18" i="167"/>
  <c r="N17" i="167"/>
  <c r="O16" i="167"/>
  <c r="N16" i="167"/>
  <c r="O15" i="167"/>
  <c r="N15" i="167"/>
  <c r="H15" i="167"/>
  <c r="S14" i="167"/>
  <c r="O14" i="167"/>
  <c r="N14" i="167"/>
  <c r="O13" i="167"/>
  <c r="N13" i="167"/>
  <c r="H13" i="167"/>
  <c r="O12" i="167"/>
  <c r="N12" i="167"/>
  <c r="H12" i="167"/>
  <c r="O11" i="167"/>
  <c r="N11" i="167"/>
  <c r="H11" i="167"/>
  <c r="O10" i="167"/>
  <c r="N10" i="167"/>
  <c r="O9" i="167"/>
  <c r="N9" i="167"/>
  <c r="O8" i="167"/>
  <c r="N8" i="167"/>
  <c r="H8" i="167"/>
  <c r="O7" i="167"/>
  <c r="N7" i="167"/>
  <c r="H7" i="167"/>
  <c r="O6" i="167"/>
  <c r="N6" i="167"/>
  <c r="H6" i="167"/>
  <c r="O5" i="167"/>
  <c r="N5" i="167"/>
  <c r="H5" i="167"/>
  <c r="O4" i="167"/>
  <c r="N4" i="167"/>
  <c r="H4" i="167"/>
  <c r="O3" i="167"/>
  <c r="N3" i="167"/>
  <c r="H3" i="167"/>
  <c r="O2" i="167"/>
  <c r="O229" i="167" s="1"/>
  <c r="B230" i="167" s="1"/>
  <c r="B235" i="167" s="1"/>
  <c r="B241" i="167" s="1"/>
  <c r="B254" i="167" s="1"/>
  <c r="N2" i="167"/>
  <c r="N229" i="167" s="1"/>
  <c r="H2" i="167"/>
  <c r="H229" i="167" s="1"/>
  <c r="H4" i="166"/>
  <c r="H5" i="166"/>
  <c r="B269" i="166"/>
  <c r="B260" i="166"/>
  <c r="B259" i="166"/>
  <c r="B273" i="166" s="1"/>
  <c r="B252" i="166"/>
  <c r="B253" i="166" s="1"/>
  <c r="B250" i="166"/>
  <c r="B249" i="166"/>
  <c r="B248" i="166"/>
  <c r="B251" i="166" s="1"/>
  <c r="B244" i="166"/>
  <c r="B242" i="166"/>
  <c r="B245" i="166" s="1"/>
  <c r="B238" i="166"/>
  <c r="B237" i="166"/>
  <c r="B236" i="166"/>
  <c r="B240" i="166" s="1"/>
  <c r="B233" i="166"/>
  <c r="B231" i="166"/>
  <c r="P229" i="166"/>
  <c r="K229" i="166"/>
  <c r="I229" i="166"/>
  <c r="N228" i="166"/>
  <c r="N227" i="166"/>
  <c r="N226" i="166"/>
  <c r="N225" i="166"/>
  <c r="N224" i="166"/>
  <c r="N223" i="166"/>
  <c r="N222" i="166"/>
  <c r="N221" i="166"/>
  <c r="N220" i="166"/>
  <c r="O219" i="166"/>
  <c r="N219" i="166"/>
  <c r="H219" i="166"/>
  <c r="O218" i="166"/>
  <c r="N218" i="166"/>
  <c r="H218" i="166"/>
  <c r="O217" i="166"/>
  <c r="N217" i="166"/>
  <c r="H217" i="166"/>
  <c r="O216" i="166"/>
  <c r="N216" i="166"/>
  <c r="H216" i="166"/>
  <c r="O215" i="166"/>
  <c r="N215" i="166"/>
  <c r="H215" i="166"/>
  <c r="O214" i="166"/>
  <c r="N214" i="166"/>
  <c r="H214" i="166"/>
  <c r="O213" i="166"/>
  <c r="N213" i="166"/>
  <c r="H213" i="166"/>
  <c r="O212" i="166"/>
  <c r="N212" i="166"/>
  <c r="H212" i="166"/>
  <c r="O211" i="166"/>
  <c r="N211" i="166"/>
  <c r="H211" i="166"/>
  <c r="O210" i="166"/>
  <c r="N210" i="166"/>
  <c r="H210" i="166"/>
  <c r="O209" i="166"/>
  <c r="N209" i="166"/>
  <c r="H209" i="166"/>
  <c r="O208" i="166"/>
  <c r="N208" i="166"/>
  <c r="H208" i="166"/>
  <c r="O207" i="166"/>
  <c r="N207" i="166"/>
  <c r="H207" i="166"/>
  <c r="O206" i="166"/>
  <c r="N206" i="166"/>
  <c r="H206" i="166"/>
  <c r="O205" i="166"/>
  <c r="N205" i="166"/>
  <c r="H205" i="166"/>
  <c r="O204" i="166"/>
  <c r="N204" i="166"/>
  <c r="H204" i="166"/>
  <c r="O203" i="166"/>
  <c r="N203" i="166"/>
  <c r="H203" i="166"/>
  <c r="O202" i="166"/>
  <c r="N202" i="166"/>
  <c r="H202" i="166"/>
  <c r="O201" i="166"/>
  <c r="N201" i="166"/>
  <c r="H201" i="166"/>
  <c r="O200" i="166"/>
  <c r="N200" i="166"/>
  <c r="H200" i="166"/>
  <c r="O199" i="166"/>
  <c r="N199" i="166"/>
  <c r="H199" i="166"/>
  <c r="O198" i="166"/>
  <c r="N198" i="166"/>
  <c r="H198" i="166"/>
  <c r="O197" i="166"/>
  <c r="N197" i="166"/>
  <c r="H197" i="166"/>
  <c r="O196" i="166"/>
  <c r="N196" i="166"/>
  <c r="H196" i="166"/>
  <c r="O195" i="166"/>
  <c r="N195" i="166"/>
  <c r="H195" i="166"/>
  <c r="O194" i="166"/>
  <c r="N194" i="166"/>
  <c r="H194" i="166"/>
  <c r="O193" i="166"/>
  <c r="N193" i="166"/>
  <c r="H193" i="166"/>
  <c r="O192" i="166"/>
  <c r="N192" i="166"/>
  <c r="O191" i="166"/>
  <c r="N191" i="166"/>
  <c r="H191" i="166"/>
  <c r="O190" i="166"/>
  <c r="N190" i="166"/>
  <c r="H190" i="166"/>
  <c r="O189" i="166"/>
  <c r="N189" i="166"/>
  <c r="H189" i="166"/>
  <c r="O188" i="166"/>
  <c r="N188" i="166"/>
  <c r="H188" i="166"/>
  <c r="O187" i="166"/>
  <c r="N187" i="166"/>
  <c r="H187" i="166"/>
  <c r="O186" i="166"/>
  <c r="N186" i="166"/>
  <c r="H186" i="166"/>
  <c r="O185" i="166"/>
  <c r="N185" i="166"/>
  <c r="H185" i="166"/>
  <c r="O184" i="166"/>
  <c r="N184" i="166"/>
  <c r="O183" i="166"/>
  <c r="N183" i="166"/>
  <c r="O182" i="166"/>
  <c r="N182" i="166"/>
  <c r="O181" i="166"/>
  <c r="N181" i="166"/>
  <c r="H181" i="166"/>
  <c r="O180" i="166"/>
  <c r="N180" i="166"/>
  <c r="H180" i="166"/>
  <c r="O179" i="166"/>
  <c r="N179" i="166"/>
  <c r="H179" i="166"/>
  <c r="O178" i="166"/>
  <c r="N178" i="166"/>
  <c r="H178" i="166"/>
  <c r="O177" i="166"/>
  <c r="N177" i="166"/>
  <c r="H177" i="166"/>
  <c r="O176" i="166"/>
  <c r="N176" i="166"/>
  <c r="H176" i="166"/>
  <c r="O175" i="166"/>
  <c r="N175" i="166"/>
  <c r="H175" i="166"/>
  <c r="O174" i="166"/>
  <c r="N174" i="166"/>
  <c r="H174" i="166"/>
  <c r="O173" i="166"/>
  <c r="N173" i="166"/>
  <c r="H173" i="166"/>
  <c r="O172" i="166"/>
  <c r="N172" i="166"/>
  <c r="H172" i="166"/>
  <c r="O171" i="166"/>
  <c r="N171" i="166"/>
  <c r="H171" i="166"/>
  <c r="O170" i="166"/>
  <c r="N170" i="166"/>
  <c r="O169" i="166"/>
  <c r="N169" i="166"/>
  <c r="H169" i="166"/>
  <c r="O168" i="166"/>
  <c r="N168" i="166"/>
  <c r="O167" i="166"/>
  <c r="N167" i="166"/>
  <c r="H167" i="166"/>
  <c r="O166" i="166"/>
  <c r="N166" i="166"/>
  <c r="H166" i="166"/>
  <c r="O165" i="166"/>
  <c r="N165" i="166"/>
  <c r="H165" i="166"/>
  <c r="O164" i="166"/>
  <c r="N164" i="166"/>
  <c r="H164" i="166"/>
  <c r="O163" i="166"/>
  <c r="N163" i="166"/>
  <c r="H163" i="166"/>
  <c r="O162" i="166"/>
  <c r="N162" i="166"/>
  <c r="H162" i="166"/>
  <c r="O161" i="166"/>
  <c r="N161" i="166"/>
  <c r="H161" i="166"/>
  <c r="N160" i="166"/>
  <c r="H160" i="166"/>
  <c r="O159" i="166"/>
  <c r="N159" i="166"/>
  <c r="N158" i="166"/>
  <c r="O157" i="166"/>
  <c r="N157" i="166"/>
  <c r="H157" i="166"/>
  <c r="O156" i="166"/>
  <c r="N156" i="166"/>
  <c r="H156" i="166"/>
  <c r="O155" i="166"/>
  <c r="N155" i="166"/>
  <c r="H155" i="166"/>
  <c r="O154" i="166"/>
  <c r="N154" i="166"/>
  <c r="H154" i="166"/>
  <c r="O153" i="166"/>
  <c r="N153" i="166"/>
  <c r="H153" i="166"/>
  <c r="O152" i="166"/>
  <c r="N152" i="166"/>
  <c r="H152" i="166"/>
  <c r="O151" i="166"/>
  <c r="N151" i="166"/>
  <c r="H151" i="166"/>
  <c r="O150" i="166"/>
  <c r="N150" i="166"/>
  <c r="H150" i="166"/>
  <c r="O149" i="166"/>
  <c r="N149" i="166"/>
  <c r="H149" i="166"/>
  <c r="O148" i="166"/>
  <c r="N148" i="166"/>
  <c r="H148" i="166"/>
  <c r="O147" i="166"/>
  <c r="N147" i="166"/>
  <c r="H147" i="166"/>
  <c r="O146" i="166"/>
  <c r="N146" i="166"/>
  <c r="H146" i="166"/>
  <c r="O145" i="166"/>
  <c r="N145" i="166"/>
  <c r="H145" i="166"/>
  <c r="O144" i="166"/>
  <c r="N144" i="166"/>
  <c r="H144" i="166"/>
  <c r="O143" i="166"/>
  <c r="N143" i="166"/>
  <c r="H143" i="166"/>
  <c r="O142" i="166"/>
  <c r="N142" i="166"/>
  <c r="H142" i="166"/>
  <c r="O141" i="166"/>
  <c r="N141" i="166"/>
  <c r="H141" i="166"/>
  <c r="O140" i="166"/>
  <c r="N140" i="166"/>
  <c r="H140" i="166"/>
  <c r="O139" i="166"/>
  <c r="N139" i="166"/>
  <c r="H139" i="166"/>
  <c r="O138" i="166"/>
  <c r="N138" i="166"/>
  <c r="H138" i="166"/>
  <c r="O137" i="166"/>
  <c r="N137" i="166"/>
  <c r="H137" i="166"/>
  <c r="O136" i="166"/>
  <c r="N136" i="166"/>
  <c r="H136" i="166"/>
  <c r="O135" i="166"/>
  <c r="N135" i="166"/>
  <c r="H135" i="166"/>
  <c r="O134" i="166"/>
  <c r="N134" i="166"/>
  <c r="H134" i="166"/>
  <c r="O133" i="166"/>
  <c r="N133" i="166"/>
  <c r="H133" i="166"/>
  <c r="O132" i="166"/>
  <c r="N132" i="166"/>
  <c r="H132" i="166"/>
  <c r="O131" i="166"/>
  <c r="N131" i="166"/>
  <c r="H131" i="166"/>
  <c r="O130" i="166"/>
  <c r="N130" i="166"/>
  <c r="H130" i="166"/>
  <c r="O129" i="166"/>
  <c r="N129" i="166"/>
  <c r="H129" i="166"/>
  <c r="O128" i="166"/>
  <c r="N128" i="166"/>
  <c r="H128" i="166"/>
  <c r="O127" i="166"/>
  <c r="N127" i="166"/>
  <c r="H127" i="166"/>
  <c r="O126" i="166"/>
  <c r="N126" i="166"/>
  <c r="H126" i="166"/>
  <c r="O125" i="166"/>
  <c r="N125" i="166"/>
  <c r="H125" i="166"/>
  <c r="O124" i="166"/>
  <c r="N124" i="166"/>
  <c r="H124" i="166"/>
  <c r="O123" i="166"/>
  <c r="N123" i="166"/>
  <c r="H123" i="166"/>
  <c r="O122" i="166"/>
  <c r="N122" i="166"/>
  <c r="H122" i="166"/>
  <c r="O121" i="166"/>
  <c r="N121" i="166"/>
  <c r="H121" i="166"/>
  <c r="O120" i="166"/>
  <c r="N120" i="166"/>
  <c r="H120" i="166"/>
  <c r="O119" i="166"/>
  <c r="N119" i="166"/>
  <c r="H119" i="166"/>
  <c r="O118" i="166"/>
  <c r="N118" i="166"/>
  <c r="H118" i="166"/>
  <c r="O117" i="166"/>
  <c r="N117" i="166"/>
  <c r="H117" i="166"/>
  <c r="O116" i="166"/>
  <c r="N116" i="166"/>
  <c r="H116" i="166"/>
  <c r="O115" i="166"/>
  <c r="N115" i="166"/>
  <c r="H115" i="166"/>
  <c r="O114" i="166"/>
  <c r="N114" i="166"/>
  <c r="H114" i="166"/>
  <c r="O113" i="166"/>
  <c r="N113" i="166"/>
  <c r="H113" i="166"/>
  <c r="O112" i="166"/>
  <c r="N112" i="166"/>
  <c r="H112" i="166"/>
  <c r="O111" i="166"/>
  <c r="N111" i="166"/>
  <c r="H111" i="166"/>
  <c r="O110" i="166"/>
  <c r="N110" i="166"/>
  <c r="H110" i="166"/>
  <c r="O109" i="166"/>
  <c r="N109" i="166"/>
  <c r="H109" i="166"/>
  <c r="O108" i="166"/>
  <c r="N108" i="166"/>
  <c r="H108" i="166"/>
  <c r="O107" i="166"/>
  <c r="N107" i="166"/>
  <c r="H107" i="166"/>
  <c r="O106" i="166"/>
  <c r="N106" i="166"/>
  <c r="H106" i="166"/>
  <c r="O105" i="166"/>
  <c r="N105" i="166"/>
  <c r="H105" i="166"/>
  <c r="O104" i="166"/>
  <c r="N104" i="166"/>
  <c r="H104" i="166"/>
  <c r="O103" i="166"/>
  <c r="N103" i="166"/>
  <c r="H103" i="166"/>
  <c r="O102" i="166"/>
  <c r="N102" i="166"/>
  <c r="H102" i="166"/>
  <c r="O101" i="166"/>
  <c r="N101" i="166"/>
  <c r="H101" i="166"/>
  <c r="O100" i="166"/>
  <c r="N100" i="166"/>
  <c r="H100" i="166"/>
  <c r="O99" i="166"/>
  <c r="N99" i="166"/>
  <c r="H99" i="166"/>
  <c r="O98" i="166"/>
  <c r="N98" i="166"/>
  <c r="H98" i="166"/>
  <c r="O97" i="166"/>
  <c r="N97" i="166"/>
  <c r="H97" i="166"/>
  <c r="O96" i="166"/>
  <c r="N96" i="166"/>
  <c r="H96" i="166"/>
  <c r="O95" i="166"/>
  <c r="N95" i="166"/>
  <c r="H95" i="166"/>
  <c r="O94" i="166"/>
  <c r="N94" i="166"/>
  <c r="H94" i="166"/>
  <c r="O93" i="166"/>
  <c r="N93" i="166"/>
  <c r="H93" i="166"/>
  <c r="N92" i="166"/>
  <c r="H92" i="166"/>
  <c r="N91" i="166"/>
  <c r="H91" i="166"/>
  <c r="N90" i="166"/>
  <c r="H90" i="166"/>
  <c r="O89" i="166"/>
  <c r="N89" i="166"/>
  <c r="H89" i="166"/>
  <c r="O88" i="166"/>
  <c r="N88" i="166"/>
  <c r="H88" i="166"/>
  <c r="O87" i="166"/>
  <c r="N87" i="166"/>
  <c r="H87" i="166"/>
  <c r="O86" i="166"/>
  <c r="N86" i="166"/>
  <c r="H86" i="166"/>
  <c r="O85" i="166"/>
  <c r="N85" i="166"/>
  <c r="H85" i="166"/>
  <c r="O84" i="166"/>
  <c r="N84" i="166"/>
  <c r="H84" i="166"/>
  <c r="O83" i="166"/>
  <c r="N83" i="166"/>
  <c r="H83" i="166"/>
  <c r="O82" i="166"/>
  <c r="N82" i="166"/>
  <c r="O81" i="166"/>
  <c r="N81" i="166"/>
  <c r="O80" i="166"/>
  <c r="N80" i="166"/>
  <c r="H80" i="166"/>
  <c r="O79" i="166"/>
  <c r="N79" i="166"/>
  <c r="H79" i="166"/>
  <c r="O78" i="166"/>
  <c r="N78" i="166"/>
  <c r="O77" i="166"/>
  <c r="N77" i="166"/>
  <c r="H77" i="166"/>
  <c r="O76" i="166"/>
  <c r="N76" i="166"/>
  <c r="H76" i="166"/>
  <c r="O75" i="166"/>
  <c r="N75" i="166"/>
  <c r="H75" i="166"/>
  <c r="O74" i="166"/>
  <c r="N74" i="166"/>
  <c r="H74" i="166"/>
  <c r="O73" i="166"/>
  <c r="N73" i="166"/>
  <c r="H73" i="166"/>
  <c r="O72" i="166"/>
  <c r="N72" i="166"/>
  <c r="H72" i="166"/>
  <c r="O71" i="166"/>
  <c r="N71" i="166"/>
  <c r="H71" i="166"/>
  <c r="O70" i="166"/>
  <c r="N70" i="166"/>
  <c r="H70" i="166"/>
  <c r="T69" i="166"/>
  <c r="T96" i="166" s="1"/>
  <c r="O69" i="166"/>
  <c r="N69" i="166"/>
  <c r="H69" i="166"/>
  <c r="O68" i="166"/>
  <c r="N68" i="166"/>
  <c r="H68" i="166"/>
  <c r="O67" i="166"/>
  <c r="N67" i="166"/>
  <c r="H67" i="166"/>
  <c r="O66" i="166"/>
  <c r="N66" i="166"/>
  <c r="H66" i="166"/>
  <c r="O65" i="166"/>
  <c r="N65" i="166"/>
  <c r="H65" i="166"/>
  <c r="O64" i="166"/>
  <c r="N64" i="166"/>
  <c r="H64" i="166"/>
  <c r="O63" i="166"/>
  <c r="N63" i="166"/>
  <c r="H63" i="166"/>
  <c r="O62" i="166"/>
  <c r="N62" i="166"/>
  <c r="H62" i="166"/>
  <c r="O61" i="166"/>
  <c r="N61" i="166"/>
  <c r="H61" i="166"/>
  <c r="O60" i="166"/>
  <c r="N60" i="166"/>
  <c r="H60" i="166"/>
  <c r="O59" i="166"/>
  <c r="N59" i="166"/>
  <c r="H59" i="166"/>
  <c r="O58" i="166"/>
  <c r="N58" i="166"/>
  <c r="H58" i="166"/>
  <c r="O57" i="166"/>
  <c r="N57" i="166"/>
  <c r="H57" i="166"/>
  <c r="O56" i="166"/>
  <c r="N56" i="166"/>
  <c r="H56" i="166"/>
  <c r="O55" i="166"/>
  <c r="N55" i="166"/>
  <c r="O54" i="166"/>
  <c r="N54" i="166"/>
  <c r="H54" i="166"/>
  <c r="O53" i="166"/>
  <c r="N53" i="166"/>
  <c r="H53" i="166"/>
  <c r="O52" i="166"/>
  <c r="N52" i="166"/>
  <c r="O51" i="166"/>
  <c r="N51" i="166"/>
  <c r="H51" i="166"/>
  <c r="O50" i="166"/>
  <c r="N50" i="166"/>
  <c r="H50" i="166"/>
  <c r="O49" i="166"/>
  <c r="N49" i="166"/>
  <c r="H49" i="166"/>
  <c r="O48" i="166"/>
  <c r="N48" i="166"/>
  <c r="H48" i="166"/>
  <c r="O47" i="166"/>
  <c r="N47" i="166"/>
  <c r="H47" i="166"/>
  <c r="O46" i="166"/>
  <c r="N46" i="166"/>
  <c r="H46" i="166"/>
  <c r="O45" i="166"/>
  <c r="N45" i="166"/>
  <c r="H45" i="166"/>
  <c r="O44" i="166"/>
  <c r="N44" i="166"/>
  <c r="H44" i="166"/>
  <c r="O43" i="166"/>
  <c r="N43" i="166"/>
  <c r="H43" i="166"/>
  <c r="O42" i="166"/>
  <c r="N42" i="166"/>
  <c r="H42" i="166"/>
  <c r="O41" i="166"/>
  <c r="N41" i="166"/>
  <c r="H41" i="166"/>
  <c r="O40" i="166"/>
  <c r="N40" i="166"/>
  <c r="H40" i="166"/>
  <c r="O39" i="166"/>
  <c r="N39" i="166"/>
  <c r="H39" i="166"/>
  <c r="O38" i="166"/>
  <c r="N38" i="166"/>
  <c r="H38" i="166"/>
  <c r="O37" i="166"/>
  <c r="N37" i="166"/>
  <c r="H37" i="166"/>
  <c r="O36" i="166"/>
  <c r="N36" i="166"/>
  <c r="O35" i="166"/>
  <c r="N35" i="166"/>
  <c r="H35" i="166"/>
  <c r="N34" i="166"/>
  <c r="H34" i="166"/>
  <c r="O33" i="166"/>
  <c r="N33" i="166"/>
  <c r="H33" i="166"/>
  <c r="O32" i="166"/>
  <c r="N32" i="166"/>
  <c r="O31" i="166"/>
  <c r="N31" i="166"/>
  <c r="N30" i="166"/>
  <c r="H30" i="166"/>
  <c r="N29" i="166"/>
  <c r="H29" i="166"/>
  <c r="N28" i="166"/>
  <c r="H28" i="166"/>
  <c r="O27" i="166"/>
  <c r="N27" i="166"/>
  <c r="H27" i="166"/>
  <c r="O26" i="166"/>
  <c r="N26" i="166"/>
  <c r="H26" i="166"/>
  <c r="O25" i="166"/>
  <c r="N25" i="166"/>
  <c r="H25" i="166"/>
  <c r="O24" i="166"/>
  <c r="N24" i="166"/>
  <c r="H24" i="166"/>
  <c r="O23" i="166"/>
  <c r="N23" i="166"/>
  <c r="H23" i="166"/>
  <c r="O22" i="166"/>
  <c r="N22" i="166"/>
  <c r="H22" i="166"/>
  <c r="O21" i="166"/>
  <c r="N21" i="166"/>
  <c r="H21" i="166"/>
  <c r="O20" i="166"/>
  <c r="N20" i="166"/>
  <c r="H20" i="166"/>
  <c r="O19" i="166"/>
  <c r="N19" i="166"/>
  <c r="H19" i="166"/>
  <c r="O18" i="166"/>
  <c r="N18" i="166"/>
  <c r="N17" i="166"/>
  <c r="O16" i="166"/>
  <c r="N16" i="166"/>
  <c r="O15" i="166"/>
  <c r="N15" i="166"/>
  <c r="H15" i="166"/>
  <c r="S14" i="166"/>
  <c r="O14" i="166"/>
  <c r="N14" i="166"/>
  <c r="O13" i="166"/>
  <c r="N13" i="166"/>
  <c r="H13" i="166"/>
  <c r="O12" i="166"/>
  <c r="N12" i="166"/>
  <c r="H12" i="166"/>
  <c r="O11" i="166"/>
  <c r="N11" i="166"/>
  <c r="H11" i="166"/>
  <c r="O10" i="166"/>
  <c r="N10" i="166"/>
  <c r="O9" i="166"/>
  <c r="N9" i="166"/>
  <c r="O8" i="166"/>
  <c r="N8" i="166"/>
  <c r="H8" i="166"/>
  <c r="O7" i="166"/>
  <c r="N7" i="166"/>
  <c r="H7" i="166"/>
  <c r="O6" i="166"/>
  <c r="N6" i="166"/>
  <c r="H6" i="166"/>
  <c r="O5" i="166"/>
  <c r="N5" i="166"/>
  <c r="O4" i="166"/>
  <c r="N4" i="166"/>
  <c r="O3" i="166"/>
  <c r="N3" i="166"/>
  <c r="H3" i="166"/>
  <c r="O2" i="166"/>
  <c r="O229" i="166" s="1"/>
  <c r="B230" i="166" s="1"/>
  <c r="B235" i="166" s="1"/>
  <c r="B241" i="166" s="1"/>
  <c r="B254" i="166" s="1"/>
  <c r="N2" i="166"/>
  <c r="N229" i="166" s="1"/>
  <c r="H2" i="166"/>
  <c r="H229" i="166" s="1"/>
  <c r="B269" i="165"/>
  <c r="B260" i="165"/>
  <c r="B259" i="165"/>
  <c r="B273" i="165" s="1"/>
  <c r="B252" i="165"/>
  <c r="B253" i="165" s="1"/>
  <c r="B250" i="165"/>
  <c r="B249" i="165"/>
  <c r="B248" i="165"/>
  <c r="B251" i="165" s="1"/>
  <c r="B244" i="165"/>
  <c r="B242" i="165"/>
  <c r="B238" i="165"/>
  <c r="B237" i="165"/>
  <c r="B236" i="165"/>
  <c r="B240" i="165" s="1"/>
  <c r="B233" i="165"/>
  <c r="B231" i="165"/>
  <c r="P229" i="165"/>
  <c r="K229" i="165"/>
  <c r="I229" i="165"/>
  <c r="N228" i="165"/>
  <c r="N227" i="165"/>
  <c r="N226" i="165"/>
  <c r="N225" i="165"/>
  <c r="N224" i="165"/>
  <c r="N223" i="165"/>
  <c r="N222" i="165"/>
  <c r="N221" i="165"/>
  <c r="N220" i="165"/>
  <c r="O219" i="165"/>
  <c r="N219" i="165"/>
  <c r="H219" i="165"/>
  <c r="O218" i="165"/>
  <c r="N218" i="165"/>
  <c r="H218" i="165"/>
  <c r="O217" i="165"/>
  <c r="N217" i="165"/>
  <c r="H217" i="165"/>
  <c r="O216" i="165"/>
  <c r="N216" i="165"/>
  <c r="H216" i="165"/>
  <c r="O215" i="165"/>
  <c r="N215" i="165"/>
  <c r="H215" i="165"/>
  <c r="O214" i="165"/>
  <c r="N214" i="165"/>
  <c r="H214" i="165"/>
  <c r="O213" i="165"/>
  <c r="N213" i="165"/>
  <c r="H213" i="165"/>
  <c r="O212" i="165"/>
  <c r="N212" i="165"/>
  <c r="H212" i="165"/>
  <c r="O211" i="165"/>
  <c r="N211" i="165"/>
  <c r="H211" i="165"/>
  <c r="O210" i="165"/>
  <c r="N210" i="165"/>
  <c r="H210" i="165"/>
  <c r="O209" i="165"/>
  <c r="N209" i="165"/>
  <c r="H209" i="165"/>
  <c r="O208" i="165"/>
  <c r="N208" i="165"/>
  <c r="H208" i="165"/>
  <c r="O207" i="165"/>
  <c r="N207" i="165"/>
  <c r="H207" i="165"/>
  <c r="O206" i="165"/>
  <c r="N206" i="165"/>
  <c r="H206" i="165"/>
  <c r="O205" i="165"/>
  <c r="N205" i="165"/>
  <c r="H205" i="165"/>
  <c r="O204" i="165"/>
  <c r="N204" i="165"/>
  <c r="H204" i="165"/>
  <c r="O203" i="165"/>
  <c r="N203" i="165"/>
  <c r="H203" i="165"/>
  <c r="O202" i="165"/>
  <c r="N202" i="165"/>
  <c r="H202" i="165"/>
  <c r="O201" i="165"/>
  <c r="N201" i="165"/>
  <c r="H201" i="165"/>
  <c r="O200" i="165"/>
  <c r="N200" i="165"/>
  <c r="H200" i="165"/>
  <c r="O199" i="165"/>
  <c r="N199" i="165"/>
  <c r="H199" i="165"/>
  <c r="O198" i="165"/>
  <c r="N198" i="165"/>
  <c r="H198" i="165"/>
  <c r="O197" i="165"/>
  <c r="N197" i="165"/>
  <c r="H197" i="165"/>
  <c r="O196" i="165"/>
  <c r="N196" i="165"/>
  <c r="H196" i="165"/>
  <c r="O195" i="165"/>
  <c r="N195" i="165"/>
  <c r="H195" i="165"/>
  <c r="O194" i="165"/>
  <c r="N194" i="165"/>
  <c r="H194" i="165"/>
  <c r="O193" i="165"/>
  <c r="N193" i="165"/>
  <c r="H193" i="165"/>
  <c r="O192" i="165"/>
  <c r="N192" i="165"/>
  <c r="O191" i="165"/>
  <c r="N191" i="165"/>
  <c r="H191" i="165"/>
  <c r="O190" i="165"/>
  <c r="N190" i="165"/>
  <c r="H190" i="165"/>
  <c r="O189" i="165"/>
  <c r="N189" i="165"/>
  <c r="H189" i="165"/>
  <c r="O188" i="165"/>
  <c r="N188" i="165"/>
  <c r="H188" i="165"/>
  <c r="O187" i="165"/>
  <c r="N187" i="165"/>
  <c r="H187" i="165"/>
  <c r="O186" i="165"/>
  <c r="N186" i="165"/>
  <c r="H186" i="165"/>
  <c r="O185" i="165"/>
  <c r="N185" i="165"/>
  <c r="H185" i="165"/>
  <c r="O184" i="165"/>
  <c r="N184" i="165"/>
  <c r="O183" i="165"/>
  <c r="N183" i="165"/>
  <c r="O182" i="165"/>
  <c r="N182" i="165"/>
  <c r="O181" i="165"/>
  <c r="N181" i="165"/>
  <c r="H181" i="165"/>
  <c r="O180" i="165"/>
  <c r="N180" i="165"/>
  <c r="H180" i="165"/>
  <c r="O179" i="165"/>
  <c r="N179" i="165"/>
  <c r="H179" i="165"/>
  <c r="O178" i="165"/>
  <c r="N178" i="165"/>
  <c r="H178" i="165"/>
  <c r="O177" i="165"/>
  <c r="N177" i="165"/>
  <c r="H177" i="165"/>
  <c r="O176" i="165"/>
  <c r="N176" i="165"/>
  <c r="H176" i="165"/>
  <c r="O175" i="165"/>
  <c r="N175" i="165"/>
  <c r="H175" i="165"/>
  <c r="O174" i="165"/>
  <c r="N174" i="165"/>
  <c r="H174" i="165"/>
  <c r="O173" i="165"/>
  <c r="N173" i="165"/>
  <c r="H173" i="165"/>
  <c r="O172" i="165"/>
  <c r="N172" i="165"/>
  <c r="H172" i="165"/>
  <c r="O171" i="165"/>
  <c r="N171" i="165"/>
  <c r="H171" i="165"/>
  <c r="O170" i="165"/>
  <c r="N170" i="165"/>
  <c r="O169" i="165"/>
  <c r="N169" i="165"/>
  <c r="H169" i="165"/>
  <c r="O168" i="165"/>
  <c r="N168" i="165"/>
  <c r="O167" i="165"/>
  <c r="N167" i="165"/>
  <c r="H167" i="165"/>
  <c r="O166" i="165"/>
  <c r="N166" i="165"/>
  <c r="H166" i="165"/>
  <c r="O165" i="165"/>
  <c r="N165" i="165"/>
  <c r="H165" i="165"/>
  <c r="O164" i="165"/>
  <c r="N164" i="165"/>
  <c r="H164" i="165"/>
  <c r="O163" i="165"/>
  <c r="N163" i="165"/>
  <c r="H163" i="165"/>
  <c r="O162" i="165"/>
  <c r="N162" i="165"/>
  <c r="H162" i="165"/>
  <c r="O161" i="165"/>
  <c r="N161" i="165"/>
  <c r="H161" i="165"/>
  <c r="N160" i="165"/>
  <c r="H160" i="165"/>
  <c r="O159" i="165"/>
  <c r="N159" i="165"/>
  <c r="N158" i="165"/>
  <c r="O157" i="165"/>
  <c r="N157" i="165"/>
  <c r="H157" i="165"/>
  <c r="O156" i="165"/>
  <c r="N156" i="165"/>
  <c r="H156" i="165"/>
  <c r="O155" i="165"/>
  <c r="N155" i="165"/>
  <c r="H155" i="165"/>
  <c r="O154" i="165"/>
  <c r="N154" i="165"/>
  <c r="H154" i="165"/>
  <c r="O153" i="165"/>
  <c r="N153" i="165"/>
  <c r="H153" i="165"/>
  <c r="O152" i="165"/>
  <c r="N152" i="165"/>
  <c r="H152" i="165"/>
  <c r="O151" i="165"/>
  <c r="N151" i="165"/>
  <c r="H151" i="165"/>
  <c r="O150" i="165"/>
  <c r="N150" i="165"/>
  <c r="H150" i="165"/>
  <c r="O149" i="165"/>
  <c r="N149" i="165"/>
  <c r="H149" i="165"/>
  <c r="O148" i="165"/>
  <c r="N148" i="165"/>
  <c r="H148" i="165"/>
  <c r="O147" i="165"/>
  <c r="N147" i="165"/>
  <c r="H147" i="165"/>
  <c r="O146" i="165"/>
  <c r="N146" i="165"/>
  <c r="H146" i="165"/>
  <c r="O145" i="165"/>
  <c r="N145" i="165"/>
  <c r="H145" i="165"/>
  <c r="O144" i="165"/>
  <c r="N144" i="165"/>
  <c r="H144" i="165"/>
  <c r="O143" i="165"/>
  <c r="N143" i="165"/>
  <c r="H143" i="165"/>
  <c r="O142" i="165"/>
  <c r="N142" i="165"/>
  <c r="H142" i="165"/>
  <c r="O141" i="165"/>
  <c r="N141" i="165"/>
  <c r="H141" i="165"/>
  <c r="O140" i="165"/>
  <c r="N140" i="165"/>
  <c r="H140" i="165"/>
  <c r="O139" i="165"/>
  <c r="N139" i="165"/>
  <c r="H139" i="165"/>
  <c r="O138" i="165"/>
  <c r="N138" i="165"/>
  <c r="H138" i="165"/>
  <c r="O137" i="165"/>
  <c r="N137" i="165"/>
  <c r="H137" i="165"/>
  <c r="O136" i="165"/>
  <c r="N136" i="165"/>
  <c r="H136" i="165"/>
  <c r="O135" i="165"/>
  <c r="N135" i="165"/>
  <c r="H135" i="165"/>
  <c r="O134" i="165"/>
  <c r="N134" i="165"/>
  <c r="H134" i="165"/>
  <c r="O133" i="165"/>
  <c r="N133" i="165"/>
  <c r="H133" i="165"/>
  <c r="O132" i="165"/>
  <c r="N132" i="165"/>
  <c r="H132" i="165"/>
  <c r="O131" i="165"/>
  <c r="N131" i="165"/>
  <c r="H131" i="165"/>
  <c r="O130" i="165"/>
  <c r="N130" i="165"/>
  <c r="H130" i="165"/>
  <c r="O129" i="165"/>
  <c r="N129" i="165"/>
  <c r="H129" i="165"/>
  <c r="O128" i="165"/>
  <c r="N128" i="165"/>
  <c r="H128" i="165"/>
  <c r="O127" i="165"/>
  <c r="N127" i="165"/>
  <c r="H127" i="165"/>
  <c r="O126" i="165"/>
  <c r="N126" i="165"/>
  <c r="H126" i="165"/>
  <c r="O125" i="165"/>
  <c r="N125" i="165"/>
  <c r="H125" i="165"/>
  <c r="O124" i="165"/>
  <c r="N124" i="165"/>
  <c r="H124" i="165"/>
  <c r="O123" i="165"/>
  <c r="N123" i="165"/>
  <c r="H123" i="165"/>
  <c r="O122" i="165"/>
  <c r="N122" i="165"/>
  <c r="H122" i="165"/>
  <c r="O121" i="165"/>
  <c r="N121" i="165"/>
  <c r="H121" i="165"/>
  <c r="O120" i="165"/>
  <c r="N120" i="165"/>
  <c r="H120" i="165"/>
  <c r="O119" i="165"/>
  <c r="N119" i="165"/>
  <c r="H119" i="165"/>
  <c r="O118" i="165"/>
  <c r="N118" i="165"/>
  <c r="H118" i="165"/>
  <c r="O117" i="165"/>
  <c r="N117" i="165"/>
  <c r="H117" i="165"/>
  <c r="O116" i="165"/>
  <c r="N116" i="165"/>
  <c r="H116" i="165"/>
  <c r="O115" i="165"/>
  <c r="N115" i="165"/>
  <c r="H115" i="165"/>
  <c r="O114" i="165"/>
  <c r="N114" i="165"/>
  <c r="H114" i="165"/>
  <c r="O113" i="165"/>
  <c r="N113" i="165"/>
  <c r="H113" i="165"/>
  <c r="O112" i="165"/>
  <c r="N112" i="165"/>
  <c r="H112" i="165"/>
  <c r="O111" i="165"/>
  <c r="N111" i="165"/>
  <c r="H111" i="165"/>
  <c r="O110" i="165"/>
  <c r="N110" i="165"/>
  <c r="H110" i="165"/>
  <c r="O109" i="165"/>
  <c r="N109" i="165"/>
  <c r="H109" i="165"/>
  <c r="O108" i="165"/>
  <c r="N108" i="165"/>
  <c r="H108" i="165"/>
  <c r="O107" i="165"/>
  <c r="N107" i="165"/>
  <c r="H107" i="165"/>
  <c r="O106" i="165"/>
  <c r="N106" i="165"/>
  <c r="H106" i="165"/>
  <c r="O105" i="165"/>
  <c r="N105" i="165"/>
  <c r="H105" i="165"/>
  <c r="O104" i="165"/>
  <c r="N104" i="165"/>
  <c r="H104" i="165"/>
  <c r="O103" i="165"/>
  <c r="N103" i="165"/>
  <c r="H103" i="165"/>
  <c r="O102" i="165"/>
  <c r="N102" i="165"/>
  <c r="H102" i="165"/>
  <c r="O101" i="165"/>
  <c r="N101" i="165"/>
  <c r="H101" i="165"/>
  <c r="O100" i="165"/>
  <c r="N100" i="165"/>
  <c r="H100" i="165"/>
  <c r="O99" i="165"/>
  <c r="N99" i="165"/>
  <c r="H99" i="165"/>
  <c r="O98" i="165"/>
  <c r="N98" i="165"/>
  <c r="H98" i="165"/>
  <c r="O97" i="165"/>
  <c r="N97" i="165"/>
  <c r="H97" i="165"/>
  <c r="O96" i="165"/>
  <c r="N96" i="165"/>
  <c r="H96" i="165"/>
  <c r="O95" i="165"/>
  <c r="N95" i="165"/>
  <c r="H95" i="165"/>
  <c r="O94" i="165"/>
  <c r="N94" i="165"/>
  <c r="H94" i="165"/>
  <c r="O93" i="165"/>
  <c r="N93" i="165"/>
  <c r="H93" i="165"/>
  <c r="N92" i="165"/>
  <c r="H92" i="165"/>
  <c r="N91" i="165"/>
  <c r="H91" i="165"/>
  <c r="N90" i="165"/>
  <c r="H90" i="165"/>
  <c r="O89" i="165"/>
  <c r="N89" i="165"/>
  <c r="H89" i="165"/>
  <c r="O88" i="165"/>
  <c r="N88" i="165"/>
  <c r="H88" i="165"/>
  <c r="O87" i="165"/>
  <c r="N87" i="165"/>
  <c r="H87" i="165"/>
  <c r="O86" i="165"/>
  <c r="N86" i="165"/>
  <c r="H86" i="165"/>
  <c r="O85" i="165"/>
  <c r="N85" i="165"/>
  <c r="H85" i="165"/>
  <c r="O84" i="165"/>
  <c r="N84" i="165"/>
  <c r="H84" i="165"/>
  <c r="O83" i="165"/>
  <c r="N83" i="165"/>
  <c r="H83" i="165"/>
  <c r="O82" i="165"/>
  <c r="N82" i="165"/>
  <c r="O81" i="165"/>
  <c r="N81" i="165"/>
  <c r="O80" i="165"/>
  <c r="N80" i="165"/>
  <c r="H80" i="165"/>
  <c r="O79" i="165"/>
  <c r="N79" i="165"/>
  <c r="H79" i="165"/>
  <c r="O78" i="165"/>
  <c r="N78" i="165"/>
  <c r="O77" i="165"/>
  <c r="N77" i="165"/>
  <c r="H77" i="165"/>
  <c r="O76" i="165"/>
  <c r="N76" i="165"/>
  <c r="H76" i="165"/>
  <c r="O75" i="165"/>
  <c r="N75" i="165"/>
  <c r="H75" i="165"/>
  <c r="O74" i="165"/>
  <c r="N74" i="165"/>
  <c r="H74" i="165"/>
  <c r="O73" i="165"/>
  <c r="N73" i="165"/>
  <c r="H73" i="165"/>
  <c r="O72" i="165"/>
  <c r="N72" i="165"/>
  <c r="H72" i="165"/>
  <c r="O71" i="165"/>
  <c r="N71" i="165"/>
  <c r="H71" i="165"/>
  <c r="O70" i="165"/>
  <c r="N70" i="165"/>
  <c r="H70" i="165"/>
  <c r="T69" i="165"/>
  <c r="T96" i="165" s="1"/>
  <c r="O69" i="165"/>
  <c r="N69" i="165"/>
  <c r="H69" i="165"/>
  <c r="O68" i="165"/>
  <c r="N68" i="165"/>
  <c r="H68" i="165"/>
  <c r="O67" i="165"/>
  <c r="N67" i="165"/>
  <c r="H67" i="165"/>
  <c r="O66" i="165"/>
  <c r="N66" i="165"/>
  <c r="H66" i="165"/>
  <c r="O65" i="165"/>
  <c r="N65" i="165"/>
  <c r="H65" i="165"/>
  <c r="O64" i="165"/>
  <c r="N64" i="165"/>
  <c r="H64" i="165"/>
  <c r="O63" i="165"/>
  <c r="N63" i="165"/>
  <c r="H63" i="165"/>
  <c r="O62" i="165"/>
  <c r="N62" i="165"/>
  <c r="H62" i="165"/>
  <c r="O61" i="165"/>
  <c r="N61" i="165"/>
  <c r="H61" i="165"/>
  <c r="O60" i="165"/>
  <c r="N60" i="165"/>
  <c r="H60" i="165"/>
  <c r="O59" i="165"/>
  <c r="N59" i="165"/>
  <c r="H59" i="165"/>
  <c r="O58" i="165"/>
  <c r="N58" i="165"/>
  <c r="H58" i="165"/>
  <c r="O57" i="165"/>
  <c r="N57" i="165"/>
  <c r="H57" i="165"/>
  <c r="O56" i="165"/>
  <c r="N56" i="165"/>
  <c r="H56" i="165"/>
  <c r="O55" i="165"/>
  <c r="N55" i="165"/>
  <c r="O54" i="165"/>
  <c r="N54" i="165"/>
  <c r="H54" i="165"/>
  <c r="O53" i="165"/>
  <c r="N53" i="165"/>
  <c r="H53" i="165"/>
  <c r="O52" i="165"/>
  <c r="N52" i="165"/>
  <c r="O51" i="165"/>
  <c r="N51" i="165"/>
  <c r="H51" i="165"/>
  <c r="O50" i="165"/>
  <c r="N50" i="165"/>
  <c r="H50" i="165"/>
  <c r="O49" i="165"/>
  <c r="N49" i="165"/>
  <c r="H49" i="165"/>
  <c r="O48" i="165"/>
  <c r="N48" i="165"/>
  <c r="H48" i="165"/>
  <c r="O47" i="165"/>
  <c r="N47" i="165"/>
  <c r="H47" i="165"/>
  <c r="O46" i="165"/>
  <c r="N46" i="165"/>
  <c r="H46" i="165"/>
  <c r="O45" i="165"/>
  <c r="N45" i="165"/>
  <c r="H45" i="165"/>
  <c r="O44" i="165"/>
  <c r="N44" i="165"/>
  <c r="H44" i="165"/>
  <c r="O43" i="165"/>
  <c r="N43" i="165"/>
  <c r="H43" i="165"/>
  <c r="O42" i="165"/>
  <c r="N42" i="165"/>
  <c r="H42" i="165"/>
  <c r="O41" i="165"/>
  <c r="N41" i="165"/>
  <c r="H41" i="165"/>
  <c r="O40" i="165"/>
  <c r="N40" i="165"/>
  <c r="H40" i="165"/>
  <c r="O39" i="165"/>
  <c r="N39" i="165"/>
  <c r="H39" i="165"/>
  <c r="O38" i="165"/>
  <c r="N38" i="165"/>
  <c r="H38" i="165"/>
  <c r="O37" i="165"/>
  <c r="N37" i="165"/>
  <c r="H37" i="165"/>
  <c r="O36" i="165"/>
  <c r="N36" i="165"/>
  <c r="O35" i="165"/>
  <c r="N35" i="165"/>
  <c r="H35" i="165"/>
  <c r="N34" i="165"/>
  <c r="H34" i="165"/>
  <c r="O33" i="165"/>
  <c r="N33" i="165"/>
  <c r="H33" i="165"/>
  <c r="O32" i="165"/>
  <c r="N32" i="165"/>
  <c r="O31" i="165"/>
  <c r="N31" i="165"/>
  <c r="N30" i="165"/>
  <c r="H30" i="165"/>
  <c r="N29" i="165"/>
  <c r="H29" i="165"/>
  <c r="N28" i="165"/>
  <c r="H28" i="165"/>
  <c r="O27" i="165"/>
  <c r="N27" i="165"/>
  <c r="H27" i="165"/>
  <c r="O26" i="165"/>
  <c r="N26" i="165"/>
  <c r="H26" i="165"/>
  <c r="O25" i="165"/>
  <c r="N25" i="165"/>
  <c r="H25" i="165"/>
  <c r="O24" i="165"/>
  <c r="N24" i="165"/>
  <c r="H24" i="165"/>
  <c r="O23" i="165"/>
  <c r="N23" i="165"/>
  <c r="H23" i="165"/>
  <c r="O22" i="165"/>
  <c r="N22" i="165"/>
  <c r="H22" i="165"/>
  <c r="O21" i="165"/>
  <c r="N21" i="165"/>
  <c r="H21" i="165"/>
  <c r="O20" i="165"/>
  <c r="N20" i="165"/>
  <c r="H20" i="165"/>
  <c r="O19" i="165"/>
  <c r="N19" i="165"/>
  <c r="H19" i="165"/>
  <c r="O18" i="165"/>
  <c r="N18" i="165"/>
  <c r="N17" i="165"/>
  <c r="O16" i="165"/>
  <c r="N16" i="165"/>
  <c r="O15" i="165"/>
  <c r="N15" i="165"/>
  <c r="H15" i="165"/>
  <c r="S14" i="165"/>
  <c r="O14" i="165"/>
  <c r="N14" i="165"/>
  <c r="O13" i="165"/>
  <c r="N13" i="165"/>
  <c r="H13" i="165"/>
  <c r="O12" i="165"/>
  <c r="N12" i="165"/>
  <c r="H12" i="165"/>
  <c r="O11" i="165"/>
  <c r="N11" i="165"/>
  <c r="H11" i="165"/>
  <c r="O10" i="165"/>
  <c r="N10" i="165"/>
  <c r="O9" i="165"/>
  <c r="N9" i="165"/>
  <c r="O8" i="165"/>
  <c r="N8" i="165"/>
  <c r="H8" i="165"/>
  <c r="O7" i="165"/>
  <c r="N7" i="165"/>
  <c r="H7" i="165"/>
  <c r="O6" i="165"/>
  <c r="N6" i="165"/>
  <c r="H6" i="165"/>
  <c r="O5" i="165"/>
  <c r="N5" i="165"/>
  <c r="H5" i="165"/>
  <c r="O4" i="165"/>
  <c r="N4" i="165"/>
  <c r="O3" i="165"/>
  <c r="N3" i="165"/>
  <c r="H3" i="165"/>
  <c r="O2" i="165"/>
  <c r="O229" i="165" s="1"/>
  <c r="B230" i="165" s="1"/>
  <c r="B235" i="165" s="1"/>
  <c r="B241" i="165" s="1"/>
  <c r="N2" i="165"/>
  <c r="N229" i="165" s="1"/>
  <c r="H2" i="165"/>
  <c r="H229" i="165" s="1"/>
  <c r="H213" i="164"/>
  <c r="H214" i="164"/>
  <c r="N30" i="164"/>
  <c r="H30" i="164"/>
  <c r="O27" i="164"/>
  <c r="B269" i="164"/>
  <c r="B260" i="164"/>
  <c r="B259" i="164"/>
  <c r="B273" i="164" s="1"/>
  <c r="B252" i="164"/>
  <c r="B253" i="164" s="1"/>
  <c r="B250" i="164"/>
  <c r="B249" i="164"/>
  <c r="B248" i="164"/>
  <c r="B251" i="164" s="1"/>
  <c r="B244" i="164"/>
  <c r="B242" i="164"/>
  <c r="B245" i="164" s="1"/>
  <c r="B238" i="164"/>
  <c r="B237" i="164"/>
  <c r="B236" i="164"/>
  <c r="B240" i="164" s="1"/>
  <c r="B233" i="164"/>
  <c r="B231" i="164"/>
  <c r="P229" i="164"/>
  <c r="K229" i="164"/>
  <c r="I229" i="164"/>
  <c r="N228" i="164"/>
  <c r="N227" i="164"/>
  <c r="N226" i="164"/>
  <c r="N225" i="164"/>
  <c r="N224" i="164"/>
  <c r="N223" i="164"/>
  <c r="N222" i="164"/>
  <c r="N221" i="164"/>
  <c r="N220" i="164"/>
  <c r="O219" i="164"/>
  <c r="N219" i="164"/>
  <c r="H219" i="164"/>
  <c r="O218" i="164"/>
  <c r="N218" i="164"/>
  <c r="H218" i="164"/>
  <c r="O217" i="164"/>
  <c r="N217" i="164"/>
  <c r="H217" i="164"/>
  <c r="O216" i="164"/>
  <c r="N216" i="164"/>
  <c r="H216" i="164"/>
  <c r="O215" i="164"/>
  <c r="N215" i="164"/>
  <c r="H215" i="164"/>
  <c r="O214" i="164"/>
  <c r="N214" i="164"/>
  <c r="O213" i="164"/>
  <c r="N213" i="164"/>
  <c r="O212" i="164"/>
  <c r="N212" i="164"/>
  <c r="H212" i="164"/>
  <c r="O211" i="164"/>
  <c r="N211" i="164"/>
  <c r="H211" i="164"/>
  <c r="O210" i="164"/>
  <c r="N210" i="164"/>
  <c r="H210" i="164"/>
  <c r="O209" i="164"/>
  <c r="N209" i="164"/>
  <c r="H209" i="164"/>
  <c r="O208" i="164"/>
  <c r="N208" i="164"/>
  <c r="H208" i="164"/>
  <c r="O207" i="164"/>
  <c r="N207" i="164"/>
  <c r="H207" i="164"/>
  <c r="O206" i="164"/>
  <c r="N206" i="164"/>
  <c r="H206" i="164"/>
  <c r="O205" i="164"/>
  <c r="N205" i="164"/>
  <c r="H205" i="164"/>
  <c r="O204" i="164"/>
  <c r="N204" i="164"/>
  <c r="H204" i="164"/>
  <c r="O203" i="164"/>
  <c r="N203" i="164"/>
  <c r="H203" i="164"/>
  <c r="O202" i="164"/>
  <c r="N202" i="164"/>
  <c r="H202" i="164"/>
  <c r="O201" i="164"/>
  <c r="N201" i="164"/>
  <c r="H201" i="164"/>
  <c r="O200" i="164"/>
  <c r="N200" i="164"/>
  <c r="H200" i="164"/>
  <c r="O199" i="164"/>
  <c r="N199" i="164"/>
  <c r="H199" i="164"/>
  <c r="O198" i="164"/>
  <c r="N198" i="164"/>
  <c r="H198" i="164"/>
  <c r="O197" i="164"/>
  <c r="N197" i="164"/>
  <c r="H197" i="164"/>
  <c r="O196" i="164"/>
  <c r="N196" i="164"/>
  <c r="H196" i="164"/>
  <c r="O195" i="164"/>
  <c r="N195" i="164"/>
  <c r="H195" i="164"/>
  <c r="O194" i="164"/>
  <c r="N194" i="164"/>
  <c r="H194" i="164"/>
  <c r="O193" i="164"/>
  <c r="N193" i="164"/>
  <c r="H193" i="164"/>
  <c r="O192" i="164"/>
  <c r="N192" i="164"/>
  <c r="O191" i="164"/>
  <c r="N191" i="164"/>
  <c r="H191" i="164"/>
  <c r="O190" i="164"/>
  <c r="N190" i="164"/>
  <c r="H190" i="164"/>
  <c r="O189" i="164"/>
  <c r="N189" i="164"/>
  <c r="H189" i="164"/>
  <c r="O188" i="164"/>
  <c r="N188" i="164"/>
  <c r="H188" i="164"/>
  <c r="O187" i="164"/>
  <c r="N187" i="164"/>
  <c r="H187" i="164"/>
  <c r="O186" i="164"/>
  <c r="N186" i="164"/>
  <c r="H186" i="164"/>
  <c r="O185" i="164"/>
  <c r="N185" i="164"/>
  <c r="H185" i="164"/>
  <c r="O184" i="164"/>
  <c r="N184" i="164"/>
  <c r="O183" i="164"/>
  <c r="N183" i="164"/>
  <c r="O182" i="164"/>
  <c r="N182" i="164"/>
  <c r="O181" i="164"/>
  <c r="N181" i="164"/>
  <c r="H181" i="164"/>
  <c r="O180" i="164"/>
  <c r="N180" i="164"/>
  <c r="H180" i="164"/>
  <c r="O179" i="164"/>
  <c r="N179" i="164"/>
  <c r="H179" i="164"/>
  <c r="O178" i="164"/>
  <c r="N178" i="164"/>
  <c r="H178" i="164"/>
  <c r="O177" i="164"/>
  <c r="N177" i="164"/>
  <c r="H177" i="164"/>
  <c r="O176" i="164"/>
  <c r="N176" i="164"/>
  <c r="H176" i="164"/>
  <c r="O175" i="164"/>
  <c r="N175" i="164"/>
  <c r="H175" i="164"/>
  <c r="O174" i="164"/>
  <c r="N174" i="164"/>
  <c r="H174" i="164"/>
  <c r="O173" i="164"/>
  <c r="N173" i="164"/>
  <c r="H173" i="164"/>
  <c r="O172" i="164"/>
  <c r="N172" i="164"/>
  <c r="H172" i="164"/>
  <c r="O171" i="164"/>
  <c r="N171" i="164"/>
  <c r="H171" i="164"/>
  <c r="O170" i="164"/>
  <c r="N170" i="164"/>
  <c r="O169" i="164"/>
  <c r="N169" i="164"/>
  <c r="H169" i="164"/>
  <c r="O168" i="164"/>
  <c r="N168" i="164"/>
  <c r="O167" i="164"/>
  <c r="N167" i="164"/>
  <c r="H167" i="164"/>
  <c r="O166" i="164"/>
  <c r="N166" i="164"/>
  <c r="H166" i="164"/>
  <c r="O165" i="164"/>
  <c r="N165" i="164"/>
  <c r="H165" i="164"/>
  <c r="O164" i="164"/>
  <c r="N164" i="164"/>
  <c r="H164" i="164"/>
  <c r="O163" i="164"/>
  <c r="N163" i="164"/>
  <c r="H163" i="164"/>
  <c r="O162" i="164"/>
  <c r="N162" i="164"/>
  <c r="H162" i="164"/>
  <c r="O161" i="164"/>
  <c r="N161" i="164"/>
  <c r="H161" i="164"/>
  <c r="N160" i="164"/>
  <c r="H160" i="164"/>
  <c r="O159" i="164"/>
  <c r="N159" i="164"/>
  <c r="N158" i="164"/>
  <c r="O157" i="164"/>
  <c r="N157" i="164"/>
  <c r="H157" i="164"/>
  <c r="O156" i="164"/>
  <c r="N156" i="164"/>
  <c r="H156" i="164"/>
  <c r="O155" i="164"/>
  <c r="N155" i="164"/>
  <c r="H155" i="164"/>
  <c r="O154" i="164"/>
  <c r="N154" i="164"/>
  <c r="H154" i="164"/>
  <c r="O153" i="164"/>
  <c r="N153" i="164"/>
  <c r="H153" i="164"/>
  <c r="O152" i="164"/>
  <c r="N152" i="164"/>
  <c r="H152" i="164"/>
  <c r="O151" i="164"/>
  <c r="N151" i="164"/>
  <c r="H151" i="164"/>
  <c r="O150" i="164"/>
  <c r="N150" i="164"/>
  <c r="H150" i="164"/>
  <c r="O149" i="164"/>
  <c r="N149" i="164"/>
  <c r="H149" i="164"/>
  <c r="O148" i="164"/>
  <c r="N148" i="164"/>
  <c r="H148" i="164"/>
  <c r="O147" i="164"/>
  <c r="N147" i="164"/>
  <c r="H147" i="164"/>
  <c r="O146" i="164"/>
  <c r="N146" i="164"/>
  <c r="H146" i="164"/>
  <c r="O145" i="164"/>
  <c r="N145" i="164"/>
  <c r="H145" i="164"/>
  <c r="O144" i="164"/>
  <c r="N144" i="164"/>
  <c r="H144" i="164"/>
  <c r="O143" i="164"/>
  <c r="N143" i="164"/>
  <c r="H143" i="164"/>
  <c r="O142" i="164"/>
  <c r="N142" i="164"/>
  <c r="H142" i="164"/>
  <c r="O141" i="164"/>
  <c r="N141" i="164"/>
  <c r="H141" i="164"/>
  <c r="O140" i="164"/>
  <c r="N140" i="164"/>
  <c r="H140" i="164"/>
  <c r="O139" i="164"/>
  <c r="N139" i="164"/>
  <c r="H139" i="164"/>
  <c r="O138" i="164"/>
  <c r="N138" i="164"/>
  <c r="H138" i="164"/>
  <c r="O137" i="164"/>
  <c r="N137" i="164"/>
  <c r="H137" i="164"/>
  <c r="O136" i="164"/>
  <c r="N136" i="164"/>
  <c r="H136" i="164"/>
  <c r="O135" i="164"/>
  <c r="N135" i="164"/>
  <c r="H135" i="164"/>
  <c r="O134" i="164"/>
  <c r="N134" i="164"/>
  <c r="H134" i="164"/>
  <c r="O133" i="164"/>
  <c r="N133" i="164"/>
  <c r="H133" i="164"/>
  <c r="O132" i="164"/>
  <c r="N132" i="164"/>
  <c r="H132" i="164"/>
  <c r="O131" i="164"/>
  <c r="N131" i="164"/>
  <c r="H131" i="164"/>
  <c r="O130" i="164"/>
  <c r="N130" i="164"/>
  <c r="H130" i="164"/>
  <c r="O129" i="164"/>
  <c r="N129" i="164"/>
  <c r="H129" i="164"/>
  <c r="O128" i="164"/>
  <c r="N128" i="164"/>
  <c r="H128" i="164"/>
  <c r="O127" i="164"/>
  <c r="N127" i="164"/>
  <c r="H127" i="164"/>
  <c r="O126" i="164"/>
  <c r="N126" i="164"/>
  <c r="H126" i="164"/>
  <c r="O125" i="164"/>
  <c r="N125" i="164"/>
  <c r="H125" i="164"/>
  <c r="O124" i="164"/>
  <c r="N124" i="164"/>
  <c r="H124" i="164"/>
  <c r="O123" i="164"/>
  <c r="N123" i="164"/>
  <c r="H123" i="164"/>
  <c r="O122" i="164"/>
  <c r="N122" i="164"/>
  <c r="H122" i="164"/>
  <c r="O121" i="164"/>
  <c r="N121" i="164"/>
  <c r="H121" i="164"/>
  <c r="O120" i="164"/>
  <c r="N120" i="164"/>
  <c r="H120" i="164"/>
  <c r="O119" i="164"/>
  <c r="N119" i="164"/>
  <c r="H119" i="164"/>
  <c r="O118" i="164"/>
  <c r="N118" i="164"/>
  <c r="H118" i="164"/>
  <c r="O117" i="164"/>
  <c r="N117" i="164"/>
  <c r="H117" i="164"/>
  <c r="O116" i="164"/>
  <c r="N116" i="164"/>
  <c r="H116" i="164"/>
  <c r="O115" i="164"/>
  <c r="N115" i="164"/>
  <c r="H115" i="164"/>
  <c r="O114" i="164"/>
  <c r="N114" i="164"/>
  <c r="H114" i="164"/>
  <c r="O113" i="164"/>
  <c r="N113" i="164"/>
  <c r="H113" i="164"/>
  <c r="O112" i="164"/>
  <c r="N112" i="164"/>
  <c r="H112" i="164"/>
  <c r="O111" i="164"/>
  <c r="N111" i="164"/>
  <c r="H111" i="164"/>
  <c r="O110" i="164"/>
  <c r="N110" i="164"/>
  <c r="H110" i="164"/>
  <c r="O109" i="164"/>
  <c r="N109" i="164"/>
  <c r="H109" i="164"/>
  <c r="O108" i="164"/>
  <c r="N108" i="164"/>
  <c r="H108" i="164"/>
  <c r="O107" i="164"/>
  <c r="N107" i="164"/>
  <c r="H107" i="164"/>
  <c r="O106" i="164"/>
  <c r="N106" i="164"/>
  <c r="H106" i="164"/>
  <c r="O105" i="164"/>
  <c r="N105" i="164"/>
  <c r="H105" i="164"/>
  <c r="O104" i="164"/>
  <c r="N104" i="164"/>
  <c r="H104" i="164"/>
  <c r="O103" i="164"/>
  <c r="N103" i="164"/>
  <c r="H103" i="164"/>
  <c r="O102" i="164"/>
  <c r="N102" i="164"/>
  <c r="H102" i="164"/>
  <c r="O101" i="164"/>
  <c r="N101" i="164"/>
  <c r="H101" i="164"/>
  <c r="O100" i="164"/>
  <c r="N100" i="164"/>
  <c r="H100" i="164"/>
  <c r="O99" i="164"/>
  <c r="N99" i="164"/>
  <c r="H99" i="164"/>
  <c r="O98" i="164"/>
  <c r="N98" i="164"/>
  <c r="H98" i="164"/>
  <c r="O97" i="164"/>
  <c r="N97" i="164"/>
  <c r="H97" i="164"/>
  <c r="O96" i="164"/>
  <c r="N96" i="164"/>
  <c r="H96" i="164"/>
  <c r="O95" i="164"/>
  <c r="N95" i="164"/>
  <c r="H95" i="164"/>
  <c r="O94" i="164"/>
  <c r="N94" i="164"/>
  <c r="H94" i="164"/>
  <c r="O93" i="164"/>
  <c r="N93" i="164"/>
  <c r="H93" i="164"/>
  <c r="N92" i="164"/>
  <c r="H92" i="164"/>
  <c r="N91" i="164"/>
  <c r="H91" i="164"/>
  <c r="N90" i="164"/>
  <c r="H90" i="164"/>
  <c r="O89" i="164"/>
  <c r="N89" i="164"/>
  <c r="H89" i="164"/>
  <c r="O88" i="164"/>
  <c r="N88" i="164"/>
  <c r="H88" i="164"/>
  <c r="O87" i="164"/>
  <c r="N87" i="164"/>
  <c r="H87" i="164"/>
  <c r="O86" i="164"/>
  <c r="N86" i="164"/>
  <c r="H86" i="164"/>
  <c r="O85" i="164"/>
  <c r="N85" i="164"/>
  <c r="H85" i="164"/>
  <c r="O84" i="164"/>
  <c r="N84" i="164"/>
  <c r="H84" i="164"/>
  <c r="O83" i="164"/>
  <c r="N83" i="164"/>
  <c r="H83" i="164"/>
  <c r="O82" i="164"/>
  <c r="N82" i="164"/>
  <c r="O81" i="164"/>
  <c r="N81" i="164"/>
  <c r="O80" i="164"/>
  <c r="N80" i="164"/>
  <c r="H80" i="164"/>
  <c r="O79" i="164"/>
  <c r="N79" i="164"/>
  <c r="H79" i="164"/>
  <c r="O78" i="164"/>
  <c r="N78" i="164"/>
  <c r="H78" i="164"/>
  <c r="O77" i="164"/>
  <c r="N77" i="164"/>
  <c r="H77" i="164"/>
  <c r="O76" i="164"/>
  <c r="N76" i="164"/>
  <c r="H76" i="164"/>
  <c r="O75" i="164"/>
  <c r="N75" i="164"/>
  <c r="H75" i="164"/>
  <c r="O74" i="164"/>
  <c r="N74" i="164"/>
  <c r="H74" i="164"/>
  <c r="O73" i="164"/>
  <c r="N73" i="164"/>
  <c r="H73" i="164"/>
  <c r="O72" i="164"/>
  <c r="N72" i="164"/>
  <c r="H72" i="164"/>
  <c r="O71" i="164"/>
  <c r="N71" i="164"/>
  <c r="H71" i="164"/>
  <c r="O70" i="164"/>
  <c r="N70" i="164"/>
  <c r="H70" i="164"/>
  <c r="T69" i="164"/>
  <c r="T96" i="164" s="1"/>
  <c r="O69" i="164"/>
  <c r="N69" i="164"/>
  <c r="H69" i="164"/>
  <c r="O68" i="164"/>
  <c r="N68" i="164"/>
  <c r="H68" i="164"/>
  <c r="O67" i="164"/>
  <c r="N67" i="164"/>
  <c r="H67" i="164"/>
  <c r="O66" i="164"/>
  <c r="N66" i="164"/>
  <c r="H66" i="164"/>
  <c r="O65" i="164"/>
  <c r="N65" i="164"/>
  <c r="H65" i="164"/>
  <c r="O64" i="164"/>
  <c r="N64" i="164"/>
  <c r="H64" i="164"/>
  <c r="O63" i="164"/>
  <c r="N63" i="164"/>
  <c r="H63" i="164"/>
  <c r="O62" i="164"/>
  <c r="N62" i="164"/>
  <c r="H62" i="164"/>
  <c r="O61" i="164"/>
  <c r="N61" i="164"/>
  <c r="H61" i="164"/>
  <c r="O60" i="164"/>
  <c r="N60" i="164"/>
  <c r="H60" i="164"/>
  <c r="O59" i="164"/>
  <c r="N59" i="164"/>
  <c r="H59" i="164"/>
  <c r="O58" i="164"/>
  <c r="N58" i="164"/>
  <c r="H58" i="164"/>
  <c r="O57" i="164"/>
  <c r="N57" i="164"/>
  <c r="H57" i="164"/>
  <c r="O56" i="164"/>
  <c r="N56" i="164"/>
  <c r="H56" i="164"/>
  <c r="O55" i="164"/>
  <c r="N55" i="164"/>
  <c r="O54" i="164"/>
  <c r="N54" i="164"/>
  <c r="H54" i="164"/>
  <c r="O53" i="164"/>
  <c r="N53" i="164"/>
  <c r="H53" i="164"/>
  <c r="O52" i="164"/>
  <c r="N52" i="164"/>
  <c r="O51" i="164"/>
  <c r="N51" i="164"/>
  <c r="H51" i="164"/>
  <c r="O50" i="164"/>
  <c r="N50" i="164"/>
  <c r="H50" i="164"/>
  <c r="O49" i="164"/>
  <c r="N49" i="164"/>
  <c r="H49" i="164"/>
  <c r="O48" i="164"/>
  <c r="N48" i="164"/>
  <c r="H48" i="164"/>
  <c r="O47" i="164"/>
  <c r="N47" i="164"/>
  <c r="H47" i="164"/>
  <c r="O46" i="164"/>
  <c r="N46" i="164"/>
  <c r="H46" i="164"/>
  <c r="O45" i="164"/>
  <c r="N45" i="164"/>
  <c r="H45" i="164"/>
  <c r="O44" i="164"/>
  <c r="N44" i="164"/>
  <c r="H44" i="164"/>
  <c r="O43" i="164"/>
  <c r="N43" i="164"/>
  <c r="H43" i="164"/>
  <c r="O42" i="164"/>
  <c r="N42" i="164"/>
  <c r="H42" i="164"/>
  <c r="O41" i="164"/>
  <c r="N41" i="164"/>
  <c r="H41" i="164"/>
  <c r="O40" i="164"/>
  <c r="N40" i="164"/>
  <c r="H40" i="164"/>
  <c r="O39" i="164"/>
  <c r="N39" i="164"/>
  <c r="H39" i="164"/>
  <c r="O38" i="164"/>
  <c r="N38" i="164"/>
  <c r="H38" i="164"/>
  <c r="O37" i="164"/>
  <c r="N37" i="164"/>
  <c r="H37" i="164"/>
  <c r="O36" i="164"/>
  <c r="N36" i="164"/>
  <c r="O35" i="164"/>
  <c r="N35" i="164"/>
  <c r="H35" i="164"/>
  <c r="N34" i="164"/>
  <c r="H34" i="164"/>
  <c r="O33" i="164"/>
  <c r="N33" i="164"/>
  <c r="H33" i="164"/>
  <c r="O32" i="164"/>
  <c r="N32" i="164"/>
  <c r="O31" i="164"/>
  <c r="N31" i="164"/>
  <c r="N29" i="164"/>
  <c r="H29" i="164"/>
  <c r="N28" i="164"/>
  <c r="H28" i="164"/>
  <c r="N27" i="164"/>
  <c r="H27" i="164"/>
  <c r="O26" i="164"/>
  <c r="N26" i="164"/>
  <c r="H26" i="164"/>
  <c r="O25" i="164"/>
  <c r="N25" i="164"/>
  <c r="H25" i="164"/>
  <c r="O24" i="164"/>
  <c r="N24" i="164"/>
  <c r="H24" i="164"/>
  <c r="O23" i="164"/>
  <c r="N23" i="164"/>
  <c r="H23" i="164"/>
  <c r="O22" i="164"/>
  <c r="N22" i="164"/>
  <c r="H22" i="164"/>
  <c r="O21" i="164"/>
  <c r="N21" i="164"/>
  <c r="H21" i="164"/>
  <c r="O20" i="164"/>
  <c r="N20" i="164"/>
  <c r="H20" i="164"/>
  <c r="O19" i="164"/>
  <c r="N19" i="164"/>
  <c r="H19" i="164"/>
  <c r="O18" i="164"/>
  <c r="N18" i="164"/>
  <c r="N17" i="164"/>
  <c r="O16" i="164"/>
  <c r="N16" i="164"/>
  <c r="H16" i="164"/>
  <c r="O15" i="164"/>
  <c r="N15" i="164"/>
  <c r="H15" i="164"/>
  <c r="S14" i="164"/>
  <c r="O14" i="164"/>
  <c r="N14" i="164"/>
  <c r="O13" i="164"/>
  <c r="N13" i="164"/>
  <c r="H13" i="164"/>
  <c r="O12" i="164"/>
  <c r="N12" i="164"/>
  <c r="H12" i="164"/>
  <c r="O11" i="164"/>
  <c r="N11" i="164"/>
  <c r="H11" i="164"/>
  <c r="O10" i="164"/>
  <c r="N10" i="164"/>
  <c r="O9" i="164"/>
  <c r="N9" i="164"/>
  <c r="O8" i="164"/>
  <c r="N8" i="164"/>
  <c r="H8" i="164"/>
  <c r="O7" i="164"/>
  <c r="N7" i="164"/>
  <c r="H7" i="164"/>
  <c r="O6" i="164"/>
  <c r="N6" i="164"/>
  <c r="H6" i="164"/>
  <c r="O5" i="164"/>
  <c r="N5" i="164"/>
  <c r="H5" i="164"/>
  <c r="O4" i="164"/>
  <c r="N4" i="164"/>
  <c r="H4" i="164"/>
  <c r="O3" i="164"/>
  <c r="N3" i="164"/>
  <c r="H3" i="164"/>
  <c r="O2" i="164"/>
  <c r="O229" i="164" s="1"/>
  <c r="B230" i="164" s="1"/>
  <c r="B235" i="164" s="1"/>
  <c r="B241" i="164" s="1"/>
  <c r="B254" i="164" s="1"/>
  <c r="N2" i="164"/>
  <c r="N229" i="164" s="1"/>
  <c r="H2" i="164"/>
  <c r="H229" i="164" s="1"/>
  <c r="B268" i="163"/>
  <c r="B259" i="163"/>
  <c r="B258" i="163"/>
  <c r="B272" i="163" s="1"/>
  <c r="B251" i="163"/>
  <c r="B252" i="163" s="1"/>
  <c r="B249" i="163"/>
  <c r="B248" i="163"/>
  <c r="B247" i="163"/>
  <c r="B250" i="163" s="1"/>
  <c r="B243" i="163"/>
  <c r="B241" i="163"/>
  <c r="B244" i="163" s="1"/>
  <c r="B237" i="163"/>
  <c r="B236" i="163"/>
  <c r="B235" i="163"/>
  <c r="B239" i="163" s="1"/>
  <c r="B232" i="163"/>
  <c r="B230" i="163"/>
  <c r="P228" i="163"/>
  <c r="K228" i="163"/>
  <c r="I228" i="163"/>
  <c r="N227" i="163"/>
  <c r="N226" i="163"/>
  <c r="N225" i="163"/>
  <c r="N224" i="163"/>
  <c r="N223" i="163"/>
  <c r="N222" i="163"/>
  <c r="N221" i="163"/>
  <c r="N220" i="163"/>
  <c r="N219" i="163"/>
  <c r="O218" i="163"/>
  <c r="N218" i="163"/>
  <c r="H218" i="163"/>
  <c r="O217" i="163"/>
  <c r="N217" i="163"/>
  <c r="H217" i="163"/>
  <c r="O216" i="163"/>
  <c r="N216" i="163"/>
  <c r="H216" i="163"/>
  <c r="O215" i="163"/>
  <c r="N215" i="163"/>
  <c r="H215" i="163"/>
  <c r="O214" i="163"/>
  <c r="N214" i="163"/>
  <c r="H214" i="163"/>
  <c r="O213" i="163"/>
  <c r="N213" i="163"/>
  <c r="O212" i="163"/>
  <c r="N212" i="163"/>
  <c r="O211" i="163"/>
  <c r="N211" i="163"/>
  <c r="H211" i="163"/>
  <c r="O210" i="163"/>
  <c r="N210" i="163"/>
  <c r="H210" i="163"/>
  <c r="O209" i="163"/>
  <c r="N209" i="163"/>
  <c r="H209" i="163"/>
  <c r="O208" i="163"/>
  <c r="N208" i="163"/>
  <c r="H208" i="163"/>
  <c r="O207" i="163"/>
  <c r="N207" i="163"/>
  <c r="H207" i="163"/>
  <c r="O206" i="163"/>
  <c r="N206" i="163"/>
  <c r="H206" i="163"/>
  <c r="O205" i="163"/>
  <c r="N205" i="163"/>
  <c r="H205" i="163"/>
  <c r="O204" i="163"/>
  <c r="N204" i="163"/>
  <c r="H204" i="163"/>
  <c r="O203" i="163"/>
  <c r="N203" i="163"/>
  <c r="H203" i="163"/>
  <c r="O202" i="163"/>
  <c r="N202" i="163"/>
  <c r="H202" i="163"/>
  <c r="O201" i="163"/>
  <c r="N201" i="163"/>
  <c r="H201" i="163"/>
  <c r="O200" i="163"/>
  <c r="N200" i="163"/>
  <c r="H200" i="163"/>
  <c r="O199" i="163"/>
  <c r="N199" i="163"/>
  <c r="H199" i="163"/>
  <c r="O198" i="163"/>
  <c r="N198" i="163"/>
  <c r="H198" i="163"/>
  <c r="O197" i="163"/>
  <c r="N197" i="163"/>
  <c r="H197" i="163"/>
  <c r="O196" i="163"/>
  <c r="N196" i="163"/>
  <c r="H196" i="163"/>
  <c r="O195" i="163"/>
  <c r="N195" i="163"/>
  <c r="H195" i="163"/>
  <c r="O194" i="163"/>
  <c r="N194" i="163"/>
  <c r="H194" i="163"/>
  <c r="O193" i="163"/>
  <c r="N193" i="163"/>
  <c r="H193" i="163"/>
  <c r="O192" i="163"/>
  <c r="N192" i="163"/>
  <c r="H192" i="163"/>
  <c r="O191" i="163"/>
  <c r="N191" i="163"/>
  <c r="O190" i="163"/>
  <c r="N190" i="163"/>
  <c r="H190" i="163"/>
  <c r="O189" i="163"/>
  <c r="N189" i="163"/>
  <c r="H189" i="163"/>
  <c r="O188" i="163"/>
  <c r="N188" i="163"/>
  <c r="H188" i="163"/>
  <c r="O187" i="163"/>
  <c r="N187" i="163"/>
  <c r="H187" i="163"/>
  <c r="O186" i="163"/>
  <c r="N186" i="163"/>
  <c r="H186" i="163"/>
  <c r="O185" i="163"/>
  <c r="N185" i="163"/>
  <c r="H185" i="163"/>
  <c r="O184" i="163"/>
  <c r="N184" i="163"/>
  <c r="H184" i="163"/>
  <c r="O183" i="163"/>
  <c r="N183" i="163"/>
  <c r="O182" i="163"/>
  <c r="N182" i="163"/>
  <c r="O181" i="163"/>
  <c r="N181" i="163"/>
  <c r="O180" i="163"/>
  <c r="N180" i="163"/>
  <c r="H180" i="163"/>
  <c r="O179" i="163"/>
  <c r="N179" i="163"/>
  <c r="H179" i="163"/>
  <c r="O178" i="163"/>
  <c r="N178" i="163"/>
  <c r="H178" i="163"/>
  <c r="O177" i="163"/>
  <c r="N177" i="163"/>
  <c r="H177" i="163"/>
  <c r="O176" i="163"/>
  <c r="N176" i="163"/>
  <c r="H176" i="163"/>
  <c r="O175" i="163"/>
  <c r="N175" i="163"/>
  <c r="H175" i="163"/>
  <c r="O174" i="163"/>
  <c r="N174" i="163"/>
  <c r="H174" i="163"/>
  <c r="O173" i="163"/>
  <c r="N173" i="163"/>
  <c r="H173" i="163"/>
  <c r="O172" i="163"/>
  <c r="N172" i="163"/>
  <c r="H172" i="163"/>
  <c r="O171" i="163"/>
  <c r="N171" i="163"/>
  <c r="H171" i="163"/>
  <c r="O170" i="163"/>
  <c r="N170" i="163"/>
  <c r="H170" i="163"/>
  <c r="O169" i="163"/>
  <c r="N169" i="163"/>
  <c r="H169" i="163"/>
  <c r="O168" i="163"/>
  <c r="N168" i="163"/>
  <c r="H168" i="163"/>
  <c r="O167" i="163"/>
  <c r="N167" i="163"/>
  <c r="O166" i="163"/>
  <c r="N166" i="163"/>
  <c r="H166" i="163"/>
  <c r="O165" i="163"/>
  <c r="N165" i="163"/>
  <c r="H165" i="163"/>
  <c r="O164" i="163"/>
  <c r="N164" i="163"/>
  <c r="H164" i="163"/>
  <c r="O163" i="163"/>
  <c r="N163" i="163"/>
  <c r="H163" i="163"/>
  <c r="O162" i="163"/>
  <c r="N162" i="163"/>
  <c r="H162" i="163"/>
  <c r="O161" i="163"/>
  <c r="N161" i="163"/>
  <c r="H161" i="163"/>
  <c r="O160" i="163"/>
  <c r="N160" i="163"/>
  <c r="H160" i="163"/>
  <c r="N159" i="163"/>
  <c r="H159" i="163"/>
  <c r="O158" i="163"/>
  <c r="N158" i="163"/>
  <c r="N157" i="163"/>
  <c r="O156" i="163"/>
  <c r="N156" i="163"/>
  <c r="H156" i="163"/>
  <c r="O155" i="163"/>
  <c r="N155" i="163"/>
  <c r="H155" i="163"/>
  <c r="O154" i="163"/>
  <c r="N154" i="163"/>
  <c r="H154" i="163"/>
  <c r="O153" i="163"/>
  <c r="N153" i="163"/>
  <c r="H153" i="163"/>
  <c r="O152" i="163"/>
  <c r="N152" i="163"/>
  <c r="H152" i="163"/>
  <c r="O151" i="163"/>
  <c r="N151" i="163"/>
  <c r="H151" i="163"/>
  <c r="O150" i="163"/>
  <c r="N150" i="163"/>
  <c r="H150" i="163"/>
  <c r="O149" i="163"/>
  <c r="N149" i="163"/>
  <c r="H149" i="163"/>
  <c r="O148" i="163"/>
  <c r="N148" i="163"/>
  <c r="H148" i="163"/>
  <c r="O147" i="163"/>
  <c r="N147" i="163"/>
  <c r="H147" i="163"/>
  <c r="O146" i="163"/>
  <c r="N146" i="163"/>
  <c r="H146" i="163"/>
  <c r="O145" i="163"/>
  <c r="N145" i="163"/>
  <c r="H145" i="163"/>
  <c r="O144" i="163"/>
  <c r="N144" i="163"/>
  <c r="H144" i="163"/>
  <c r="O143" i="163"/>
  <c r="N143" i="163"/>
  <c r="H143" i="163"/>
  <c r="O142" i="163"/>
  <c r="N142" i="163"/>
  <c r="H142" i="163"/>
  <c r="O141" i="163"/>
  <c r="N141" i="163"/>
  <c r="H141" i="163"/>
  <c r="O140" i="163"/>
  <c r="N140" i="163"/>
  <c r="H140" i="163"/>
  <c r="O139" i="163"/>
  <c r="N139" i="163"/>
  <c r="H139" i="163"/>
  <c r="O138" i="163"/>
  <c r="N138" i="163"/>
  <c r="H138" i="163"/>
  <c r="O137" i="163"/>
  <c r="N137" i="163"/>
  <c r="H137" i="163"/>
  <c r="O136" i="163"/>
  <c r="N136" i="163"/>
  <c r="H136" i="163"/>
  <c r="O135" i="163"/>
  <c r="N135" i="163"/>
  <c r="H135" i="163"/>
  <c r="O134" i="163"/>
  <c r="N134" i="163"/>
  <c r="H134" i="163"/>
  <c r="O133" i="163"/>
  <c r="N133" i="163"/>
  <c r="H133" i="163"/>
  <c r="O132" i="163"/>
  <c r="N132" i="163"/>
  <c r="H132" i="163"/>
  <c r="O131" i="163"/>
  <c r="N131" i="163"/>
  <c r="H131" i="163"/>
  <c r="O130" i="163"/>
  <c r="N130" i="163"/>
  <c r="H130" i="163"/>
  <c r="O129" i="163"/>
  <c r="N129" i="163"/>
  <c r="H129" i="163"/>
  <c r="O128" i="163"/>
  <c r="N128" i="163"/>
  <c r="H128" i="163"/>
  <c r="O127" i="163"/>
  <c r="N127" i="163"/>
  <c r="H127" i="163"/>
  <c r="O126" i="163"/>
  <c r="N126" i="163"/>
  <c r="H126" i="163"/>
  <c r="O125" i="163"/>
  <c r="N125" i="163"/>
  <c r="H125" i="163"/>
  <c r="O124" i="163"/>
  <c r="N124" i="163"/>
  <c r="H124" i="163"/>
  <c r="O123" i="163"/>
  <c r="N123" i="163"/>
  <c r="H123" i="163"/>
  <c r="O122" i="163"/>
  <c r="N122" i="163"/>
  <c r="H122" i="163"/>
  <c r="O121" i="163"/>
  <c r="N121" i="163"/>
  <c r="H121" i="163"/>
  <c r="O120" i="163"/>
  <c r="N120" i="163"/>
  <c r="H120" i="163"/>
  <c r="O119" i="163"/>
  <c r="N119" i="163"/>
  <c r="H119" i="163"/>
  <c r="O118" i="163"/>
  <c r="N118" i="163"/>
  <c r="H118" i="163"/>
  <c r="O117" i="163"/>
  <c r="N117" i="163"/>
  <c r="H117" i="163"/>
  <c r="O116" i="163"/>
  <c r="N116" i="163"/>
  <c r="H116" i="163"/>
  <c r="O115" i="163"/>
  <c r="N115" i="163"/>
  <c r="H115" i="163"/>
  <c r="O114" i="163"/>
  <c r="N114" i="163"/>
  <c r="H114" i="163"/>
  <c r="O113" i="163"/>
  <c r="N113" i="163"/>
  <c r="H113" i="163"/>
  <c r="O112" i="163"/>
  <c r="N112" i="163"/>
  <c r="H112" i="163"/>
  <c r="O111" i="163"/>
  <c r="N111" i="163"/>
  <c r="H111" i="163"/>
  <c r="O110" i="163"/>
  <c r="N110" i="163"/>
  <c r="H110" i="163"/>
  <c r="O109" i="163"/>
  <c r="N109" i="163"/>
  <c r="H109" i="163"/>
  <c r="O108" i="163"/>
  <c r="N108" i="163"/>
  <c r="H108" i="163"/>
  <c r="O107" i="163"/>
  <c r="N107" i="163"/>
  <c r="H107" i="163"/>
  <c r="O106" i="163"/>
  <c r="N106" i="163"/>
  <c r="H106" i="163"/>
  <c r="O105" i="163"/>
  <c r="N105" i="163"/>
  <c r="H105" i="163"/>
  <c r="O104" i="163"/>
  <c r="N104" i="163"/>
  <c r="H104" i="163"/>
  <c r="O103" i="163"/>
  <c r="N103" i="163"/>
  <c r="H103" i="163"/>
  <c r="O102" i="163"/>
  <c r="N102" i="163"/>
  <c r="H102" i="163"/>
  <c r="O101" i="163"/>
  <c r="N101" i="163"/>
  <c r="H101" i="163"/>
  <c r="O100" i="163"/>
  <c r="N100" i="163"/>
  <c r="H100" i="163"/>
  <c r="O99" i="163"/>
  <c r="N99" i="163"/>
  <c r="H99" i="163"/>
  <c r="O98" i="163"/>
  <c r="N98" i="163"/>
  <c r="H98" i="163"/>
  <c r="O97" i="163"/>
  <c r="N97" i="163"/>
  <c r="H97" i="163"/>
  <c r="O96" i="163"/>
  <c r="N96" i="163"/>
  <c r="H96" i="163"/>
  <c r="O95" i="163"/>
  <c r="N95" i="163"/>
  <c r="H95" i="163"/>
  <c r="O94" i="163"/>
  <c r="N94" i="163"/>
  <c r="H94" i="163"/>
  <c r="O93" i="163"/>
  <c r="N93" i="163"/>
  <c r="H93" i="163"/>
  <c r="O92" i="163"/>
  <c r="N92" i="163"/>
  <c r="H92" i="163"/>
  <c r="N91" i="163"/>
  <c r="H91" i="163"/>
  <c r="N90" i="163"/>
  <c r="H90" i="163"/>
  <c r="N89" i="163"/>
  <c r="H89" i="163"/>
  <c r="O88" i="163"/>
  <c r="N88" i="163"/>
  <c r="H88" i="163"/>
  <c r="O87" i="163"/>
  <c r="N87" i="163"/>
  <c r="H87" i="163"/>
  <c r="O86" i="163"/>
  <c r="N86" i="163"/>
  <c r="H86" i="163"/>
  <c r="O85" i="163"/>
  <c r="N85" i="163"/>
  <c r="H85" i="163"/>
  <c r="O84" i="163"/>
  <c r="N84" i="163"/>
  <c r="H84" i="163"/>
  <c r="O83" i="163"/>
  <c r="N83" i="163"/>
  <c r="H83" i="163"/>
  <c r="O82" i="163"/>
  <c r="N82" i="163"/>
  <c r="H82" i="163"/>
  <c r="O81" i="163"/>
  <c r="N81" i="163"/>
  <c r="O80" i="163"/>
  <c r="N80" i="163"/>
  <c r="O79" i="163"/>
  <c r="N79" i="163"/>
  <c r="H79" i="163"/>
  <c r="O78" i="163"/>
  <c r="N78" i="163"/>
  <c r="H78" i="163"/>
  <c r="O77" i="163"/>
  <c r="N77" i="163"/>
  <c r="H77" i="163"/>
  <c r="O76" i="163"/>
  <c r="N76" i="163"/>
  <c r="H76" i="163"/>
  <c r="O75" i="163"/>
  <c r="N75" i="163"/>
  <c r="H75" i="163"/>
  <c r="O74" i="163"/>
  <c r="N74" i="163"/>
  <c r="H74" i="163"/>
  <c r="O73" i="163"/>
  <c r="N73" i="163"/>
  <c r="H73" i="163"/>
  <c r="O72" i="163"/>
  <c r="N72" i="163"/>
  <c r="H72" i="163"/>
  <c r="O71" i="163"/>
  <c r="N71" i="163"/>
  <c r="H71" i="163"/>
  <c r="O70" i="163"/>
  <c r="N70" i="163"/>
  <c r="H70" i="163"/>
  <c r="O69" i="163"/>
  <c r="N69" i="163"/>
  <c r="H69" i="163"/>
  <c r="T68" i="163"/>
  <c r="T95" i="163" s="1"/>
  <c r="O68" i="163"/>
  <c r="N68" i="163"/>
  <c r="H68" i="163"/>
  <c r="O67" i="163"/>
  <c r="N67" i="163"/>
  <c r="H67" i="163"/>
  <c r="O66" i="163"/>
  <c r="N66" i="163"/>
  <c r="H66" i="163"/>
  <c r="O65" i="163"/>
  <c r="N65" i="163"/>
  <c r="H65" i="163"/>
  <c r="O64" i="163"/>
  <c r="N64" i="163"/>
  <c r="H64" i="163"/>
  <c r="O63" i="163"/>
  <c r="N63" i="163"/>
  <c r="H63" i="163"/>
  <c r="O62" i="163"/>
  <c r="N62" i="163"/>
  <c r="H62" i="163"/>
  <c r="O61" i="163"/>
  <c r="N61" i="163"/>
  <c r="H61" i="163"/>
  <c r="O60" i="163"/>
  <c r="N60" i="163"/>
  <c r="H60" i="163"/>
  <c r="O59" i="163"/>
  <c r="N59" i="163"/>
  <c r="H59" i="163"/>
  <c r="O58" i="163"/>
  <c r="N58" i="163"/>
  <c r="H58" i="163"/>
  <c r="O57" i="163"/>
  <c r="N57" i="163"/>
  <c r="H57" i="163"/>
  <c r="O56" i="163"/>
  <c r="N56" i="163"/>
  <c r="H56" i="163"/>
  <c r="O55" i="163"/>
  <c r="N55" i="163"/>
  <c r="H55" i="163"/>
  <c r="O54" i="163"/>
  <c r="N54" i="163"/>
  <c r="O53" i="163"/>
  <c r="N53" i="163"/>
  <c r="H53" i="163"/>
  <c r="O52" i="163"/>
  <c r="N52" i="163"/>
  <c r="H52" i="163"/>
  <c r="O51" i="163"/>
  <c r="N51" i="163"/>
  <c r="O50" i="163"/>
  <c r="N50" i="163"/>
  <c r="H50" i="163"/>
  <c r="O49" i="163"/>
  <c r="N49" i="163"/>
  <c r="H49" i="163"/>
  <c r="O48" i="163"/>
  <c r="N48" i="163"/>
  <c r="H48" i="163"/>
  <c r="O47" i="163"/>
  <c r="N47" i="163"/>
  <c r="H47" i="163"/>
  <c r="O46" i="163"/>
  <c r="N46" i="163"/>
  <c r="H46" i="163"/>
  <c r="O45" i="163"/>
  <c r="N45" i="163"/>
  <c r="H45" i="163"/>
  <c r="O44" i="163"/>
  <c r="N44" i="163"/>
  <c r="H44" i="163"/>
  <c r="O43" i="163"/>
  <c r="N43" i="163"/>
  <c r="H43" i="163"/>
  <c r="O42" i="163"/>
  <c r="N42" i="163"/>
  <c r="H42" i="163"/>
  <c r="O41" i="163"/>
  <c r="N41" i="163"/>
  <c r="H41" i="163"/>
  <c r="O40" i="163"/>
  <c r="N40" i="163"/>
  <c r="H40" i="163"/>
  <c r="O39" i="163"/>
  <c r="N39" i="163"/>
  <c r="H39" i="163"/>
  <c r="O38" i="163"/>
  <c r="N38" i="163"/>
  <c r="H38" i="163"/>
  <c r="O37" i="163"/>
  <c r="N37" i="163"/>
  <c r="H37" i="163"/>
  <c r="O36" i="163"/>
  <c r="N36" i="163"/>
  <c r="H36" i="163"/>
  <c r="O35" i="163"/>
  <c r="N35" i="163"/>
  <c r="O34" i="163"/>
  <c r="N34" i="163"/>
  <c r="H34" i="163"/>
  <c r="N33" i="163"/>
  <c r="H33" i="163"/>
  <c r="O32" i="163"/>
  <c r="N32" i="163"/>
  <c r="H32" i="163"/>
  <c r="O31" i="163"/>
  <c r="N31" i="163"/>
  <c r="O30" i="163"/>
  <c r="N30" i="163"/>
  <c r="N29" i="163"/>
  <c r="H29" i="163"/>
  <c r="N28" i="163"/>
  <c r="H28" i="163"/>
  <c r="N27" i="163"/>
  <c r="H27" i="163"/>
  <c r="O26" i="163"/>
  <c r="N26" i="163"/>
  <c r="H26" i="163"/>
  <c r="O25" i="163"/>
  <c r="N25" i="163"/>
  <c r="H25" i="163"/>
  <c r="O24" i="163"/>
  <c r="N24" i="163"/>
  <c r="H24" i="163"/>
  <c r="O23" i="163"/>
  <c r="N23" i="163"/>
  <c r="H23" i="163"/>
  <c r="O22" i="163"/>
  <c r="N22" i="163"/>
  <c r="H22" i="163"/>
  <c r="O21" i="163"/>
  <c r="N21" i="163"/>
  <c r="H21" i="163"/>
  <c r="O20" i="163"/>
  <c r="N20" i="163"/>
  <c r="H20" i="163"/>
  <c r="O19" i="163"/>
  <c r="N19" i="163"/>
  <c r="H19" i="163"/>
  <c r="O18" i="163"/>
  <c r="N18" i="163"/>
  <c r="N17" i="163"/>
  <c r="O16" i="163"/>
  <c r="N16" i="163"/>
  <c r="H16" i="163"/>
  <c r="O15" i="163"/>
  <c r="N15" i="163"/>
  <c r="H15" i="163"/>
  <c r="S14" i="163"/>
  <c r="O14" i="163"/>
  <c r="N14" i="163"/>
  <c r="O13" i="163"/>
  <c r="N13" i="163"/>
  <c r="H13" i="163"/>
  <c r="O12" i="163"/>
  <c r="N12" i="163"/>
  <c r="H12" i="163"/>
  <c r="O11" i="163"/>
  <c r="N11" i="163"/>
  <c r="H11" i="163"/>
  <c r="O10" i="163"/>
  <c r="N10" i="163"/>
  <c r="O9" i="163"/>
  <c r="N9" i="163"/>
  <c r="O8" i="163"/>
  <c r="N8" i="163"/>
  <c r="H8" i="163"/>
  <c r="O7" i="163"/>
  <c r="N7" i="163"/>
  <c r="H7" i="163"/>
  <c r="O6" i="163"/>
  <c r="N6" i="163"/>
  <c r="H6" i="163"/>
  <c r="O5" i="163"/>
  <c r="N5" i="163"/>
  <c r="H5" i="163"/>
  <c r="O4" i="163"/>
  <c r="N4" i="163"/>
  <c r="H4" i="163"/>
  <c r="O3" i="163"/>
  <c r="N3" i="163"/>
  <c r="H3" i="163"/>
  <c r="O2" i="163"/>
  <c r="O228" i="163" s="1"/>
  <c r="B229" i="163" s="1"/>
  <c r="B234" i="163" s="1"/>
  <c r="B240" i="163" s="1"/>
  <c r="B253" i="163" s="1"/>
  <c r="N2" i="163"/>
  <c r="N228" i="163" s="1"/>
  <c r="H2" i="163"/>
  <c r="H228" i="163" s="1"/>
  <c r="B245" i="165" l="1"/>
  <c r="B254" i="165" s="1"/>
</calcChain>
</file>

<file path=xl/sharedStrings.xml><?xml version="1.0" encoding="utf-8"?>
<sst xmlns="http://schemas.openxmlformats.org/spreadsheetml/2006/main" count="7196" uniqueCount="335">
  <si>
    <t>PRODUCTOS</t>
  </si>
  <si>
    <t>EXISTENCIA</t>
  </si>
  <si>
    <t>ENTRADA</t>
  </si>
  <si>
    <t>SALIDA</t>
  </si>
  <si>
    <t>VENTA 1</t>
  </si>
  <si>
    <t>VENTA 2</t>
  </si>
  <si>
    <t>COMISIONES</t>
  </si>
  <si>
    <t>IMP COMISION</t>
  </si>
  <si>
    <t>DOMICILIO</t>
  </si>
  <si>
    <t>P. COSTO</t>
  </si>
  <si>
    <t>IMPORTE</t>
  </si>
  <si>
    <t>P.  VENTA 1</t>
  </si>
  <si>
    <t>P.  VENTA 2</t>
  </si>
  <si>
    <t>E. FINAL</t>
  </si>
  <si>
    <t>FONDO USD</t>
  </si>
  <si>
    <t>FONDO TARJETA</t>
  </si>
  <si>
    <t>DETALLES</t>
  </si>
  <si>
    <t>FONDO EFECTIVO</t>
  </si>
  <si>
    <t>BOLSA DE CEMENTO BLANCO</t>
  </si>
  <si>
    <t>FLACO</t>
  </si>
  <si>
    <t>LEOSBEL</t>
  </si>
  <si>
    <t>GASOLINA</t>
  </si>
  <si>
    <t>BASE PARA PANELES</t>
  </si>
  <si>
    <t>IMPRESIÓN</t>
  </si>
  <si>
    <t>BASE GIRATORIA</t>
  </si>
  <si>
    <t>PROPINA</t>
  </si>
  <si>
    <t xml:space="preserve">BOCINA BOOM 8  PULGADAS   </t>
  </si>
  <si>
    <t xml:space="preserve">BOCINA MILEXUS 8  PULGADAS  </t>
  </si>
  <si>
    <t>BOMBA DE AGUA SILVER POINT  1 HP</t>
  </si>
  <si>
    <t>BOMBA DE AGUA SILVER POINT  1X1/2</t>
  </si>
  <si>
    <t>CONECTORES MC4</t>
  </si>
  <si>
    <t>COMISION</t>
  </si>
  <si>
    <t>CONTEO</t>
  </si>
  <si>
    <t>CANTIDAD</t>
  </si>
  <si>
    <t>MN</t>
  </si>
  <si>
    <t>COLCHON EKO</t>
  </si>
  <si>
    <t>ZELLE</t>
  </si>
  <si>
    <t>CAFETERA  3 TASAS</t>
  </si>
  <si>
    <t>CAFETERA ELECTRICA RUDENKOV</t>
  </si>
  <si>
    <t>CALENTADOR 80 L</t>
  </si>
  <si>
    <t>CALENTADOR 50 L</t>
  </si>
  <si>
    <t xml:space="preserve">DISPENSSDOR DE AGUA ROYAL </t>
  </si>
  <si>
    <t>ESTACION ENERGIA 6000 W</t>
  </si>
  <si>
    <t>ESTACION ENERGIA PECRON</t>
  </si>
  <si>
    <t>ESTACION MUST 6000 W</t>
  </si>
  <si>
    <t>ESTACION ECOFLOW DELTA 2 1800W</t>
  </si>
  <si>
    <t>KIT DE INSTALACION</t>
  </si>
  <si>
    <t>EXHIBIDOR MILEXUS 390 L 14PIES</t>
  </si>
  <si>
    <t>EXHIBIDOR DOBLE MILEXUS 560 LITROS</t>
  </si>
  <si>
    <t>FOGON DE PETROLEO</t>
  </si>
  <si>
    <t>FOGON DE GAS DE CRISTAL</t>
  </si>
  <si>
    <t>USD</t>
  </si>
  <si>
    <t>FOGON DE GAS SENCILLO</t>
  </si>
  <si>
    <t>FOGON DE GAS 3 QUEMADORES</t>
  </si>
  <si>
    <t>FOGON INFRARROJO EKO 1500 W</t>
  </si>
  <si>
    <t>FILTRO DE AGUA</t>
  </si>
  <si>
    <t>FREIDORA DE AIRE JMD 4 L</t>
  </si>
  <si>
    <t>LAMPARA DE 100W CON PANEL</t>
  </si>
  <si>
    <t>SALIDA USD</t>
  </si>
  <si>
    <t>LAVADORA SECADORA AUTOMÁTICA MILEXUS 10 KG</t>
  </si>
  <si>
    <t>LAVADORA PREMIER AUTOMÁTICA 11 KG</t>
  </si>
  <si>
    <t>LAVADORA 7 KG MILEXUS SEMI.</t>
  </si>
  <si>
    <t>LAVADORA 10 KG AUTOMATICA SANKEY</t>
  </si>
  <si>
    <t>LAVADORA 7.5 AUTOMA MILEXUS</t>
  </si>
  <si>
    <t>GASTOS</t>
  </si>
  <si>
    <t>LUZ LED EXTERIORES 100 W</t>
  </si>
  <si>
    <t>LUZ LED EXTERIORES 200 W</t>
  </si>
  <si>
    <t>LUCES SOLARES PEQUEÑAS</t>
  </si>
  <si>
    <t>MICROONDAS 20 L MILEXUS</t>
  </si>
  <si>
    <t>MICROONDAS 40 L</t>
  </si>
  <si>
    <t>MICROONDAS 20 L PREMIER</t>
  </si>
  <si>
    <t>MINIBAR MILEXUS</t>
  </si>
  <si>
    <t xml:space="preserve">MESCLADORA AMASADORA </t>
  </si>
  <si>
    <t>NEVERA ROYAL 3.5</t>
  </si>
  <si>
    <t>NEVERA ROYAL 7.8 220L</t>
  </si>
  <si>
    <t>NEVERA MILEXUS 3.5 PIES  100L</t>
  </si>
  <si>
    <t>NEVERA MILEXUS 4.2</t>
  </si>
  <si>
    <t xml:space="preserve">NEVERA MILEXUS 11.2 PIES </t>
  </si>
  <si>
    <t>NEVERA 20 PIES  MILEXUS</t>
  </si>
  <si>
    <t>NEVERA 8.8 PIES  MILEXUS 250 L</t>
  </si>
  <si>
    <t>HIDROLAVADORA ROYAL</t>
  </si>
  <si>
    <t>OLLA ARROCERA 2.2 L MILEXUS</t>
  </si>
  <si>
    <t>OLLA ARROCERA 1.8 L WYNWOOD</t>
  </si>
  <si>
    <t>OLLA ARROCERA 1.8 L ELECSTAR</t>
  </si>
  <si>
    <t>OLLA ARROCERA 0.6 L MILEXUS</t>
  </si>
  <si>
    <t>OLLA REINA CHALLENGER 7L</t>
  </si>
  <si>
    <t>OLLA REINA WYNWOOD</t>
  </si>
  <si>
    <t>JUEGO DE MESA Y SILLAS</t>
  </si>
  <si>
    <t>JUEGO DE BAÑO</t>
  </si>
  <si>
    <t>PUERTA PLEGABLE</t>
  </si>
  <si>
    <t>PANELES 615 W</t>
  </si>
  <si>
    <t>ROLLO DE CABLE</t>
  </si>
  <si>
    <t xml:space="preserve">ROLLO DE CABLE ROYAL CORD </t>
  </si>
  <si>
    <t>REFRIGERADOR 15.2 PIES MILEXUS</t>
  </si>
  <si>
    <t>REFRIGERADOR 11 PIES ROYAL DISPENSADOR</t>
  </si>
  <si>
    <t>SET DE INSTALACION</t>
  </si>
  <si>
    <t xml:space="preserve">SANDWICHERA </t>
  </si>
  <si>
    <t>SPLIT 2 T 220V MILEXUS</t>
  </si>
  <si>
    <t>SPLIT MILEXUS 1 T 110 VOLT</t>
  </si>
  <si>
    <t>TV ROYAL 65</t>
  </si>
  <si>
    <t xml:space="preserve">MAQUINA DE FRIO </t>
  </si>
  <si>
    <t>TV 32" MILEXUS</t>
  </si>
  <si>
    <t>TANQUE GASOLINA 20L</t>
  </si>
  <si>
    <t>VENTILADOR DE PARED RECARGABLE</t>
  </si>
  <si>
    <t>VENTILADOR RECARGABLE CHIQUITO DE 20000 MAH F6</t>
  </si>
  <si>
    <t>VENTILADOR RECARGABLE CON PANEL y LAMPARA</t>
  </si>
  <si>
    <t>VENTILADOR DE TECHO ROYAL 56</t>
  </si>
  <si>
    <t>TOTAL</t>
  </si>
  <si>
    <t>VENTA</t>
  </si>
  <si>
    <t>EFECTIVO</t>
  </si>
  <si>
    <t>TARJETA</t>
  </si>
  <si>
    <t>FONDO CUP</t>
  </si>
  <si>
    <t>AUMENTO DE FONDO CUP</t>
  </si>
  <si>
    <t>AUMENTO DE FONDO USD \ZELLE</t>
  </si>
  <si>
    <t xml:space="preserve">TOTAL </t>
  </si>
  <si>
    <t>DOMICILIOS</t>
  </si>
  <si>
    <t>GASTOS COMBOS Y REBAJAS USD</t>
  </si>
  <si>
    <t>TOTAL DE GASTOS</t>
  </si>
  <si>
    <t>TOTAL DESPUES DE GASTOS</t>
  </si>
  <si>
    <t>SALIDA JESUS MN</t>
  </si>
  <si>
    <t>SALIDA JESUS USD</t>
  </si>
  <si>
    <t>SALIDA MLC</t>
  </si>
  <si>
    <t>TOTAL DE SALIDAS</t>
  </si>
  <si>
    <t>USD EFECTIVO</t>
  </si>
  <si>
    <t>MLC</t>
  </si>
  <si>
    <t>MN EFECTIVO</t>
  </si>
  <si>
    <t xml:space="preserve"> </t>
  </si>
  <si>
    <t xml:space="preserve">MN TARJETA </t>
  </si>
  <si>
    <t xml:space="preserve">TOTAL DE CAPITAL </t>
  </si>
  <si>
    <t>X COBRAR</t>
  </si>
  <si>
    <t>CUADRE(TIENE QUE QUEDAR EN 0)(A157-A161-A167-A170)</t>
  </si>
  <si>
    <t>INFORME SEMANAL</t>
  </si>
  <si>
    <t xml:space="preserve"> VENTAS</t>
  </si>
  <si>
    <t>(-)COSTO DE VENTA</t>
  </si>
  <si>
    <t>UTILIDAD BRUTA</t>
  </si>
  <si>
    <t>(-)GASTOS FIJOS</t>
  </si>
  <si>
    <t xml:space="preserve">    SALARIO ESTIBADORES</t>
  </si>
  <si>
    <t xml:space="preserve">    SALARIO LEO</t>
  </si>
  <si>
    <t xml:space="preserve">    CUSTODIO</t>
  </si>
  <si>
    <t xml:space="preserve">    INTERNET</t>
  </si>
  <si>
    <t xml:space="preserve">    JARDINERIA</t>
  </si>
  <si>
    <t xml:space="preserve">    CORRIENTE</t>
  </si>
  <si>
    <t xml:space="preserve">    MEDIOS BASICOS</t>
  </si>
  <si>
    <t xml:space="preserve">    OTROS</t>
  </si>
  <si>
    <t>(-)GASTOS VARIABLES</t>
  </si>
  <si>
    <t xml:space="preserve">   TRANSPORTACION </t>
  </si>
  <si>
    <t xml:space="preserve">   DOMICILIOS</t>
  </si>
  <si>
    <t xml:space="preserve">   COMISIONES</t>
  </si>
  <si>
    <t>UTILIDAD NETA</t>
  </si>
  <si>
    <t>BREKE 63A SENCILLO</t>
  </si>
  <si>
    <t>SPLIT 1 T MILEXUS 220 V INVERTER</t>
  </si>
  <si>
    <t>ESCRITORIO</t>
  </si>
  <si>
    <t>VENTILADOR DE PARED SILVERAIR</t>
  </si>
  <si>
    <t>SILLA GIRATORIA</t>
  </si>
  <si>
    <t>ESTACION ENERGIA ECOFLOW DELTA 2</t>
  </si>
  <si>
    <t xml:space="preserve">INVERSOR MUST 3000 W </t>
  </si>
  <si>
    <t>TV 50 SANKEY</t>
  </si>
  <si>
    <t>EQUIPO DE MUSICA LG</t>
  </si>
  <si>
    <t>BICICLETA INFANTIL</t>
  </si>
  <si>
    <t xml:space="preserve">LAMPARA SOLAR 800W </t>
  </si>
  <si>
    <t>COLCHON PERSONAL</t>
  </si>
  <si>
    <t>LAMPARA RECARGABLE DE 50 CM</t>
  </si>
  <si>
    <t>OLLA ARROCERA 1.8 L EKO</t>
  </si>
  <si>
    <t>SECADORA A VAPOR EKO</t>
  </si>
  <si>
    <t xml:space="preserve">LAMPARA SOLAR 1000W </t>
  </si>
  <si>
    <t>TRANSFER 220V</t>
  </si>
  <si>
    <t>TUBO DE LUZ LED INTEGRAL T8 SACO</t>
  </si>
  <si>
    <t>BASE PARA PANELES GRANDES</t>
  </si>
  <si>
    <t>EXHIBIDOR HORIZONTAL 13P</t>
  </si>
  <si>
    <t>EXPANCIONADORES</t>
  </si>
  <si>
    <t>PLATINAS</t>
  </si>
  <si>
    <t>GANCHO TIERRA</t>
  </si>
  <si>
    <t>NEVERA SANKEY 9 P</t>
  </si>
  <si>
    <t>FOGON INFRARROJO MAF 2000 W</t>
  </si>
  <si>
    <t>TV SANKEY 40</t>
  </si>
  <si>
    <t>LAMPARA DE 360 W CON PANEL INTEGRADO</t>
  </si>
  <si>
    <t>LAMPARA DE 300 W CON PANEL INTEGRADO</t>
  </si>
  <si>
    <t>LAMPARA DE 200 W CON PANEL INDEPENDIENTE</t>
  </si>
  <si>
    <t>LAMPARA DE 300 W CON PANEL INDEPENDIENTE</t>
  </si>
  <si>
    <t>CAJAS DE AZULEJOS 44X44 2.5 M</t>
  </si>
  <si>
    <t>INVERSOR DE 10 K SUNPAL</t>
  </si>
  <si>
    <t>INVERSOR 12K MUST</t>
  </si>
  <si>
    <t>OLLA DE PRESION 5 L INDUCCION BRYDERK</t>
  </si>
  <si>
    <t>SUPRESOR DC</t>
  </si>
  <si>
    <t>SISTEMA FELICITY SOLAR 6 K CON 15K</t>
  </si>
  <si>
    <t>OLLA DE PRESION 7 L ELECSTAR</t>
  </si>
  <si>
    <t>OBSERVACIONES</t>
  </si>
  <si>
    <t>ESTACION ENERGIA ECOFLOW DELTA 3</t>
  </si>
  <si>
    <t>LICUADORA MILEXUS 550W CRISTAL</t>
  </si>
  <si>
    <t>SPLIT MILEXUS 1 T 220 VOLT</t>
  </si>
  <si>
    <t>SPLIT 1 T MILEXUS INVERTER</t>
  </si>
  <si>
    <t>LAVADORA 9 KG SAMSUNG AUTOMATICA</t>
  </si>
  <si>
    <t>VITRINA SANKEY 8P</t>
  </si>
  <si>
    <t>PANELES 490 W</t>
  </si>
  <si>
    <t>JUEGO CALDERO EON</t>
  </si>
  <si>
    <t>VENTILADOR DE PEDESTAL EKO 16</t>
  </si>
  <si>
    <t>JUEGO DE VAJILLAS</t>
  </si>
  <si>
    <t>HORNO ELECTRICO EKO 22L</t>
  </si>
  <si>
    <t>OLLA REINA EON 6L</t>
  </si>
  <si>
    <t>SUPRESOR AC</t>
  </si>
  <si>
    <t xml:space="preserve">BREKE 32A DOBLE </t>
  </si>
  <si>
    <t>BREKE 63A DOBLE TIR</t>
  </si>
  <si>
    <t>RIEL</t>
  </si>
  <si>
    <t>PATAS DELANTERA AJUSTABLE</t>
  </si>
  <si>
    <t>PATAS TRASERAS AJUSTABLES</t>
  </si>
  <si>
    <t>CONECTOR DE RIEL</t>
  </si>
  <si>
    <t>SUJETADOR EXTERIOR</t>
  </si>
  <si>
    <t>SUJETADOR INTERMEDIO</t>
  </si>
  <si>
    <t>ESTACION MUST 2K CON 2.7K</t>
  </si>
  <si>
    <t>BATERIA EXTRA 16K SACO</t>
  </si>
  <si>
    <t>REFRIGERADOR 7 PIES HISENSE</t>
  </si>
  <si>
    <t>FOGON INFRARROJO ROYAL 1500 W</t>
  </si>
  <si>
    <t xml:space="preserve">LAVADORA 9 KG MILEXUS SEMI </t>
  </si>
  <si>
    <t>TV HISENSE 55</t>
  </si>
  <si>
    <t>BASE FIJA PARA TV 32'' - 86''</t>
  </si>
  <si>
    <t>BATERIA MUST 10.25 KW</t>
  </si>
  <si>
    <t>LICUADORA MILEXUS 400 W CRISTAL</t>
  </si>
  <si>
    <t>BATERIA 15K MUST</t>
  </si>
  <si>
    <t>CAJA DE DISTRIBUCION DE 8 VIAS</t>
  </si>
  <si>
    <t>CAJA DE DISTRIBUCION DE 12 VIAS</t>
  </si>
  <si>
    <t>PROTECTOR DE LINEA 220V</t>
  </si>
  <si>
    <t>PROTECTOR DE LINEA 110V</t>
  </si>
  <si>
    <t xml:space="preserve">REFRIGERADOR MILEXUS 9 PIES </t>
  </si>
  <si>
    <t>NEVERA ENERLIFE 5.5</t>
  </si>
  <si>
    <t>LAVADORA ENERLIFE 7 KG SEMI</t>
  </si>
  <si>
    <t>VENTILADOR RECARGABLE  SANKEY 16</t>
  </si>
  <si>
    <t>INVERSOR 12K SACO</t>
  </si>
  <si>
    <t>LICUADORA ROYAL PLASTICA 2 EN 1</t>
  </si>
  <si>
    <t>NEVERA  7 PIES HISENSE 200L</t>
  </si>
  <si>
    <t>BATERIA 5K MUST</t>
  </si>
  <si>
    <t>INVERSOR 6K MUST</t>
  </si>
  <si>
    <t>NEVERA ROYAL 5.5 P</t>
  </si>
  <si>
    <t>BICICLETA INFANTIL 20</t>
  </si>
  <si>
    <t>FREIDORA DE AIRE MILEXUS NEGRA 4.2L</t>
  </si>
  <si>
    <t>REFRIGERADOR 7.23 PIES ROYAL</t>
  </si>
  <si>
    <t>CAFETERA ELECTRICA ESPRESO 800W</t>
  </si>
  <si>
    <t>OLLA REINA 7 L ESTELECTRIC</t>
  </si>
  <si>
    <t>REFRIGERADOR 10 PIES SANKEY</t>
  </si>
  <si>
    <t xml:space="preserve">ENFRIADOR DE AIRE ALL NOVU </t>
  </si>
  <si>
    <t>ENFRIADOR DE AIRE ALL NOVU DOBLE</t>
  </si>
  <si>
    <t>SPLIT PANASONIC 1 T INVERTER 220 VOLT</t>
  </si>
  <si>
    <t>LAVADORA 7 KG EKO SEMI</t>
  </si>
  <si>
    <t>REFRIGERADOR 16 PIES MILEXUS</t>
  </si>
  <si>
    <t>FOGON INDUCCION MILEXUS 1200 W</t>
  </si>
  <si>
    <t>EXHIBIDOR VERTICAL SANKEY 8P</t>
  </si>
  <si>
    <t>VENTILADOR INDUSTRIAL 30 ROYAL</t>
  </si>
  <si>
    <t>MAQUINA DE CONTAR DINERO SAKO</t>
  </si>
  <si>
    <t>ROTO</t>
  </si>
  <si>
    <t>TOLDO 4X2.5</t>
  </si>
  <si>
    <t>TOLDO 3X2</t>
  </si>
  <si>
    <t>TOLDO 2X1</t>
  </si>
  <si>
    <t>REFRIGERADOR 14 PIES HISENSE</t>
  </si>
  <si>
    <t>TV 43" KODAK</t>
  </si>
  <si>
    <t>VENTILADOR DE PEDESTAL SAKO</t>
  </si>
  <si>
    <t>LICUADORA MILEXUS 300W PLASTICA 2 EN 1</t>
  </si>
  <si>
    <t>MAQUINA DE CONTAR DINERO KRISHNA</t>
  </si>
  <si>
    <t>PROTECTOR DE VOLTAJE 120V/15A</t>
  </si>
  <si>
    <t>EQUIPO DE MUSICA LG GRANDE</t>
  </si>
  <si>
    <t>ESCALERA DE 6 ESCALONES</t>
  </si>
  <si>
    <t>ESCALERA DE 4 ESCALONES</t>
  </si>
  <si>
    <t>BATERIA DE 12V 150A SACO</t>
  </si>
  <si>
    <t>BASE PARA SPLIT</t>
  </si>
  <si>
    <t>TV 32" ROYAL</t>
  </si>
  <si>
    <t>BICICLETA ELECTRICA</t>
  </si>
  <si>
    <t>VENTILADOR DE PARED DAWANG 18</t>
  </si>
  <si>
    <t>VENTILADOR DE PEDESTAL DAWANG 18</t>
  </si>
  <si>
    <t>VENTILADOR RECARGABLE CON PANEL DAWANG 16</t>
  </si>
  <si>
    <t>BATERIA HUMSIENK 24V 200AMP</t>
  </si>
  <si>
    <t>1 ROTA</t>
  </si>
  <si>
    <t>ROTA</t>
  </si>
  <si>
    <t>SACO DE CEMENTO GRIS P350</t>
  </si>
  <si>
    <t xml:space="preserve">LAVADORA 8 KG CHALLENGER SEMI </t>
  </si>
  <si>
    <t>INVERSOR 4K</t>
  </si>
  <si>
    <t>OLLA REINA 6 L NIZATO</t>
  </si>
  <si>
    <t>PRESURIZADOR 6 L DAWANG</t>
  </si>
  <si>
    <t>PESA DIGITAL DAWANG</t>
  </si>
  <si>
    <t>NEVERA 10 PIES  ROYAL</t>
  </si>
  <si>
    <t>NEVERA 7 PIES MILEXUS 200L</t>
  </si>
  <si>
    <t>FOGON DE GAS 2 QUEMADORES CRISTAL</t>
  </si>
  <si>
    <t>BATERIA DE 12V 100A JMD</t>
  </si>
  <si>
    <t>PANELES 620 W</t>
  </si>
  <si>
    <t>NEVERA 6 PIES MILEXUS 170l</t>
  </si>
  <si>
    <t>TUBO DE SILICONA</t>
  </si>
  <si>
    <t>HERRAJES PARA BAÑO</t>
  </si>
  <si>
    <t>MALETA DE CUBO 24PCS</t>
  </si>
  <si>
    <t>JUEGO DE LLAVE/CUBO 37PCS</t>
  </si>
  <si>
    <t>JUEGO DE PINZA/DESTORNILLADOR</t>
  </si>
  <si>
    <t>CAJA DE HERRAMIENTAS 13PCS</t>
  </si>
  <si>
    <t>JUEGO DE LLAVES 12PCS</t>
  </si>
  <si>
    <t>JUEGO DE CUBOS 12PCS</t>
  </si>
  <si>
    <t>MALETA DE CUBO 172PCS</t>
  </si>
  <si>
    <t>ESTANTES</t>
  </si>
  <si>
    <t>PANELES 575 W</t>
  </si>
  <si>
    <t>VENTILADOR RECARGABLE CHIQUITO DE 40000 MAH F22</t>
  </si>
  <si>
    <t>CAJITA DECODIFICADORA ATEC</t>
  </si>
  <si>
    <t>BOCINA MILEXUS 6 DUAL</t>
  </si>
  <si>
    <t>TV 43" NIZATO</t>
  </si>
  <si>
    <t xml:space="preserve">PANELES 550 W </t>
  </si>
  <si>
    <t>INVERSOR 4K SUMRY</t>
  </si>
  <si>
    <t>BICICLETA 26 008-5</t>
  </si>
  <si>
    <t>BICICLETA 26 012</t>
  </si>
  <si>
    <t>BICICLETA 26 003-4</t>
  </si>
  <si>
    <t>BICICLETA 16 023</t>
  </si>
  <si>
    <t xml:space="preserve">            </t>
  </si>
  <si>
    <t>C SUR</t>
  </si>
  <si>
    <t>BICICLETA 26 BC012</t>
  </si>
  <si>
    <t>BICICLETA 26 CD021</t>
  </si>
  <si>
    <t>BICICLETA 26 WH003-4</t>
  </si>
  <si>
    <t>BICICLETA 26  WH008-5</t>
  </si>
  <si>
    <t>REFRIGERADOR 16 PIES ROYAL</t>
  </si>
  <si>
    <t>EXHIBIDOR HORIZONTAL 7P EKO</t>
  </si>
  <si>
    <t>MICROONDAS 20 L EKO</t>
  </si>
  <si>
    <t>LAVADORA EKO 7 KG SEMI</t>
  </si>
  <si>
    <t>VENTILADOR DE TECHO NIZATO</t>
  </si>
  <si>
    <t>REFRIGERADOR 11 PIES EKO</t>
  </si>
  <si>
    <t>INVERSOR 4K ENERGIA FUTURA</t>
  </si>
  <si>
    <t>BAJA</t>
  </si>
  <si>
    <t>BAJA/C SUR</t>
  </si>
  <si>
    <t>C SUR    -1</t>
  </si>
  <si>
    <t>ROTO -1</t>
  </si>
  <si>
    <t>ROTO  -1</t>
  </si>
  <si>
    <t>1 ROTO</t>
  </si>
  <si>
    <t>REFRIGERADOR 16 PIES EKO</t>
  </si>
  <si>
    <t>ROTAS</t>
  </si>
  <si>
    <t>C SUR     -1</t>
  </si>
  <si>
    <t>C SUR   1 ROTO</t>
  </si>
  <si>
    <t>INVERSOR POWER MR 6.2K</t>
  </si>
  <si>
    <t>HERRADURA</t>
  </si>
  <si>
    <t>INVERSOR POWER MR 6.5K</t>
  </si>
  <si>
    <t>VENTILADOR RECARGABLE P60</t>
  </si>
  <si>
    <t>ESTACION ENERGIA PECRON 2400W</t>
  </si>
  <si>
    <t>REFRIGERADOR 20 PIES ROYAL</t>
  </si>
  <si>
    <t>PANELES 535 W</t>
  </si>
  <si>
    <t>SPLIT 1.5 T MILEXUS INVERTER 220V</t>
  </si>
  <si>
    <t>INVERSOR POWER MR 6.2K 220V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</si>
</sst>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0" borderId="1" xfId="0" applyBorder="1"/>
    <xf numFmtId="0" fontId="1" fillId="5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3" borderId="1" xfId="0" applyFill="1" applyBorder="1"/>
    <xf numFmtId="0" fontId="0" fillId="4" borderId="1" xfId="0" applyFill="1" applyBorder="1"/>
    <xf numFmtId="0" fontId="2" fillId="7" borderId="1" xfId="0" applyFont="1" applyFill="1" applyBorder="1"/>
    <xf numFmtId="0" fontId="0" fillId="0" borderId="2" xfId="0" applyBorder="1"/>
    <xf numFmtId="0" fontId="3" fillId="8" borderId="1" xfId="0" applyFont="1" applyFill="1" applyBorder="1"/>
    <xf numFmtId="0" fontId="3" fillId="6" borderId="1" xfId="0" applyFont="1" applyFill="1" applyBorder="1"/>
    <xf numFmtId="0" fontId="4" fillId="7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7" borderId="1" xfId="0" applyFont="1" applyFill="1" applyBorder="1"/>
    <xf numFmtId="0" fontId="5" fillId="9" borderId="1" xfId="0" applyFont="1" applyFill="1" applyBorder="1"/>
    <xf numFmtId="0" fontId="1" fillId="8" borderId="1" xfId="0" applyFont="1" applyFill="1" applyBorder="1"/>
    <xf numFmtId="2" fontId="0" fillId="7" borderId="1" xfId="0" applyNumberFormat="1" applyFill="1" applyBorder="1"/>
    <xf numFmtId="2" fontId="0" fillId="3" borderId="1" xfId="0" applyNumberFormat="1" applyFill="1" applyBorder="1"/>
    <xf numFmtId="2" fontId="3" fillId="7" borderId="1" xfId="0" applyNumberFormat="1" applyFont="1" applyFill="1" applyBorder="1"/>
    <xf numFmtId="0" fontId="1" fillId="7" borderId="1" xfId="0" applyFont="1" applyFill="1" applyBorder="1"/>
    <xf numFmtId="0" fontId="1" fillId="0" borderId="0" xfId="0" applyFont="1"/>
    <xf numFmtId="0" fontId="3" fillId="0" borderId="0" xfId="0" applyFont="1"/>
    <xf numFmtId="1" fontId="0" fillId="4" borderId="1" xfId="0" applyNumberFormat="1" applyFill="1" applyBorder="1"/>
    <xf numFmtId="1" fontId="3" fillId="4" borderId="1" xfId="0" applyNumberFormat="1" applyFont="1" applyFill="1" applyBorder="1"/>
    <xf numFmtId="0" fontId="0" fillId="10" borderId="3" xfId="0" applyFill="1" applyBorder="1"/>
    <xf numFmtId="0" fontId="0" fillId="10" borderId="0" xfId="0" applyFill="1"/>
    <xf numFmtId="0" fontId="3" fillId="7" borderId="3" xfId="0" applyFont="1" applyFill="1" applyBorder="1"/>
    <xf numFmtId="0" fontId="0" fillId="1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A7E4-0420-413C-942E-4C0A807B2632}">
  <dimension ref="A1:Y285"/>
  <sheetViews>
    <sheetView zoomScale="80" zoomScaleNormal="80" workbookViewId="0">
      <pane ySplit="1" topLeftCell="A17" activePane="bottomLeft" state="frozen"/>
      <selection pane="bottomLeft" activeCell="E35" sqref="E35"/>
    </sheetView>
  </sheetViews>
  <sheetFormatPr baseColWidth="10" defaultRowHeight="14.4" x14ac:dyDescent="0.3"/>
  <cols>
    <col min="1" max="1" width="54.5546875" customWidth="1"/>
    <col min="3" max="3" width="20" customWidth="1"/>
    <col min="4" max="4" width="11.109375" customWidth="1"/>
    <col min="5" max="6" width="8.33203125" customWidth="1"/>
    <col min="7" max="7" width="12.33203125" customWidth="1"/>
    <col min="8" max="8" width="15" customWidth="1"/>
    <col min="9" max="9" width="12.6640625" customWidth="1"/>
    <col min="10" max="10" width="9.33203125" customWidth="1"/>
    <col min="11" max="11" width="9.109375" customWidth="1"/>
    <col min="12" max="12" width="11.33203125" customWidth="1"/>
    <col min="13" max="13" width="11.109375" customWidth="1"/>
    <col min="14" max="14" width="8.33203125" customWidth="1"/>
    <col min="15" max="15" width="9.6640625" customWidth="1"/>
    <col min="16" max="16" width="18.5546875" customWidth="1"/>
    <col min="18" max="18" width="13" customWidth="1"/>
    <col min="19" max="19" width="15.6640625" customWidth="1"/>
    <col min="21" max="21" width="17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3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1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09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3">
      <c r="A3" s="5" t="s">
        <v>270</v>
      </c>
      <c r="B3" s="6">
        <v>193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27.61</v>
      </c>
      <c r="M3" s="7"/>
      <c r="N3" s="7">
        <f>B3+C3-D3-E3-F3</f>
        <v>193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3">
      <c r="A4" s="5" t="s">
        <v>229</v>
      </c>
      <c r="B4" s="6">
        <v>2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1500</v>
      </c>
      <c r="M4" s="7"/>
      <c r="N4" s="7">
        <f>B4+C4-D4-E4-F4</f>
        <v>2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3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4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3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3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300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3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3">
      <c r="A9" s="5" t="s">
        <v>167</v>
      </c>
      <c r="B9" s="6">
        <v>3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3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3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3">
      <c r="A11" s="5" t="s">
        <v>214</v>
      </c>
      <c r="B11" s="6">
        <v>1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1</v>
      </c>
      <c r="O11" s="7">
        <f t="shared" si="1"/>
        <v>0</v>
      </c>
      <c r="P11" s="7">
        <v>-1</v>
      </c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3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3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3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5" t="s">
        <v>215</v>
      </c>
      <c r="B16" s="6">
        <v>1</v>
      </c>
      <c r="C16" s="7"/>
      <c r="D16" s="7"/>
      <c r="E16" s="8"/>
      <c r="F16" s="8"/>
      <c r="G16" s="9">
        <v>5000</v>
      </c>
      <c r="H16" s="26">
        <f t="shared" si="0"/>
        <v>0</v>
      </c>
      <c r="I16" s="7"/>
      <c r="J16" s="7"/>
      <c r="K16" s="7"/>
      <c r="L16" s="7">
        <v>2600</v>
      </c>
      <c r="M16" s="7"/>
      <c r="N16" s="7">
        <f t="shared" si="2"/>
        <v>1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3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/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5" t="s">
        <v>232</v>
      </c>
      <c r="B25" s="6">
        <v>4</v>
      </c>
      <c r="C25" s="7"/>
      <c r="D25" s="7"/>
      <c r="E25" s="8">
        <v>1</v>
      </c>
      <c r="F25" s="8"/>
      <c r="G25" s="9">
        <v>2000</v>
      </c>
      <c r="H25" s="26">
        <f t="shared" si="0"/>
        <v>2000</v>
      </c>
      <c r="I25" s="7"/>
      <c r="J25" s="7"/>
      <c r="K25" s="7"/>
      <c r="L25" s="7">
        <v>130</v>
      </c>
      <c r="M25" s="7"/>
      <c r="N25" s="7">
        <f t="shared" si="2"/>
        <v>3</v>
      </c>
      <c r="O25" s="7">
        <f t="shared" si="1"/>
        <v>130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5" t="s">
        <v>299</v>
      </c>
      <c r="B26" s="6">
        <v>2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180</v>
      </c>
      <c r="M26" s="7"/>
      <c r="N26" s="7">
        <f t="shared" si="2"/>
        <v>2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5" t="s">
        <v>300</v>
      </c>
      <c r="B27" s="6">
        <v>2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/>
      <c r="M27" s="7"/>
      <c r="N27" s="7">
        <f t="shared" si="2"/>
        <v>2</v>
      </c>
      <c r="O27" s="7"/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5" t="s">
        <v>301</v>
      </c>
      <c r="B28" s="6">
        <v>1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/>
      <c r="M28" s="7"/>
      <c r="N28" s="7">
        <f t="shared" si="2"/>
        <v>1</v>
      </c>
      <c r="O28" s="7"/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5" t="s">
        <v>302</v>
      </c>
      <c r="B29" s="6">
        <v>2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/>
      <c r="M29" s="7"/>
      <c r="N29" s="7">
        <f t="shared" si="2"/>
        <v>2</v>
      </c>
      <c r="O29" s="7"/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5" t="s">
        <v>263</v>
      </c>
      <c r="B30" s="6">
        <v>1</v>
      </c>
      <c r="C30" s="7"/>
      <c r="D30" s="7"/>
      <c r="E30" s="8"/>
      <c r="F30" s="8"/>
      <c r="G30" s="9"/>
      <c r="H30" s="26"/>
      <c r="I30" s="7"/>
      <c r="J30" s="7"/>
      <c r="K30" s="7"/>
      <c r="L30" s="7">
        <v>600</v>
      </c>
      <c r="M30" s="7"/>
      <c r="N30" s="7">
        <f t="shared" si="2"/>
        <v>1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5" t="s">
        <v>30</v>
      </c>
      <c r="B31" s="6">
        <v>1</v>
      </c>
      <c r="C31" s="7"/>
      <c r="D31" s="7"/>
      <c r="E31" s="8"/>
      <c r="F31" s="8"/>
      <c r="G31" s="9">
        <v>1000</v>
      </c>
      <c r="H31" s="26"/>
      <c r="I31" s="7"/>
      <c r="J31" s="7"/>
      <c r="K31" s="7"/>
      <c r="L31" s="7"/>
      <c r="M31" s="7"/>
      <c r="N31" s="7">
        <f t="shared" si="2"/>
        <v>1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5" t="s">
        <v>294</v>
      </c>
      <c r="B32" s="6">
        <v>10</v>
      </c>
      <c r="C32" s="7"/>
      <c r="D32" s="7"/>
      <c r="E32" s="8"/>
      <c r="F32" s="8"/>
      <c r="G32" s="9">
        <v>1000</v>
      </c>
      <c r="H32" s="26">
        <f t="shared" si="0"/>
        <v>0</v>
      </c>
      <c r="I32" s="7"/>
      <c r="J32" s="7">
        <v>25</v>
      </c>
      <c r="K32" s="7"/>
      <c r="L32" s="7">
        <v>45</v>
      </c>
      <c r="M32" s="7"/>
      <c r="N32" s="7">
        <f t="shared" si="2"/>
        <v>10</v>
      </c>
      <c r="O32" s="7">
        <f t="shared" si="1"/>
        <v>0</v>
      </c>
      <c r="P32" s="7"/>
      <c r="R32" s="4"/>
      <c r="S32" s="4"/>
      <c r="T32" s="4"/>
      <c r="U32" s="4"/>
      <c r="V32" s="4" t="s">
        <v>31</v>
      </c>
      <c r="W32" s="4"/>
      <c r="X32" s="4"/>
      <c r="Y32" s="4"/>
    </row>
    <row r="33" spans="1:21" x14ac:dyDescent="0.3">
      <c r="A33" s="5" t="s">
        <v>218</v>
      </c>
      <c r="B33" s="6">
        <v>3</v>
      </c>
      <c r="C33" s="7"/>
      <c r="D33" s="7"/>
      <c r="E33" s="8"/>
      <c r="F33" s="8"/>
      <c r="G33" s="9"/>
      <c r="H33" s="26">
        <f t="shared" si="0"/>
        <v>0</v>
      </c>
      <c r="I33" s="7"/>
      <c r="J33" s="7"/>
      <c r="K33" s="7"/>
      <c r="L33" s="7"/>
      <c r="M33" s="7"/>
      <c r="N33" s="7">
        <f t="shared" si="2"/>
        <v>3</v>
      </c>
      <c r="O33" s="7"/>
      <c r="P33" s="7"/>
      <c r="R33" s="11"/>
      <c r="S33" s="11"/>
      <c r="T33" s="11"/>
      <c r="U33" s="11"/>
    </row>
    <row r="34" spans="1:21" x14ac:dyDescent="0.3">
      <c r="A34" s="5" t="s">
        <v>219</v>
      </c>
      <c r="B34" s="6">
        <v>0</v>
      </c>
      <c r="C34" s="7"/>
      <c r="D34" s="7"/>
      <c r="E34" s="8"/>
      <c r="F34" s="8"/>
      <c r="G34" s="9"/>
      <c r="H34" s="26">
        <f>(E34+F34)*G34</f>
        <v>0</v>
      </c>
      <c r="I34" s="7"/>
      <c r="J34" s="7"/>
      <c r="K34" s="7"/>
      <c r="L34" s="7">
        <v>15</v>
      </c>
      <c r="M34" s="7"/>
      <c r="N34" s="7">
        <f t="shared" si="2"/>
        <v>0</v>
      </c>
      <c r="O34" s="7">
        <f t="shared" si="1"/>
        <v>0</v>
      </c>
      <c r="P34" s="7"/>
      <c r="R34" s="11" t="s">
        <v>32</v>
      </c>
      <c r="S34" s="11"/>
      <c r="T34" s="11" t="s">
        <v>33</v>
      </c>
      <c r="U34" s="11" t="s">
        <v>34</v>
      </c>
    </row>
    <row r="35" spans="1:21" x14ac:dyDescent="0.3">
      <c r="A35" s="5" t="s">
        <v>287</v>
      </c>
      <c r="B35" s="6">
        <v>12</v>
      </c>
      <c r="C35" s="7"/>
      <c r="D35" s="7"/>
      <c r="E35" s="8"/>
      <c r="F35" s="8"/>
      <c r="G35" s="9">
        <v>200</v>
      </c>
      <c r="H35" s="26">
        <f>(E35+F35)*G35</f>
        <v>0</v>
      </c>
      <c r="I35" s="7"/>
      <c r="J35" s="7"/>
      <c r="K35" s="7"/>
      <c r="L35" s="7">
        <v>20</v>
      </c>
      <c r="M35" s="7"/>
      <c r="N35" s="7">
        <f t="shared" si="2"/>
        <v>12</v>
      </c>
      <c r="O35" s="7">
        <f t="shared" si="1"/>
        <v>0</v>
      </c>
      <c r="P35" s="7"/>
      <c r="R35" s="11"/>
      <c r="S35" s="11"/>
      <c r="T35" s="11"/>
      <c r="U35" s="11"/>
    </row>
    <row r="36" spans="1:21" x14ac:dyDescent="0.3">
      <c r="A36" s="5" t="s">
        <v>160</v>
      </c>
      <c r="B36" s="6">
        <v>0</v>
      </c>
      <c r="C36" s="7"/>
      <c r="D36" s="7"/>
      <c r="E36" s="8"/>
      <c r="F36" s="8"/>
      <c r="G36" s="9">
        <v>1500</v>
      </c>
      <c r="H36" s="26">
        <f t="shared" si="0"/>
        <v>0</v>
      </c>
      <c r="I36" s="7"/>
      <c r="J36" s="7"/>
      <c r="K36" s="7"/>
      <c r="L36" s="7">
        <v>160</v>
      </c>
      <c r="M36" s="7"/>
      <c r="N36" s="7">
        <f t="shared" si="2"/>
        <v>0</v>
      </c>
      <c r="O36" s="7">
        <f t="shared" si="1"/>
        <v>0</v>
      </c>
      <c r="P36" s="7"/>
      <c r="R36" s="11"/>
      <c r="S36" s="11"/>
      <c r="T36" s="11"/>
      <c r="U36" s="11"/>
    </row>
    <row r="37" spans="1:21" x14ac:dyDescent="0.3">
      <c r="A37" s="5" t="s">
        <v>35</v>
      </c>
      <c r="B37" s="6">
        <v>3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>
        <v>23</v>
      </c>
      <c r="K37" s="7"/>
      <c r="L37" s="7">
        <v>190</v>
      </c>
      <c r="M37" s="7"/>
      <c r="N37" s="7">
        <f t="shared" si="2"/>
        <v>3</v>
      </c>
      <c r="O37" s="7">
        <f t="shared" si="1"/>
        <v>0</v>
      </c>
      <c r="P37" s="7"/>
      <c r="R37" s="11"/>
      <c r="S37" s="11"/>
      <c r="T37" s="11"/>
      <c r="U37" s="11"/>
    </row>
    <row r="38" spans="1:21" x14ac:dyDescent="0.3">
      <c r="A38" s="5" t="s">
        <v>179</v>
      </c>
      <c r="B38" s="6">
        <v>2</v>
      </c>
      <c r="C38" s="7"/>
      <c r="D38" s="7"/>
      <c r="E38" s="8"/>
      <c r="F38" s="8"/>
      <c r="G38" s="9">
        <v>1250</v>
      </c>
      <c r="H38" s="26">
        <f t="shared" si="0"/>
        <v>0</v>
      </c>
      <c r="I38" s="7"/>
      <c r="J38" s="7"/>
      <c r="K38" s="7"/>
      <c r="L38" s="7">
        <v>36.409999999999997</v>
      </c>
      <c r="M38" s="7"/>
      <c r="N38" s="7">
        <f t="shared" si="2"/>
        <v>2</v>
      </c>
      <c r="O38" s="7">
        <f t="shared" si="1"/>
        <v>0</v>
      </c>
      <c r="P38" s="7"/>
      <c r="R38" s="4" t="s">
        <v>36</v>
      </c>
      <c r="S38" s="4"/>
      <c r="T38" s="4"/>
      <c r="U38" s="4"/>
    </row>
    <row r="39" spans="1:21" x14ac:dyDescent="0.3">
      <c r="A39" s="5" t="s">
        <v>37</v>
      </c>
      <c r="B39" s="6">
        <v>1</v>
      </c>
      <c r="C39" s="7"/>
      <c r="D39" s="7"/>
      <c r="E39" s="8"/>
      <c r="F39" s="8"/>
      <c r="G39" s="9">
        <v>500</v>
      </c>
      <c r="H39" s="26">
        <f t="shared" si="0"/>
        <v>0</v>
      </c>
      <c r="I39" s="7"/>
      <c r="J39" s="7">
        <v>5.5</v>
      </c>
      <c r="K39" s="7"/>
      <c r="L39" s="7">
        <v>15</v>
      </c>
      <c r="M39" s="7"/>
      <c r="N39" s="7">
        <f t="shared" si="2"/>
        <v>1</v>
      </c>
      <c r="O39" s="7">
        <f t="shared" si="1"/>
        <v>0</v>
      </c>
      <c r="P39" s="7"/>
      <c r="R39" s="4"/>
      <c r="S39" s="4"/>
      <c r="T39" s="4"/>
      <c r="U39" s="4"/>
    </row>
    <row r="40" spans="1:21" x14ac:dyDescent="0.3">
      <c r="A40" s="5" t="s">
        <v>235</v>
      </c>
      <c r="B40" s="6">
        <v>5</v>
      </c>
      <c r="C40" s="7"/>
      <c r="D40" s="7"/>
      <c r="E40" s="8"/>
      <c r="F40" s="8"/>
      <c r="G40" s="9">
        <v>1000</v>
      </c>
      <c r="H40" s="26">
        <f t="shared" si="0"/>
        <v>0</v>
      </c>
      <c r="I40" s="7"/>
      <c r="J40" s="7">
        <v>7</v>
      </c>
      <c r="K40" s="7"/>
      <c r="L40" s="7">
        <v>70</v>
      </c>
      <c r="M40" s="7"/>
      <c r="N40" s="7">
        <f t="shared" si="2"/>
        <v>5</v>
      </c>
      <c r="O40" s="7">
        <f t="shared" si="1"/>
        <v>0</v>
      </c>
      <c r="P40" s="7"/>
      <c r="R40" s="4"/>
      <c r="S40" s="4"/>
      <c r="T40" s="4"/>
      <c r="U40" s="4"/>
    </row>
    <row r="41" spans="1:21" x14ac:dyDescent="0.3">
      <c r="A41" s="5" t="s">
        <v>38</v>
      </c>
      <c r="B41" s="6">
        <v>7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21</v>
      </c>
      <c r="K41" s="7"/>
      <c r="L41" s="7">
        <v>40</v>
      </c>
      <c r="M41" s="7"/>
      <c r="N41" s="7">
        <f t="shared" si="2"/>
        <v>7</v>
      </c>
      <c r="O41" s="7">
        <f t="shared" si="1"/>
        <v>0</v>
      </c>
      <c r="P41" s="7">
        <v>-1</v>
      </c>
      <c r="R41" s="4"/>
      <c r="S41" s="4"/>
      <c r="T41" s="4"/>
      <c r="U41" s="4"/>
    </row>
    <row r="42" spans="1:21" x14ac:dyDescent="0.3">
      <c r="A42" s="5" t="s">
        <v>39</v>
      </c>
      <c r="B42" s="6">
        <v>5</v>
      </c>
      <c r="C42" s="7"/>
      <c r="D42" s="7"/>
      <c r="E42" s="8"/>
      <c r="F42" s="8"/>
      <c r="G42" s="9">
        <v>3000</v>
      </c>
      <c r="H42" s="26">
        <f t="shared" si="0"/>
        <v>0</v>
      </c>
      <c r="I42" s="7"/>
      <c r="J42" s="7">
        <v>220</v>
      </c>
      <c r="K42" s="7"/>
      <c r="L42" s="7">
        <v>230</v>
      </c>
      <c r="M42" s="7"/>
      <c r="N42" s="7">
        <f t="shared" si="2"/>
        <v>5</v>
      </c>
      <c r="O42" s="7">
        <f t="shared" si="1"/>
        <v>0</v>
      </c>
      <c r="P42" s="7"/>
      <c r="R42" s="4"/>
      <c r="S42" s="4"/>
      <c r="T42" s="4"/>
      <c r="U42" s="4"/>
    </row>
    <row r="43" spans="1:21" x14ac:dyDescent="0.3">
      <c r="A43" s="5" t="s">
        <v>40</v>
      </c>
      <c r="B43" s="6">
        <v>0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180</v>
      </c>
      <c r="K43" s="7"/>
      <c r="L43" s="7">
        <v>180</v>
      </c>
      <c r="M43" s="7"/>
      <c r="N43" s="7">
        <f t="shared" si="2"/>
        <v>0</v>
      </c>
      <c r="O43" s="7">
        <f t="shared" si="1"/>
        <v>0</v>
      </c>
      <c r="P43" s="7"/>
      <c r="R43" s="4"/>
      <c r="S43" s="4"/>
      <c r="T43" s="4"/>
      <c r="U43" s="4"/>
    </row>
    <row r="44" spans="1:21" x14ac:dyDescent="0.3">
      <c r="A44" s="5" t="s">
        <v>41</v>
      </c>
      <c r="B44" s="6">
        <v>0</v>
      </c>
      <c r="C44" s="7"/>
      <c r="D44" s="7"/>
      <c r="E44" s="8"/>
      <c r="F44" s="8"/>
      <c r="G44" s="9">
        <v>2000</v>
      </c>
      <c r="H44" s="26">
        <f t="shared" si="0"/>
        <v>0</v>
      </c>
      <c r="I44" s="7"/>
      <c r="J44" s="7">
        <v>105</v>
      </c>
      <c r="K44" s="7"/>
      <c r="L44" s="7">
        <v>160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1" x14ac:dyDescent="0.3">
      <c r="A45" s="5" t="s">
        <v>42</v>
      </c>
      <c r="B45" s="6">
        <v>0</v>
      </c>
      <c r="C45" s="7"/>
      <c r="D45" s="7"/>
      <c r="E45" s="8"/>
      <c r="F45" s="8"/>
      <c r="G45" s="9">
        <v>17800</v>
      </c>
      <c r="H45" s="26">
        <f t="shared" si="0"/>
        <v>0</v>
      </c>
      <c r="I45" s="7"/>
      <c r="J45" s="7">
        <v>0</v>
      </c>
      <c r="K45" s="7"/>
      <c r="L45" s="7">
        <v>760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1" x14ac:dyDescent="0.3">
      <c r="A46" s="5" t="s">
        <v>43</v>
      </c>
      <c r="B46" s="6">
        <v>0</v>
      </c>
      <c r="C46" s="7"/>
      <c r="D46" s="7"/>
      <c r="E46" s="8"/>
      <c r="F46" s="8"/>
      <c r="G46" s="9">
        <v>5000</v>
      </c>
      <c r="H46" s="26">
        <f t="shared" si="0"/>
        <v>0</v>
      </c>
      <c r="I46" s="7"/>
      <c r="J46" s="7">
        <v>600</v>
      </c>
      <c r="K46" s="7"/>
      <c r="L46" s="7">
        <v>1100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1" x14ac:dyDescent="0.3">
      <c r="A47" s="5" t="s">
        <v>154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/>
      <c r="K47" s="7"/>
      <c r="L47" s="7">
        <v>800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1" x14ac:dyDescent="0.3">
      <c r="A48" s="5" t="s">
        <v>187</v>
      </c>
      <c r="B48" s="6">
        <v>3</v>
      </c>
      <c r="C48" s="7"/>
      <c r="D48" s="7"/>
      <c r="E48" s="8"/>
      <c r="F48" s="8"/>
      <c r="G48" s="9">
        <v>6000</v>
      </c>
      <c r="H48" s="26">
        <f t="shared" si="0"/>
        <v>0</v>
      </c>
      <c r="I48" s="7"/>
      <c r="J48" s="7">
        <v>1700</v>
      </c>
      <c r="K48" s="7"/>
      <c r="L48" s="7">
        <v>820</v>
      </c>
      <c r="M48" s="7"/>
      <c r="N48" s="7">
        <f t="shared" si="2"/>
        <v>3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3">
      <c r="A49" s="5" t="s">
        <v>44</v>
      </c>
      <c r="B49" s="6">
        <v>0</v>
      </c>
      <c r="C49" s="7"/>
      <c r="D49" s="7"/>
      <c r="E49" s="8"/>
      <c r="F49" s="8"/>
      <c r="G49" s="9"/>
      <c r="H49" s="26">
        <f t="shared" si="0"/>
        <v>0</v>
      </c>
      <c r="I49" s="7"/>
      <c r="J49" s="7">
        <v>3300</v>
      </c>
      <c r="K49" s="7"/>
      <c r="L49" s="7"/>
      <c r="M49" s="7"/>
      <c r="N49" s="7">
        <f t="shared" si="2"/>
        <v>0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3">
      <c r="A50" s="5" t="s">
        <v>208</v>
      </c>
      <c r="B50" s="6">
        <v>1</v>
      </c>
      <c r="C50" s="7"/>
      <c r="D50" s="7"/>
      <c r="E50" s="8"/>
      <c r="F50" s="8"/>
      <c r="G50" s="9">
        <v>7000</v>
      </c>
      <c r="H50" s="26">
        <f t="shared" si="0"/>
        <v>0</v>
      </c>
      <c r="I50" s="7"/>
      <c r="J50" s="7">
        <v>800</v>
      </c>
      <c r="K50" s="7"/>
      <c r="L50" s="7">
        <v>1300</v>
      </c>
      <c r="M50" s="7"/>
      <c r="N50" s="7">
        <f t="shared" si="2"/>
        <v>1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3">
      <c r="A51" s="5" t="s">
        <v>151</v>
      </c>
      <c r="B51" s="6">
        <v>2</v>
      </c>
      <c r="C51" s="7"/>
      <c r="D51" s="7"/>
      <c r="E51" s="8"/>
      <c r="F51" s="8"/>
      <c r="G51" s="9">
        <v>2000</v>
      </c>
      <c r="H51" s="26"/>
      <c r="I51" s="7"/>
      <c r="J51" s="7"/>
      <c r="K51" s="7"/>
      <c r="L51" s="7">
        <v>230</v>
      </c>
      <c r="M51" s="7"/>
      <c r="N51" s="7">
        <f t="shared" si="2"/>
        <v>2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3">
      <c r="A52" s="5" t="s">
        <v>45</v>
      </c>
      <c r="B52" s="6">
        <v>0</v>
      </c>
      <c r="C52" s="7"/>
      <c r="D52" s="7"/>
      <c r="E52" s="8"/>
      <c r="F52" s="8"/>
      <c r="G52" s="9">
        <v>5500</v>
      </c>
      <c r="H52" s="26">
        <f t="shared" si="0"/>
        <v>0</v>
      </c>
      <c r="I52" s="7"/>
      <c r="J52" s="7"/>
      <c r="K52" s="7"/>
      <c r="L52" s="7">
        <v>800</v>
      </c>
      <c r="M52" s="7"/>
      <c r="N52" s="7">
        <f t="shared" si="2"/>
        <v>0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3">
      <c r="A53" s="5" t="s">
        <v>46</v>
      </c>
      <c r="B53" s="6">
        <v>0</v>
      </c>
      <c r="C53" s="7"/>
      <c r="D53" s="7"/>
      <c r="E53" s="8"/>
      <c r="F53" s="8"/>
      <c r="G53" s="9"/>
      <c r="H53" s="26">
        <f t="shared" si="0"/>
        <v>0</v>
      </c>
      <c r="I53" s="7"/>
      <c r="J53" s="7"/>
      <c r="K53" s="7"/>
      <c r="L53" s="7">
        <v>120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3">
      <c r="A54" s="5" t="s">
        <v>168</v>
      </c>
      <c r="B54" s="6">
        <v>0</v>
      </c>
      <c r="C54" s="7"/>
      <c r="D54" s="7"/>
      <c r="E54" s="8"/>
      <c r="F54" s="8"/>
      <c r="G54" s="9">
        <v>4000</v>
      </c>
      <c r="H54" s="26"/>
      <c r="I54" s="7"/>
      <c r="J54" s="7"/>
      <c r="K54" s="7"/>
      <c r="L54" s="7">
        <v>650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3">
      <c r="A55" s="5" t="s">
        <v>244</v>
      </c>
      <c r="B55" s="6">
        <v>0</v>
      </c>
      <c r="C55" s="7"/>
      <c r="D55" s="7"/>
      <c r="E55" s="8"/>
      <c r="F55" s="8"/>
      <c r="G55" s="9">
        <v>4000</v>
      </c>
      <c r="H55" s="26">
        <f t="shared" si="0"/>
        <v>0</v>
      </c>
      <c r="I55" s="7"/>
      <c r="J55" s="7"/>
      <c r="K55" s="7"/>
      <c r="L55" s="7">
        <v>500</v>
      </c>
      <c r="M55" s="7"/>
      <c r="N55" s="7">
        <f t="shared" si="2"/>
        <v>0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3">
      <c r="A56" s="5" t="s">
        <v>47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>
        <v>600</v>
      </c>
      <c r="K56" s="7"/>
      <c r="L56" s="7">
        <v>630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3">
      <c r="A57" s="5" t="s">
        <v>48</v>
      </c>
      <c r="B57" s="6">
        <v>1</v>
      </c>
      <c r="C57" s="7"/>
      <c r="D57" s="7"/>
      <c r="E57" s="8"/>
      <c r="F57" s="8"/>
      <c r="G57" s="9">
        <v>5000</v>
      </c>
      <c r="H57" s="26">
        <f t="shared" si="0"/>
        <v>0</v>
      </c>
      <c r="I57" s="7"/>
      <c r="J57" s="7">
        <v>1050</v>
      </c>
      <c r="K57" s="7"/>
      <c r="L57" s="7">
        <v>900</v>
      </c>
      <c r="M57" s="7"/>
      <c r="N57" s="7">
        <f t="shared" si="2"/>
        <v>1</v>
      </c>
      <c r="O57" s="7">
        <f t="shared" si="1"/>
        <v>0</v>
      </c>
      <c r="P57" s="7" t="s">
        <v>247</v>
      </c>
      <c r="R57" s="4"/>
      <c r="S57" s="4"/>
      <c r="T57" s="4"/>
      <c r="U57" s="4"/>
    </row>
    <row r="58" spans="1:21" x14ac:dyDescent="0.3">
      <c r="A58" s="5" t="s">
        <v>238</v>
      </c>
      <c r="B58" s="6">
        <v>0</v>
      </c>
      <c r="C58" s="7"/>
      <c r="D58" s="7"/>
      <c r="E58" s="8"/>
      <c r="F58" s="8"/>
      <c r="G58" s="9">
        <v>1000</v>
      </c>
      <c r="H58" s="26">
        <f t="shared" si="0"/>
        <v>0</v>
      </c>
      <c r="I58" s="7"/>
      <c r="J58" s="7"/>
      <c r="K58" s="7"/>
      <c r="L58" s="7">
        <v>65</v>
      </c>
      <c r="M58" s="7"/>
      <c r="N58" s="7">
        <f t="shared" si="2"/>
        <v>0</v>
      </c>
      <c r="O58" s="7">
        <f t="shared" si="1"/>
        <v>0</v>
      </c>
      <c r="P58" s="7"/>
      <c r="R58" s="4"/>
      <c r="S58" s="4"/>
      <c r="T58" s="4"/>
      <c r="U58" s="4"/>
    </row>
    <row r="59" spans="1:21" x14ac:dyDescent="0.3">
      <c r="A59" s="5" t="s">
        <v>239</v>
      </c>
      <c r="B59" s="6">
        <v>0</v>
      </c>
      <c r="C59" s="7"/>
      <c r="D59" s="7"/>
      <c r="E59" s="8"/>
      <c r="F59" s="8"/>
      <c r="G59" s="9">
        <v>2000</v>
      </c>
      <c r="H59" s="26">
        <f t="shared" si="0"/>
        <v>0</v>
      </c>
      <c r="I59" s="7"/>
      <c r="J59" s="7"/>
      <c r="K59" s="7"/>
      <c r="L59" s="7">
        <v>170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3">
      <c r="A60" s="5" t="s">
        <v>157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180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3">
      <c r="A61" s="5" t="s">
        <v>257</v>
      </c>
      <c r="B61" s="6">
        <v>1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235</v>
      </c>
      <c r="M61" s="7"/>
      <c r="N61" s="7">
        <f t="shared" si="2"/>
        <v>1</v>
      </c>
      <c r="O61" s="7">
        <f t="shared" si="1"/>
        <v>0</v>
      </c>
      <c r="P61" s="7">
        <v>-1</v>
      </c>
      <c r="R61" s="4"/>
      <c r="S61" s="4"/>
      <c r="T61" s="4"/>
      <c r="U61" s="4"/>
    </row>
    <row r="62" spans="1:21" x14ac:dyDescent="0.3">
      <c r="A62" s="5" t="s">
        <v>258</v>
      </c>
      <c r="B62" s="6">
        <v>0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130</v>
      </c>
      <c r="M62" s="7"/>
      <c r="N62" s="7">
        <f t="shared" si="2"/>
        <v>0</v>
      </c>
      <c r="O62" s="7">
        <f t="shared" si="1"/>
        <v>0</v>
      </c>
      <c r="P62" s="7" t="s">
        <v>126</v>
      </c>
      <c r="R62" s="4"/>
      <c r="S62" s="4"/>
      <c r="T62" s="4"/>
      <c r="U62" s="4"/>
    </row>
    <row r="63" spans="1:21" x14ac:dyDescent="0.3">
      <c r="A63" s="5" t="s">
        <v>259</v>
      </c>
      <c r="B63" s="6">
        <v>1</v>
      </c>
      <c r="C63" s="7"/>
      <c r="D63" s="7"/>
      <c r="E63" s="8"/>
      <c r="F63" s="8"/>
      <c r="G63" s="9">
        <v>1000</v>
      </c>
      <c r="H63" s="26">
        <f t="shared" si="0"/>
        <v>0</v>
      </c>
      <c r="I63" s="7"/>
      <c r="J63" s="7"/>
      <c r="K63" s="7"/>
      <c r="L63" s="7">
        <v>75</v>
      </c>
      <c r="M63" s="7"/>
      <c r="N63" s="7">
        <f t="shared" si="2"/>
        <v>1</v>
      </c>
      <c r="O63" s="7">
        <f t="shared" si="1"/>
        <v>0</v>
      </c>
      <c r="P63" s="7"/>
      <c r="R63" s="4"/>
      <c r="S63" s="4"/>
      <c r="T63" s="4"/>
      <c r="U63" s="4"/>
    </row>
    <row r="64" spans="1:21" x14ac:dyDescent="0.3">
      <c r="A64" s="5" t="s">
        <v>291</v>
      </c>
      <c r="B64" s="6">
        <v>4</v>
      </c>
      <c r="C64" s="7"/>
      <c r="D64" s="7"/>
      <c r="E64" s="8"/>
      <c r="F64" s="8"/>
      <c r="G64" s="9">
        <v>2000</v>
      </c>
      <c r="H64" s="26">
        <f t="shared" si="0"/>
        <v>0</v>
      </c>
      <c r="I64" s="7"/>
      <c r="J64" s="7"/>
      <c r="K64" s="7"/>
      <c r="L64" s="7">
        <v>125</v>
      </c>
      <c r="M64" s="7"/>
      <c r="N64" s="7">
        <f t="shared" si="2"/>
        <v>4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3">
      <c r="A65" s="5" t="s">
        <v>49</v>
      </c>
      <c r="B65" s="6">
        <v>2</v>
      </c>
      <c r="C65" s="7"/>
      <c r="D65" s="7"/>
      <c r="E65" s="8"/>
      <c r="F65" s="8"/>
      <c r="G65" s="9">
        <v>500</v>
      </c>
      <c r="H65" s="26">
        <f t="shared" si="0"/>
        <v>0</v>
      </c>
      <c r="I65" s="7"/>
      <c r="J65" s="7">
        <v>30</v>
      </c>
      <c r="K65" s="7"/>
      <c r="L65" s="7">
        <v>35</v>
      </c>
      <c r="M65" s="7"/>
      <c r="N65" s="7">
        <f t="shared" si="2"/>
        <v>2</v>
      </c>
      <c r="O65" s="7">
        <f t="shared" si="1"/>
        <v>0</v>
      </c>
      <c r="P65" s="7">
        <v>-1</v>
      </c>
      <c r="R65" s="4"/>
      <c r="S65" s="4"/>
      <c r="T65" s="4"/>
      <c r="U65" s="4"/>
    </row>
    <row r="66" spans="1:23" x14ac:dyDescent="0.3">
      <c r="A66" s="5" t="s">
        <v>50</v>
      </c>
      <c r="B66" s="6">
        <v>0</v>
      </c>
      <c r="C66" s="7"/>
      <c r="D66" s="7"/>
      <c r="E66" s="8"/>
      <c r="F66" s="8"/>
      <c r="G66" s="9">
        <v>1000</v>
      </c>
      <c r="H66" s="26">
        <f t="shared" si="0"/>
        <v>0</v>
      </c>
      <c r="I66" s="7"/>
      <c r="J66" s="7"/>
      <c r="K66" s="7"/>
      <c r="L66" s="7">
        <v>45</v>
      </c>
      <c r="M66" s="7"/>
      <c r="N66" s="7">
        <f t="shared" si="2"/>
        <v>0</v>
      </c>
      <c r="O66" s="7">
        <f t="shared" si="1"/>
        <v>0</v>
      </c>
      <c r="P66" s="7"/>
      <c r="R66" s="4" t="s">
        <v>51</v>
      </c>
      <c r="S66" s="4">
        <v>125</v>
      </c>
      <c r="T66" s="4"/>
      <c r="U66" s="4"/>
    </row>
    <row r="67" spans="1:23" x14ac:dyDescent="0.3">
      <c r="A67" s="5" t="s">
        <v>52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>
        <v>18</v>
      </c>
      <c r="K67" s="7"/>
      <c r="L67" s="7">
        <v>20</v>
      </c>
      <c r="M67" s="7"/>
      <c r="N67" s="7">
        <f t="shared" si="2"/>
        <v>0</v>
      </c>
      <c r="O67" s="7">
        <f t="shared" si="1"/>
        <v>0</v>
      </c>
      <c r="P67" s="7"/>
      <c r="R67" s="4"/>
      <c r="S67" s="4"/>
      <c r="T67" s="4"/>
      <c r="U67" s="4"/>
    </row>
    <row r="68" spans="1:23" x14ac:dyDescent="0.3">
      <c r="A68" s="5" t="s">
        <v>278</v>
      </c>
      <c r="B68" s="6">
        <v>1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/>
      <c r="K68" s="7"/>
      <c r="L68" s="7">
        <v>45</v>
      </c>
      <c r="M68" s="7"/>
      <c r="N68" s="7">
        <f t="shared" si="2"/>
        <v>1</v>
      </c>
      <c r="O68" s="7">
        <f t="shared" si="1"/>
        <v>0</v>
      </c>
      <c r="P68" s="7"/>
      <c r="R68" s="4" t="s">
        <v>34</v>
      </c>
      <c r="S68" s="4"/>
      <c r="T68" s="4">
        <f>U68/370</f>
        <v>0</v>
      </c>
      <c r="U68" s="4"/>
      <c r="W68" s="4"/>
    </row>
    <row r="69" spans="1:23" x14ac:dyDescent="0.3">
      <c r="A69" s="5" t="s">
        <v>53</v>
      </c>
      <c r="B69" s="6">
        <v>3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35</v>
      </c>
      <c r="M69" s="7"/>
      <c r="N69" s="7">
        <f t="shared" si="2"/>
        <v>3</v>
      </c>
      <c r="O69" s="7">
        <f t="shared" si="1"/>
        <v>0</v>
      </c>
      <c r="P69" s="7"/>
      <c r="R69" s="4"/>
      <c r="S69" s="4"/>
      <c r="T69" s="4"/>
      <c r="U69" s="4"/>
      <c r="W69" s="4"/>
    </row>
    <row r="70" spans="1:23" x14ac:dyDescent="0.3">
      <c r="A70" s="5" t="s">
        <v>243</v>
      </c>
      <c r="B70" s="6">
        <v>0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45</v>
      </c>
      <c r="M70" s="7">
        <v>0</v>
      </c>
      <c r="N70" s="7">
        <f t="shared" si="2"/>
        <v>0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3">
      <c r="A71" s="5" t="s">
        <v>173</v>
      </c>
      <c r="B71" s="6">
        <v>1</v>
      </c>
      <c r="C71" s="10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/>
      <c r="N71" s="7">
        <f t="shared" si="2"/>
        <v>1</v>
      </c>
      <c r="O71" s="7">
        <f>E71*L71+F71*M71</f>
        <v>0</v>
      </c>
      <c r="P71" s="7"/>
      <c r="R71" s="4"/>
      <c r="S71" s="4"/>
      <c r="T71" s="4"/>
      <c r="U71" s="4"/>
      <c r="W71" s="4"/>
    </row>
    <row r="72" spans="1:23" x14ac:dyDescent="0.3">
      <c r="A72" s="5" t="s">
        <v>211</v>
      </c>
      <c r="B72" s="6">
        <v>2</v>
      </c>
      <c r="C72" s="10"/>
      <c r="D72" s="7"/>
      <c r="E72" s="8"/>
      <c r="F72" s="8"/>
      <c r="G72" s="9">
        <v>1000</v>
      </c>
      <c r="H72" s="26">
        <f t="shared" ref="H72:H136" si="3">(E72+F72)*G72</f>
        <v>0</v>
      </c>
      <c r="I72" s="7"/>
      <c r="J72" s="7"/>
      <c r="K72" s="7"/>
      <c r="L72" s="7">
        <v>45</v>
      </c>
      <c r="M72" s="7"/>
      <c r="N72" s="7">
        <f t="shared" si="2"/>
        <v>2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3">
      <c r="A73" s="5" t="s">
        <v>54</v>
      </c>
      <c r="B73" s="6">
        <v>3</v>
      </c>
      <c r="C73" s="10"/>
      <c r="D73" s="7"/>
      <c r="E73" s="8"/>
      <c r="F73" s="8"/>
      <c r="G73" s="9">
        <v>1000</v>
      </c>
      <c r="H73" s="26">
        <f t="shared" si="3"/>
        <v>0</v>
      </c>
      <c r="I73" s="7"/>
      <c r="J73" s="7">
        <v>25</v>
      </c>
      <c r="K73" s="7"/>
      <c r="L73" s="7">
        <v>50</v>
      </c>
      <c r="M73" s="7"/>
      <c r="N73" s="7">
        <f t="shared" si="2"/>
        <v>3</v>
      </c>
      <c r="O73" s="7">
        <f t="shared" si="1"/>
        <v>0</v>
      </c>
      <c r="P73" s="7"/>
      <c r="R73" s="4"/>
      <c r="S73" s="4"/>
      <c r="T73" s="4"/>
      <c r="U73" s="4"/>
      <c r="W73" s="4"/>
    </row>
    <row r="74" spans="1:23" x14ac:dyDescent="0.3">
      <c r="A74" s="5" t="s">
        <v>55</v>
      </c>
      <c r="B74" s="6">
        <v>1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/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>
        <v>-1</v>
      </c>
      <c r="R74" s="4"/>
      <c r="S74" s="4"/>
      <c r="T74" s="4"/>
      <c r="U74" s="4"/>
      <c r="W74" s="4"/>
    </row>
    <row r="75" spans="1:23" x14ac:dyDescent="0.3">
      <c r="A75" s="5" t="s">
        <v>56</v>
      </c>
      <c r="B75" s="6">
        <v>0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>
        <v>60</v>
      </c>
      <c r="K75" s="7"/>
      <c r="L75" s="7">
        <v>55</v>
      </c>
      <c r="M75" s="7"/>
      <c r="N75" s="7">
        <f t="shared" si="2"/>
        <v>0</v>
      </c>
      <c r="O75" s="7">
        <f t="shared" si="1"/>
        <v>0</v>
      </c>
      <c r="P75" s="7"/>
      <c r="R75" s="4"/>
      <c r="S75" s="4"/>
      <c r="T75" s="4"/>
      <c r="U75" s="4"/>
      <c r="W75" s="4"/>
    </row>
    <row r="76" spans="1:23" x14ac:dyDescent="0.3">
      <c r="A76" s="5" t="s">
        <v>233</v>
      </c>
      <c r="B76" s="6">
        <v>2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/>
      <c r="K76" s="7"/>
      <c r="L76" s="7">
        <v>65</v>
      </c>
      <c r="M76" s="7"/>
      <c r="N76" s="7">
        <f t="shared" si="2"/>
        <v>2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3">
      <c r="A77" s="5" t="s">
        <v>272</v>
      </c>
      <c r="B77" s="6">
        <v>3</v>
      </c>
      <c r="C77" s="10"/>
      <c r="D77" s="7"/>
      <c r="E77" s="8"/>
      <c r="F77" s="8"/>
      <c r="G77" s="9">
        <v>5000</v>
      </c>
      <c r="H77" s="26">
        <f t="shared" si="3"/>
        <v>0</v>
      </c>
      <c r="I77" s="7"/>
      <c r="J77" s="7"/>
      <c r="K77" s="7"/>
      <c r="L77" s="7">
        <v>550</v>
      </c>
      <c r="M77" s="7"/>
      <c r="N77" s="7">
        <f t="shared" si="2"/>
        <v>3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3">
      <c r="A78" s="5" t="s">
        <v>298</v>
      </c>
      <c r="B78" s="6">
        <v>2</v>
      </c>
      <c r="C78" s="10"/>
      <c r="D78" s="7"/>
      <c r="E78" s="8"/>
      <c r="F78" s="8"/>
      <c r="G78" s="9">
        <v>5000</v>
      </c>
      <c r="H78" s="26">
        <f t="shared" si="3"/>
        <v>0</v>
      </c>
      <c r="I78" s="7"/>
      <c r="J78" s="7"/>
      <c r="K78" s="7"/>
      <c r="L78" s="7">
        <v>500</v>
      </c>
      <c r="M78" s="7"/>
      <c r="N78" s="7">
        <f t="shared" si="2"/>
        <v>2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3">
      <c r="A79" s="5" t="s">
        <v>180</v>
      </c>
      <c r="B79" s="6">
        <v>0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2100</v>
      </c>
      <c r="M79" s="7"/>
      <c r="N79" s="7">
        <f t="shared" si="2"/>
        <v>0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3">
      <c r="A80" s="5" t="s">
        <v>226</v>
      </c>
      <c r="B80" s="6">
        <v>0</v>
      </c>
      <c r="C80" s="10"/>
      <c r="D80" s="7"/>
      <c r="E80" s="8"/>
      <c r="F80" s="8"/>
      <c r="G80" s="9">
        <v>5000</v>
      </c>
      <c r="H80" s="26"/>
      <c r="I80" s="7"/>
      <c r="J80" s="7"/>
      <c r="K80" s="7"/>
      <c r="L80" s="7">
        <v>2200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3">
      <c r="A81" s="5" t="s">
        <v>181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>
        <v>60</v>
      </c>
      <c r="K81" s="7"/>
      <c r="L81" s="7">
        <v>100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3">
      <c r="A82" s="5" t="s">
        <v>155</v>
      </c>
      <c r="B82" s="6">
        <v>1</v>
      </c>
      <c r="C82" s="10"/>
      <c r="D82" s="7"/>
      <c r="E82" s="8"/>
      <c r="F82" s="8"/>
      <c r="G82" s="9">
        <v>15000</v>
      </c>
      <c r="H82" s="26">
        <f t="shared" si="3"/>
        <v>0</v>
      </c>
      <c r="I82" s="7"/>
      <c r="J82" s="7"/>
      <c r="K82" s="7"/>
      <c r="L82" s="7">
        <v>600</v>
      </c>
      <c r="M82" s="7"/>
      <c r="N82" s="7">
        <f t="shared" si="2"/>
        <v>1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3">
      <c r="A83" s="5" t="s">
        <v>230</v>
      </c>
      <c r="B83" s="6">
        <v>0</v>
      </c>
      <c r="C83" s="10"/>
      <c r="D83" s="7"/>
      <c r="E83" s="8"/>
      <c r="F83" s="8"/>
      <c r="G83" s="9">
        <v>5000</v>
      </c>
      <c r="H83" s="26">
        <f t="shared" si="3"/>
        <v>0</v>
      </c>
      <c r="I83" s="7"/>
      <c r="J83" s="7"/>
      <c r="K83" s="7"/>
      <c r="L83" s="7">
        <v>1160</v>
      </c>
      <c r="M83" s="7"/>
      <c r="N83" s="7">
        <f t="shared" si="2"/>
        <v>0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3">
      <c r="A84" s="5" t="s">
        <v>161</v>
      </c>
      <c r="B84" s="6">
        <v>10</v>
      </c>
      <c r="C84" s="10"/>
      <c r="D84" s="7"/>
      <c r="E84" s="8"/>
      <c r="F84" s="8"/>
      <c r="G84" s="9">
        <v>500</v>
      </c>
      <c r="H84" s="26">
        <f t="shared" si="3"/>
        <v>0</v>
      </c>
      <c r="I84" s="7"/>
      <c r="J84" s="7"/>
      <c r="K84" s="7"/>
      <c r="L84" s="7">
        <v>10</v>
      </c>
      <c r="M84" s="7"/>
      <c r="N84" s="7">
        <f t="shared" si="2"/>
        <v>10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3">
      <c r="A85" s="5" t="s">
        <v>159</v>
      </c>
      <c r="B85" s="6">
        <v>1</v>
      </c>
      <c r="C85" s="10"/>
      <c r="D85" s="7"/>
      <c r="E85" s="8"/>
      <c r="F85" s="8"/>
      <c r="G85" s="9">
        <v>2000</v>
      </c>
      <c r="H85" s="26">
        <f t="shared" si="3"/>
        <v>0</v>
      </c>
      <c r="I85" s="7"/>
      <c r="J85" s="7"/>
      <c r="K85" s="7"/>
      <c r="L85" s="7">
        <v>130</v>
      </c>
      <c r="M85" s="7"/>
      <c r="N85" s="7">
        <f t="shared" ref="N85:N161" si="4">B85+C85-D85-E85-F85</f>
        <v>1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3">
      <c r="A86" s="5" t="s">
        <v>164</v>
      </c>
      <c r="B86" s="6">
        <v>0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si="4"/>
        <v>0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3">
      <c r="A87" s="5" t="s">
        <v>57</v>
      </c>
      <c r="B87" s="6">
        <v>4</v>
      </c>
      <c r="C87" s="10"/>
      <c r="D87" s="7"/>
      <c r="E87" s="8"/>
      <c r="F87" s="8"/>
      <c r="G87" s="9">
        <v>500</v>
      </c>
      <c r="H87" s="26">
        <f t="shared" si="3"/>
        <v>0</v>
      </c>
      <c r="I87" s="7"/>
      <c r="J87" s="7"/>
      <c r="K87" s="7"/>
      <c r="L87" s="7">
        <v>45</v>
      </c>
      <c r="M87" s="7"/>
      <c r="N87" s="7">
        <f t="shared" si="4"/>
        <v>4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3">
      <c r="A88" s="5" t="s">
        <v>175</v>
      </c>
      <c r="B88" s="6">
        <v>0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125</v>
      </c>
      <c r="M88" s="7"/>
      <c r="N88" s="7">
        <f t="shared" si="4"/>
        <v>0</v>
      </c>
      <c r="O88" s="7">
        <f t="shared" si="1"/>
        <v>0</v>
      </c>
      <c r="P88" s="7"/>
      <c r="R88" s="4" t="s">
        <v>58</v>
      </c>
      <c r="S88" s="4"/>
      <c r="T88" s="4"/>
      <c r="U88" s="4"/>
      <c r="W88" s="4"/>
    </row>
    <row r="89" spans="1:23" x14ac:dyDescent="0.3">
      <c r="A89" s="5" t="s">
        <v>176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120</v>
      </c>
      <c r="M89" s="7"/>
      <c r="N89" s="7">
        <f t="shared" si="4"/>
        <v>0</v>
      </c>
      <c r="O89" s="7"/>
      <c r="P89" s="7"/>
      <c r="R89" s="4"/>
      <c r="S89" s="4"/>
      <c r="T89" s="4"/>
      <c r="U89" s="4"/>
      <c r="W89" s="4"/>
    </row>
    <row r="90" spans="1:23" x14ac:dyDescent="0.3">
      <c r="A90" s="5" t="s">
        <v>177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90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3">
      <c r="A91" s="5" t="s">
        <v>178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95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3">
      <c r="A92" s="5" t="s">
        <v>59</v>
      </c>
      <c r="B92" s="6">
        <v>1</v>
      </c>
      <c r="C92" s="10"/>
      <c r="D92" s="7"/>
      <c r="E92" s="8"/>
      <c r="F92" s="8"/>
      <c r="G92" s="9">
        <v>3000</v>
      </c>
      <c r="H92" s="26">
        <f t="shared" si="3"/>
        <v>0</v>
      </c>
      <c r="I92" s="7"/>
      <c r="J92" s="7">
        <v>290</v>
      </c>
      <c r="K92" s="7"/>
      <c r="L92" s="7">
        <v>600</v>
      </c>
      <c r="M92" s="7"/>
      <c r="N92" s="7">
        <f t="shared" si="4"/>
        <v>1</v>
      </c>
      <c r="O92" s="7">
        <f t="shared" si="1"/>
        <v>0</v>
      </c>
      <c r="P92" s="7"/>
      <c r="R92" s="4"/>
      <c r="S92" s="4"/>
      <c r="T92" s="4"/>
      <c r="U92" s="4"/>
      <c r="W92" s="4"/>
    </row>
    <row r="93" spans="1:23" x14ac:dyDescent="0.3">
      <c r="A93" s="5" t="s">
        <v>60</v>
      </c>
      <c r="B93" s="6">
        <v>1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300</v>
      </c>
      <c r="K93" s="7"/>
      <c r="L93" s="7">
        <v>380</v>
      </c>
      <c r="M93" s="7"/>
      <c r="N93" s="7">
        <f t="shared" si="4"/>
        <v>1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3">
      <c r="A94" s="5" t="s">
        <v>224</v>
      </c>
      <c r="B94" s="6">
        <v>0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/>
      <c r="K94" s="7"/>
      <c r="L94" s="7">
        <v>170</v>
      </c>
      <c r="M94" s="7"/>
      <c r="N94" s="7">
        <f t="shared" si="4"/>
        <v>0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3">
      <c r="A95" s="5" t="s">
        <v>61</v>
      </c>
      <c r="B95" s="6">
        <v>3</v>
      </c>
      <c r="C95" s="10"/>
      <c r="D95" s="7"/>
      <c r="E95" s="8">
        <v>1</v>
      </c>
      <c r="F95" s="8"/>
      <c r="G95" s="9">
        <v>3000</v>
      </c>
      <c r="H95" s="26">
        <f t="shared" si="3"/>
        <v>3000</v>
      </c>
      <c r="I95" s="7">
        <v>700</v>
      </c>
      <c r="J95" s="7">
        <v>145</v>
      </c>
      <c r="K95" s="7"/>
      <c r="L95" s="7">
        <v>180</v>
      </c>
      <c r="M95" s="7"/>
      <c r="N95" s="7">
        <f t="shared" si="4"/>
        <v>2</v>
      </c>
      <c r="O95" s="7">
        <f t="shared" si="1"/>
        <v>180</v>
      </c>
      <c r="P95" s="7"/>
      <c r="R95" s="4"/>
      <c r="S95" s="4"/>
      <c r="T95" s="4">
        <f>SUM(T38:T88)</f>
        <v>0</v>
      </c>
      <c r="U95" s="4"/>
      <c r="W95" s="4"/>
    </row>
    <row r="96" spans="1:23" x14ac:dyDescent="0.3">
      <c r="A96" s="5" t="s">
        <v>62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/>
      <c r="K96" s="7"/>
      <c r="L96" s="7">
        <v>265</v>
      </c>
      <c r="M96" s="7"/>
      <c r="N96" s="7">
        <f t="shared" si="4"/>
        <v>2</v>
      </c>
      <c r="O96" s="7">
        <f t="shared" si="1"/>
        <v>0</v>
      </c>
      <c r="P96" s="7"/>
      <c r="R96" s="4"/>
      <c r="S96" s="4"/>
      <c r="T96" s="4"/>
      <c r="U96" s="4"/>
    </row>
    <row r="97" spans="1:21" x14ac:dyDescent="0.3">
      <c r="A97" s="5" t="s">
        <v>63</v>
      </c>
      <c r="B97" s="6">
        <v>4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225</v>
      </c>
      <c r="M97" s="7"/>
      <c r="N97" s="7">
        <f t="shared" si="4"/>
        <v>4</v>
      </c>
      <c r="O97" s="7">
        <f t="shared" si="1"/>
        <v>0</v>
      </c>
      <c r="P97" s="7"/>
      <c r="R97" s="4" t="s">
        <v>64</v>
      </c>
      <c r="S97" s="4"/>
      <c r="T97" s="4"/>
      <c r="U97" s="4"/>
    </row>
    <row r="98" spans="1:21" x14ac:dyDescent="0.3">
      <c r="A98" s="5" t="s">
        <v>241</v>
      </c>
      <c r="B98" s="6">
        <v>0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170</v>
      </c>
      <c r="M98" s="7"/>
      <c r="N98" s="7">
        <f t="shared" si="4"/>
        <v>0</v>
      </c>
      <c r="O98" s="7">
        <f t="shared" si="1"/>
        <v>0</v>
      </c>
      <c r="P98" s="7"/>
      <c r="R98" s="4"/>
      <c r="S98" s="4"/>
      <c r="T98" s="4"/>
      <c r="U98" s="4"/>
    </row>
    <row r="99" spans="1:21" x14ac:dyDescent="0.3">
      <c r="A99" s="5" t="s">
        <v>212</v>
      </c>
      <c r="B99" s="6">
        <v>7</v>
      </c>
      <c r="C99" s="10"/>
      <c r="D99" s="7"/>
      <c r="E99" s="8">
        <v>2</v>
      </c>
      <c r="F99" s="8"/>
      <c r="G99" s="9">
        <v>3000</v>
      </c>
      <c r="H99" s="26">
        <f t="shared" si="3"/>
        <v>6000</v>
      </c>
      <c r="I99" s="7">
        <v>1400</v>
      </c>
      <c r="J99" s="7">
        <v>190</v>
      </c>
      <c r="K99" s="7"/>
      <c r="L99" s="7">
        <v>200</v>
      </c>
      <c r="M99" s="7"/>
      <c r="N99" s="7">
        <f t="shared" si="4"/>
        <v>5</v>
      </c>
      <c r="O99" s="7">
        <f t="shared" si="1"/>
        <v>400</v>
      </c>
      <c r="P99" s="7"/>
      <c r="R99" s="4"/>
      <c r="S99" s="4"/>
      <c r="T99" s="4"/>
      <c r="U99" s="4"/>
    </row>
    <row r="100" spans="1:21" x14ac:dyDescent="0.3">
      <c r="A100" s="5" t="s">
        <v>271</v>
      </c>
      <c r="B100" s="6">
        <v>9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/>
      <c r="K100" s="7"/>
      <c r="L100" s="7">
        <v>195</v>
      </c>
      <c r="M100" s="7"/>
      <c r="N100" s="7">
        <f t="shared" si="4"/>
        <v>9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3">
      <c r="A101" s="5" t="s">
        <v>191</v>
      </c>
      <c r="B101" s="6">
        <v>2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>
        <v>160</v>
      </c>
      <c r="K101" s="7"/>
      <c r="L101" s="7">
        <v>300</v>
      </c>
      <c r="M101" s="7"/>
      <c r="N101" s="7">
        <f t="shared" si="4"/>
        <v>2</v>
      </c>
      <c r="O101" s="7">
        <f t="shared" si="1"/>
        <v>0</v>
      </c>
      <c r="P101" s="7" t="s">
        <v>268</v>
      </c>
      <c r="R101" s="4"/>
      <c r="S101" s="4"/>
      <c r="T101" s="4"/>
      <c r="U101" s="4"/>
    </row>
    <row r="102" spans="1:21" x14ac:dyDescent="0.3">
      <c r="A102" s="5" t="s">
        <v>254</v>
      </c>
      <c r="B102" s="6">
        <v>2</v>
      </c>
      <c r="C102" s="10"/>
      <c r="D102" s="7"/>
      <c r="E102" s="8"/>
      <c r="F102" s="8"/>
      <c r="G102" s="9">
        <v>1000</v>
      </c>
      <c r="H102" s="26">
        <f t="shared" si="3"/>
        <v>0</v>
      </c>
      <c r="I102" s="7"/>
      <c r="J102" s="7"/>
      <c r="K102" s="7"/>
      <c r="L102" s="7">
        <v>35</v>
      </c>
      <c r="M102" s="7"/>
      <c r="N102" s="7">
        <f t="shared" si="4"/>
        <v>2</v>
      </c>
      <c r="O102" s="7">
        <f t="shared" si="1"/>
        <v>0</v>
      </c>
      <c r="P102" s="7"/>
    </row>
    <row r="103" spans="1:21" x14ac:dyDescent="0.3">
      <c r="A103" s="5" t="s">
        <v>227</v>
      </c>
      <c r="B103" s="6">
        <v>1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40</v>
      </c>
      <c r="M103" s="7"/>
      <c r="N103" s="7">
        <f t="shared" si="4"/>
        <v>1</v>
      </c>
      <c r="O103" s="7">
        <f t="shared" si="1"/>
        <v>0</v>
      </c>
      <c r="P103" s="7"/>
    </row>
    <row r="104" spans="1:21" x14ac:dyDescent="0.3">
      <c r="A104" s="5" t="s">
        <v>216</v>
      </c>
      <c r="B104" s="6">
        <v>3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3</v>
      </c>
      <c r="O104" s="7">
        <f t="shared" si="1"/>
        <v>0</v>
      </c>
      <c r="P104" s="7"/>
    </row>
    <row r="105" spans="1:21" x14ac:dyDescent="0.3">
      <c r="A105" s="5" t="s">
        <v>188</v>
      </c>
      <c r="B105" s="6">
        <v>5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5</v>
      </c>
      <c r="O105" s="7">
        <f t="shared" si="1"/>
        <v>0</v>
      </c>
      <c r="P105" s="7"/>
    </row>
    <row r="106" spans="1:21" x14ac:dyDescent="0.3">
      <c r="A106" s="5" t="s">
        <v>65</v>
      </c>
      <c r="B106" s="6">
        <v>8</v>
      </c>
      <c r="C106" s="10"/>
      <c r="D106" s="7"/>
      <c r="E106" s="8"/>
      <c r="F106" s="8"/>
      <c r="G106" s="9">
        <v>500</v>
      </c>
      <c r="H106" s="26">
        <f t="shared" si="3"/>
        <v>0</v>
      </c>
      <c r="I106" s="7"/>
      <c r="J106" s="7">
        <v>50</v>
      </c>
      <c r="K106" s="7"/>
      <c r="L106" s="7">
        <v>50</v>
      </c>
      <c r="M106" s="7"/>
      <c r="N106" s="7">
        <f t="shared" si="4"/>
        <v>8</v>
      </c>
      <c r="O106" s="7">
        <f t="shared" si="1"/>
        <v>0</v>
      </c>
      <c r="P106" s="7"/>
    </row>
    <row r="107" spans="1:21" x14ac:dyDescent="0.3">
      <c r="A107" s="5" t="s">
        <v>66</v>
      </c>
      <c r="B107" s="6">
        <v>0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55</v>
      </c>
      <c r="K107" s="7"/>
      <c r="L107" s="7">
        <v>80</v>
      </c>
      <c r="M107" s="7"/>
      <c r="N107" s="7">
        <f t="shared" si="4"/>
        <v>0</v>
      </c>
      <c r="O107" s="7">
        <f t="shared" si="1"/>
        <v>0</v>
      </c>
      <c r="P107" s="7"/>
    </row>
    <row r="108" spans="1:21" x14ac:dyDescent="0.3">
      <c r="A108" s="5" t="s">
        <v>67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22</v>
      </c>
      <c r="K108" s="7"/>
      <c r="L108" s="7">
        <v>20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3">
      <c r="A109" s="5" t="s">
        <v>68</v>
      </c>
      <c r="B109" s="6">
        <v>4</v>
      </c>
      <c r="C109" s="10"/>
      <c r="D109" s="7"/>
      <c r="E109" s="8"/>
      <c r="F109" s="8"/>
      <c r="G109" s="9">
        <v>2000</v>
      </c>
      <c r="H109" s="26">
        <f t="shared" si="3"/>
        <v>0</v>
      </c>
      <c r="I109" s="7"/>
      <c r="J109" s="7">
        <v>80</v>
      </c>
      <c r="K109" s="7"/>
      <c r="L109" s="7">
        <v>100</v>
      </c>
      <c r="M109" s="7"/>
      <c r="N109" s="7">
        <f t="shared" si="4"/>
        <v>4</v>
      </c>
      <c r="O109" s="7">
        <f t="shared" si="1"/>
        <v>0</v>
      </c>
      <c r="P109" s="7" t="s">
        <v>247</v>
      </c>
    </row>
    <row r="110" spans="1:21" x14ac:dyDescent="0.3">
      <c r="A110" s="5" t="s">
        <v>69</v>
      </c>
      <c r="B110" s="6">
        <v>0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/>
      <c r="K110" s="7"/>
      <c r="L110" s="7">
        <v>160</v>
      </c>
      <c r="M110" s="7"/>
      <c r="N110" s="7">
        <f t="shared" si="4"/>
        <v>0</v>
      </c>
      <c r="O110" s="7">
        <f t="shared" ref="O110:O182" si="5">E110*L110+F110*M110</f>
        <v>0</v>
      </c>
      <c r="P110" s="7"/>
    </row>
    <row r="111" spans="1:21" x14ac:dyDescent="0.3">
      <c r="A111" s="5" t="s">
        <v>70</v>
      </c>
      <c r="B111" s="6">
        <v>0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120</v>
      </c>
      <c r="M111" s="7"/>
      <c r="N111" s="7">
        <f t="shared" si="4"/>
        <v>0</v>
      </c>
      <c r="O111" s="7">
        <f t="shared" si="5"/>
        <v>0</v>
      </c>
      <c r="P111" s="7"/>
    </row>
    <row r="112" spans="1:21" x14ac:dyDescent="0.3">
      <c r="A112" s="5" t="s">
        <v>71</v>
      </c>
      <c r="B112" s="6">
        <v>0</v>
      </c>
      <c r="C112" s="10"/>
      <c r="D112" s="7"/>
      <c r="E112" s="8"/>
      <c r="F112" s="8"/>
      <c r="G112" s="9">
        <v>3000</v>
      </c>
      <c r="H112" s="26">
        <f t="shared" si="3"/>
        <v>0</v>
      </c>
      <c r="I112" s="7"/>
      <c r="J112" s="7"/>
      <c r="K112" s="7"/>
      <c r="L112" s="7">
        <v>200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3">
      <c r="A113" s="5" t="s">
        <v>197</v>
      </c>
      <c r="B113" s="6">
        <v>0</v>
      </c>
      <c r="C113" s="10"/>
      <c r="D113" s="7"/>
      <c r="E113" s="8"/>
      <c r="F113" s="8"/>
      <c r="G113" s="9">
        <v>2000</v>
      </c>
      <c r="H113" s="26">
        <f t="shared" si="3"/>
        <v>0</v>
      </c>
      <c r="I113" s="7"/>
      <c r="J113" s="7"/>
      <c r="K113" s="7"/>
      <c r="L113" s="7">
        <v>100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3">
      <c r="A114" s="5" t="s">
        <v>246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115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3">
      <c r="A115" s="5" t="s">
        <v>255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3">
      <c r="A116" s="5" t="s">
        <v>72</v>
      </c>
      <c r="B116" s="6">
        <v>0</v>
      </c>
      <c r="C116" s="10"/>
      <c r="D116" s="7"/>
      <c r="E116" s="8"/>
      <c r="F116" s="8"/>
      <c r="G116" s="9">
        <v>1000</v>
      </c>
      <c r="H116" s="26">
        <f t="shared" si="3"/>
        <v>0</v>
      </c>
      <c r="I116" s="7"/>
      <c r="J116" s="7"/>
      <c r="K116" s="7"/>
      <c r="L116" s="7">
        <v>70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3">
      <c r="A117" s="5" t="s">
        <v>284</v>
      </c>
      <c r="B117" s="6">
        <v>5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60</v>
      </c>
      <c r="M117" s="7"/>
      <c r="N117" s="7">
        <f t="shared" si="4"/>
        <v>5</v>
      </c>
      <c r="O117" s="7">
        <f t="shared" si="5"/>
        <v>0</v>
      </c>
      <c r="P117" s="7"/>
    </row>
    <row r="118" spans="1:16" x14ac:dyDescent="0.3">
      <c r="A118" s="5" t="s">
        <v>290</v>
      </c>
      <c r="B118" s="6">
        <v>4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110</v>
      </c>
      <c r="M118" s="7"/>
      <c r="N118" s="7">
        <f t="shared" si="4"/>
        <v>4</v>
      </c>
      <c r="O118" s="7">
        <f t="shared" si="5"/>
        <v>0</v>
      </c>
      <c r="P118" s="7"/>
    </row>
    <row r="119" spans="1:16" x14ac:dyDescent="0.3">
      <c r="A119" s="5" t="s">
        <v>73</v>
      </c>
      <c r="B119" s="6">
        <v>0</v>
      </c>
      <c r="C119" s="10"/>
      <c r="D119" s="7"/>
      <c r="E119" s="8"/>
      <c r="F119" s="8"/>
      <c r="G119" s="9">
        <v>3000</v>
      </c>
      <c r="H119" s="26">
        <f t="shared" si="3"/>
        <v>0</v>
      </c>
      <c r="I119" s="7"/>
      <c r="J119" s="7"/>
      <c r="K119" s="7"/>
      <c r="L119" s="7">
        <v>175</v>
      </c>
      <c r="M119" s="7"/>
      <c r="N119" s="7">
        <f t="shared" si="4"/>
        <v>0</v>
      </c>
      <c r="O119" s="7">
        <f t="shared" si="5"/>
        <v>0</v>
      </c>
      <c r="P119" s="7"/>
    </row>
    <row r="120" spans="1:16" x14ac:dyDescent="0.3">
      <c r="A120" s="5" t="s">
        <v>223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230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3">
      <c r="A121" s="5" t="s">
        <v>74</v>
      </c>
      <c r="B121" s="6">
        <v>1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290</v>
      </c>
      <c r="M121" s="7"/>
      <c r="N121" s="7">
        <f t="shared" si="4"/>
        <v>1</v>
      </c>
      <c r="O121" s="7">
        <f t="shared" si="5"/>
        <v>0</v>
      </c>
      <c r="P121" s="7"/>
    </row>
    <row r="122" spans="1:16" x14ac:dyDescent="0.3">
      <c r="A122" s="5" t="s">
        <v>231</v>
      </c>
      <c r="B122" s="6">
        <v>0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265</v>
      </c>
      <c r="M122" s="7"/>
      <c r="N122" s="7">
        <f t="shared" si="4"/>
        <v>0</v>
      </c>
      <c r="O122" s="7">
        <f t="shared" si="5"/>
        <v>0</v>
      </c>
      <c r="P122" s="7"/>
    </row>
    <row r="123" spans="1:16" x14ac:dyDescent="0.3">
      <c r="A123" s="5" t="s">
        <v>281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260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3">
      <c r="A124" s="5" t="s">
        <v>277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>
        <v>225</v>
      </c>
      <c r="K124" s="7"/>
      <c r="L124" s="7">
        <v>280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3">
      <c r="A125" s="5" t="s">
        <v>75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/>
      <c r="K125" s="7"/>
      <c r="L125" s="7">
        <v>210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3">
      <c r="A126" s="5" t="s">
        <v>172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320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3">
      <c r="A127" s="5" t="s">
        <v>76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>
        <v>170</v>
      </c>
      <c r="K127" s="7"/>
      <c r="L127" s="7">
        <v>190</v>
      </c>
      <c r="M127" s="7">
        <v>200</v>
      </c>
      <c r="N127" s="7">
        <f t="shared" si="4"/>
        <v>0</v>
      </c>
      <c r="O127" s="7">
        <f t="shared" si="5"/>
        <v>0</v>
      </c>
      <c r="P127" s="7"/>
    </row>
    <row r="128" spans="1:16" x14ac:dyDescent="0.3">
      <c r="A128" s="5" t="s">
        <v>228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220</v>
      </c>
      <c r="K128" s="7"/>
      <c r="L128" s="7">
        <v>260</v>
      </c>
      <c r="M128" s="7">
        <v>0</v>
      </c>
      <c r="N128" s="7">
        <f t="shared" si="4"/>
        <v>0</v>
      </c>
      <c r="O128" s="7">
        <f t="shared" si="5"/>
        <v>0</v>
      </c>
      <c r="P128" s="7"/>
    </row>
    <row r="129" spans="1:16" x14ac:dyDescent="0.3">
      <c r="A129" s="5" t="s">
        <v>77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330</v>
      </c>
      <c r="K129" s="7"/>
      <c r="L129" s="7">
        <v>380</v>
      </c>
      <c r="M129" s="7"/>
      <c r="N129" s="7">
        <f t="shared" si="4"/>
        <v>0</v>
      </c>
      <c r="O129" s="7">
        <f t="shared" si="5"/>
        <v>0</v>
      </c>
      <c r="P129" s="7"/>
    </row>
    <row r="130" spans="1:16" x14ac:dyDescent="0.3">
      <c r="A130" s="5" t="s">
        <v>276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600</v>
      </c>
      <c r="K130" s="7"/>
      <c r="L130" s="7">
        <v>360</v>
      </c>
      <c r="M130" s="7"/>
      <c r="N130" s="7">
        <f t="shared" si="4"/>
        <v>0</v>
      </c>
      <c r="O130" s="7">
        <f t="shared" si="5"/>
        <v>0</v>
      </c>
      <c r="P130" s="7" t="s">
        <v>269</v>
      </c>
    </row>
    <row r="131" spans="1:16" x14ac:dyDescent="0.3">
      <c r="A131" s="5" t="s">
        <v>78</v>
      </c>
      <c r="B131" s="6">
        <v>0</v>
      </c>
      <c r="C131" s="10"/>
      <c r="D131" s="7"/>
      <c r="E131" s="8"/>
      <c r="F131" s="8"/>
      <c r="G131" s="9">
        <v>4000</v>
      </c>
      <c r="H131" s="26">
        <f t="shared" si="3"/>
        <v>0</v>
      </c>
      <c r="I131" s="7"/>
      <c r="J131" s="7"/>
      <c r="K131" s="7"/>
      <c r="L131" s="7">
        <v>760</v>
      </c>
      <c r="M131" s="7"/>
      <c r="N131" s="7">
        <f t="shared" si="4"/>
        <v>0</v>
      </c>
      <c r="O131" s="7">
        <f t="shared" si="5"/>
        <v>0</v>
      </c>
      <c r="P131" s="7"/>
    </row>
    <row r="132" spans="1:16" x14ac:dyDescent="0.3">
      <c r="A132" s="5" t="s">
        <v>79</v>
      </c>
      <c r="B132" s="6">
        <v>0</v>
      </c>
      <c r="C132" s="10"/>
      <c r="D132" s="7"/>
      <c r="E132" s="8"/>
      <c r="F132" s="8"/>
      <c r="G132" s="9">
        <v>3000</v>
      </c>
      <c r="H132" s="26">
        <f t="shared" si="3"/>
        <v>0</v>
      </c>
      <c r="I132" s="7"/>
      <c r="J132" s="7">
        <v>265</v>
      </c>
      <c r="K132" s="7"/>
      <c r="L132" s="7">
        <v>40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3">
      <c r="A133" s="5" t="s">
        <v>80</v>
      </c>
      <c r="B133" s="6">
        <v>1</v>
      </c>
      <c r="C133" s="10"/>
      <c r="D133" s="7"/>
      <c r="E133" s="8"/>
      <c r="F133" s="8"/>
      <c r="G133" s="9">
        <v>2000</v>
      </c>
      <c r="H133" s="26">
        <f t="shared" si="3"/>
        <v>0</v>
      </c>
      <c r="I133" s="7"/>
      <c r="J133" s="7">
        <v>110</v>
      </c>
      <c r="K133" s="7"/>
      <c r="L133" s="7">
        <v>150</v>
      </c>
      <c r="M133" s="7"/>
      <c r="N133" s="7">
        <f t="shared" si="4"/>
        <v>1</v>
      </c>
      <c r="O133" s="7">
        <f t="shared" si="5"/>
        <v>0</v>
      </c>
      <c r="P133" s="7"/>
    </row>
    <row r="134" spans="1:16" x14ac:dyDescent="0.3">
      <c r="A134" s="5" t="s">
        <v>283</v>
      </c>
      <c r="B134" s="6">
        <v>49</v>
      </c>
      <c r="C134" s="10"/>
      <c r="D134" s="7"/>
      <c r="E134" s="8"/>
      <c r="F134" s="8"/>
      <c r="G134" s="9">
        <v>200</v>
      </c>
      <c r="H134" s="26">
        <f t="shared" si="3"/>
        <v>0</v>
      </c>
      <c r="I134" s="7"/>
      <c r="J134" s="7"/>
      <c r="K134" s="7"/>
      <c r="L134" s="7">
        <v>5</v>
      </c>
      <c r="M134" s="7"/>
      <c r="N134" s="7">
        <f t="shared" si="4"/>
        <v>49</v>
      </c>
      <c r="O134" s="7">
        <f t="shared" si="5"/>
        <v>0</v>
      </c>
      <c r="P134" s="7"/>
    </row>
    <row r="135" spans="1:16" x14ac:dyDescent="0.3">
      <c r="A135" s="5" t="s">
        <v>81</v>
      </c>
      <c r="B135" s="6">
        <v>5</v>
      </c>
      <c r="C135" s="10"/>
      <c r="D135" s="7"/>
      <c r="E135" s="8"/>
      <c r="F135" s="8"/>
      <c r="G135" s="9">
        <v>1000</v>
      </c>
      <c r="H135" s="26">
        <f t="shared" si="3"/>
        <v>0</v>
      </c>
      <c r="I135" s="7"/>
      <c r="J135" s="7"/>
      <c r="K135" s="7"/>
      <c r="L135" s="7">
        <v>45</v>
      </c>
      <c r="M135" s="7"/>
      <c r="N135" s="7">
        <f t="shared" si="4"/>
        <v>5</v>
      </c>
      <c r="O135" s="7">
        <f t="shared" si="5"/>
        <v>0</v>
      </c>
      <c r="P135" s="7"/>
    </row>
    <row r="136" spans="1:16" x14ac:dyDescent="0.3">
      <c r="A136" s="5" t="s">
        <v>162</v>
      </c>
      <c r="B136" s="6">
        <v>8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40</v>
      </c>
      <c r="M136" s="7"/>
      <c r="N136" s="7">
        <f t="shared" si="4"/>
        <v>8</v>
      </c>
      <c r="O136" s="7">
        <f t="shared" si="5"/>
        <v>0</v>
      </c>
      <c r="P136" s="7">
        <v>-1</v>
      </c>
    </row>
    <row r="137" spans="1:16" x14ac:dyDescent="0.3">
      <c r="A137" s="5" t="s">
        <v>82</v>
      </c>
      <c r="B137" s="6">
        <v>0</v>
      </c>
      <c r="C137" s="10"/>
      <c r="D137" s="7"/>
      <c r="E137" s="8"/>
      <c r="F137" s="8"/>
      <c r="G137" s="9">
        <v>1000</v>
      </c>
      <c r="H137" s="26">
        <f t="shared" ref="H137:H218" si="6">(E137+F137)*G137</f>
        <v>0</v>
      </c>
      <c r="I137" s="7"/>
      <c r="J137" s="7">
        <v>28</v>
      </c>
      <c r="K137" s="7"/>
      <c r="L137" s="7">
        <v>45</v>
      </c>
      <c r="M137" s="7"/>
      <c r="N137" s="7">
        <f t="shared" si="4"/>
        <v>0</v>
      </c>
      <c r="O137" s="7">
        <f t="shared" si="5"/>
        <v>0</v>
      </c>
      <c r="P137" s="7"/>
    </row>
    <row r="138" spans="1:16" x14ac:dyDescent="0.3">
      <c r="A138" s="5" t="s">
        <v>83</v>
      </c>
      <c r="B138" s="6">
        <v>0</v>
      </c>
      <c r="C138" s="10"/>
      <c r="D138" s="7"/>
      <c r="E138" s="8"/>
      <c r="F138" s="8"/>
      <c r="G138" s="9">
        <v>1000</v>
      </c>
      <c r="H138" s="26">
        <f t="shared" si="6"/>
        <v>0</v>
      </c>
      <c r="I138" s="7"/>
      <c r="J138" s="7"/>
      <c r="K138" s="7"/>
      <c r="L138" s="7">
        <v>40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3">
      <c r="A139" s="5" t="s">
        <v>84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30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3">
      <c r="A140" s="5" t="s">
        <v>182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>
        <v>23</v>
      </c>
      <c r="K140" s="7"/>
      <c r="L140" s="7">
        <v>40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3">
      <c r="A141" s="5" t="s">
        <v>185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26</v>
      </c>
      <c r="K141" s="7"/>
      <c r="L141" s="7">
        <v>45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3">
      <c r="A142" s="5" t="s">
        <v>236</v>
      </c>
      <c r="B142" s="6">
        <v>2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/>
      <c r="K142" s="7"/>
      <c r="L142" s="7">
        <v>65</v>
      </c>
      <c r="M142" s="7"/>
      <c r="N142" s="7">
        <f t="shared" si="4"/>
        <v>2</v>
      </c>
      <c r="O142" s="7">
        <f t="shared" si="5"/>
        <v>0</v>
      </c>
      <c r="P142" s="7"/>
    </row>
    <row r="143" spans="1:16" x14ac:dyDescent="0.3">
      <c r="A143" s="5" t="s">
        <v>85</v>
      </c>
      <c r="B143" s="6">
        <v>0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>
        <v>50</v>
      </c>
      <c r="K143" s="7"/>
      <c r="L143" s="7">
        <v>65</v>
      </c>
      <c r="M143" s="7"/>
      <c r="N143" s="7">
        <f t="shared" si="4"/>
        <v>0</v>
      </c>
      <c r="O143" s="7">
        <f t="shared" si="5"/>
        <v>0</v>
      </c>
      <c r="P143" s="7"/>
    </row>
    <row r="144" spans="1:16" x14ac:dyDescent="0.3">
      <c r="A144" s="5" t="s">
        <v>273</v>
      </c>
      <c r="B144" s="6">
        <v>6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45</v>
      </c>
      <c r="K144" s="7"/>
      <c r="L144" s="7">
        <v>65</v>
      </c>
      <c r="M144" s="7"/>
      <c r="N144" s="7">
        <f t="shared" si="4"/>
        <v>6</v>
      </c>
      <c r="O144" s="7">
        <f t="shared" si="5"/>
        <v>0</v>
      </c>
      <c r="P144" s="7">
        <v>-1</v>
      </c>
    </row>
    <row r="145" spans="1:16" x14ac:dyDescent="0.3">
      <c r="A145" s="5" t="s">
        <v>86</v>
      </c>
      <c r="B145" s="6">
        <v>0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42</v>
      </c>
      <c r="K145" s="7"/>
      <c r="L145" s="7">
        <v>60</v>
      </c>
      <c r="M145" s="7"/>
      <c r="N145" s="7">
        <f t="shared" si="4"/>
        <v>0</v>
      </c>
      <c r="O145" s="7">
        <f t="shared" si="5"/>
        <v>0</v>
      </c>
      <c r="P145" s="7"/>
    </row>
    <row r="146" spans="1:16" x14ac:dyDescent="0.3">
      <c r="A146" s="5" t="s">
        <v>198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/>
      <c r="K146" s="7"/>
      <c r="L146" s="7">
        <v>65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3">
      <c r="A147" s="5" t="s">
        <v>194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>
        <v>25</v>
      </c>
      <c r="K147" s="7"/>
      <c r="L147" s="7">
        <v>50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3">
      <c r="A148" s="5" t="s">
        <v>87</v>
      </c>
      <c r="B148" s="6">
        <v>0</v>
      </c>
      <c r="C148" s="10"/>
      <c r="D148" s="7"/>
      <c r="E148" s="8"/>
      <c r="F148" s="8"/>
      <c r="G148" s="9">
        <v>4000</v>
      </c>
      <c r="H148" s="26">
        <f t="shared" si="6"/>
        <v>0</v>
      </c>
      <c r="I148" s="7"/>
      <c r="J148" s="7"/>
      <c r="K148" s="7"/>
      <c r="L148" s="7">
        <v>280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3">
      <c r="A149" s="5" t="s">
        <v>196</v>
      </c>
      <c r="B149" s="6">
        <v>16</v>
      </c>
      <c r="C149" s="10"/>
      <c r="D149" s="7"/>
      <c r="E149" s="8"/>
      <c r="F149" s="8"/>
      <c r="G149" s="9">
        <v>500</v>
      </c>
      <c r="H149" s="26">
        <f t="shared" si="6"/>
        <v>0</v>
      </c>
      <c r="I149" s="7"/>
      <c r="J149" s="7"/>
      <c r="K149" s="7"/>
      <c r="L149" s="7">
        <v>30</v>
      </c>
      <c r="M149" s="7"/>
      <c r="N149" s="7">
        <f t="shared" si="4"/>
        <v>16</v>
      </c>
      <c r="O149" s="7">
        <f t="shared" si="5"/>
        <v>0</v>
      </c>
      <c r="P149" s="7"/>
    </row>
    <row r="150" spans="1:16" x14ac:dyDescent="0.3">
      <c r="A150" s="5" t="s">
        <v>88</v>
      </c>
      <c r="B150" s="6">
        <v>0</v>
      </c>
      <c r="C150" s="10"/>
      <c r="D150" s="7"/>
      <c r="E150" s="8"/>
      <c r="F150" s="8"/>
      <c r="G150" s="9">
        <v>2000</v>
      </c>
      <c r="H150" s="26">
        <f t="shared" si="6"/>
        <v>0</v>
      </c>
      <c r="I150" s="7"/>
      <c r="J150" s="7"/>
      <c r="K150" s="7"/>
      <c r="L150" s="7">
        <v>125</v>
      </c>
      <c r="M150" s="7"/>
      <c r="N150" s="7">
        <f t="shared" si="4"/>
        <v>0</v>
      </c>
      <c r="O150" s="7">
        <f t="shared" si="5"/>
        <v>0</v>
      </c>
      <c r="P150" s="7"/>
    </row>
    <row r="151" spans="1:16" x14ac:dyDescent="0.3">
      <c r="A151" s="5" t="s">
        <v>285</v>
      </c>
      <c r="B151" s="6">
        <v>5</v>
      </c>
      <c r="C151" s="10"/>
      <c r="D151" s="7"/>
      <c r="E151" s="8"/>
      <c r="F151" s="8"/>
      <c r="G151" s="9">
        <v>1000</v>
      </c>
      <c r="H151" s="26">
        <f t="shared" si="6"/>
        <v>0</v>
      </c>
      <c r="I151" s="7"/>
      <c r="J151" s="7"/>
      <c r="K151" s="7"/>
      <c r="L151" s="7">
        <v>60</v>
      </c>
      <c r="M151" s="7"/>
      <c r="N151" s="7">
        <f t="shared" si="4"/>
        <v>5</v>
      </c>
      <c r="O151" s="7">
        <f t="shared" si="5"/>
        <v>0</v>
      </c>
      <c r="P151" s="7"/>
    </row>
    <row r="152" spans="1:16" x14ac:dyDescent="0.3">
      <c r="A152" s="5" t="s">
        <v>288</v>
      </c>
      <c r="B152" s="6">
        <v>10</v>
      </c>
      <c r="C152" s="10"/>
      <c r="D152" s="7"/>
      <c r="E152" s="8"/>
      <c r="F152" s="8"/>
      <c r="G152" s="9">
        <v>500</v>
      </c>
      <c r="H152" s="26">
        <f t="shared" si="6"/>
        <v>0</v>
      </c>
      <c r="I152" s="7"/>
      <c r="J152" s="7"/>
      <c r="K152" s="7"/>
      <c r="L152" s="7">
        <v>15</v>
      </c>
      <c r="M152" s="7"/>
      <c r="N152" s="7">
        <f t="shared" si="4"/>
        <v>10</v>
      </c>
      <c r="O152" s="7">
        <f t="shared" si="5"/>
        <v>0</v>
      </c>
      <c r="P152" s="7"/>
    </row>
    <row r="153" spans="1:16" x14ac:dyDescent="0.3">
      <c r="A153" s="5" t="s">
        <v>289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18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3">
      <c r="A154" s="5" t="s">
        <v>286</v>
      </c>
      <c r="B154" s="6">
        <v>12</v>
      </c>
      <c r="C154" s="10"/>
      <c r="D154" s="7"/>
      <c r="E154" s="8"/>
      <c r="F154" s="8"/>
      <c r="G154" s="9">
        <v>200</v>
      </c>
      <c r="H154" s="26">
        <f t="shared" si="6"/>
        <v>0</v>
      </c>
      <c r="I154" s="7"/>
      <c r="J154" s="7"/>
      <c r="K154" s="7"/>
      <c r="L154" s="7">
        <v>10</v>
      </c>
      <c r="M154" s="7"/>
      <c r="N154" s="7">
        <f t="shared" si="4"/>
        <v>12</v>
      </c>
      <c r="O154" s="7">
        <f t="shared" si="5"/>
        <v>0</v>
      </c>
      <c r="P154" s="7"/>
    </row>
    <row r="155" spans="1:16" x14ac:dyDescent="0.3">
      <c r="A155" s="5" t="s">
        <v>89</v>
      </c>
      <c r="B155" s="6">
        <v>0</v>
      </c>
      <c r="C155" s="10"/>
      <c r="D155" s="7"/>
      <c r="E155" s="8"/>
      <c r="F155" s="8"/>
      <c r="G155" s="9">
        <v>1000</v>
      </c>
      <c r="H155" s="26">
        <f t="shared" si="6"/>
        <v>0</v>
      </c>
      <c r="I155" s="7"/>
      <c r="J155" s="7"/>
      <c r="K155" s="7"/>
      <c r="L155" s="7">
        <v>60</v>
      </c>
      <c r="M155" s="7"/>
      <c r="N155" s="7">
        <f t="shared" si="4"/>
        <v>0</v>
      </c>
      <c r="O155" s="7">
        <f t="shared" si="5"/>
        <v>0</v>
      </c>
      <c r="P155" s="7"/>
    </row>
    <row r="156" spans="1:16" x14ac:dyDescent="0.3">
      <c r="A156" s="5" t="s">
        <v>274</v>
      </c>
      <c r="B156" s="6">
        <v>3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3</v>
      </c>
      <c r="O156" s="7">
        <f t="shared" si="5"/>
        <v>0</v>
      </c>
      <c r="P156" s="7"/>
    </row>
    <row r="157" spans="1:16" x14ac:dyDescent="0.3">
      <c r="A157" s="5" t="s">
        <v>221</v>
      </c>
      <c r="B157" s="6">
        <v>4</v>
      </c>
      <c r="C157" s="10"/>
      <c r="D157" s="7"/>
      <c r="E157" s="8"/>
      <c r="F157" s="8"/>
      <c r="G157" s="9"/>
      <c r="H157" s="26"/>
      <c r="I157" s="7"/>
      <c r="J157" s="7"/>
      <c r="K157" s="7"/>
      <c r="L157" s="7"/>
      <c r="M157" s="7"/>
      <c r="N157" s="7">
        <f t="shared" si="4"/>
        <v>4</v>
      </c>
      <c r="O157" s="7"/>
      <c r="P157" s="7">
        <v>-1</v>
      </c>
    </row>
    <row r="158" spans="1:16" x14ac:dyDescent="0.3">
      <c r="A158" s="5" t="s">
        <v>220</v>
      </c>
      <c r="B158" s="6">
        <v>4</v>
      </c>
      <c r="C158" s="10"/>
      <c r="D158" s="7"/>
      <c r="E158" s="8"/>
      <c r="F158" s="8"/>
      <c r="G158" s="9">
        <v>1000</v>
      </c>
      <c r="H158" s="26"/>
      <c r="I158" s="7"/>
      <c r="J158" s="7">
        <v>120</v>
      </c>
      <c r="K158" s="7"/>
      <c r="L158" s="7"/>
      <c r="M158" s="7"/>
      <c r="N158" s="7">
        <f t="shared" si="4"/>
        <v>4</v>
      </c>
      <c r="O158" s="7">
        <f t="shared" si="5"/>
        <v>0</v>
      </c>
      <c r="P158" s="7">
        <v>-1</v>
      </c>
    </row>
    <row r="159" spans="1:16" x14ac:dyDescent="0.3">
      <c r="A159" s="5" t="s">
        <v>256</v>
      </c>
      <c r="B159" s="6">
        <v>6</v>
      </c>
      <c r="C159" s="10"/>
      <c r="D159" s="7"/>
      <c r="E159" s="8"/>
      <c r="F159" s="8"/>
      <c r="G159" s="9"/>
      <c r="H159" s="26">
        <f t="shared" si="6"/>
        <v>0</v>
      </c>
      <c r="I159" s="7"/>
      <c r="J159" s="7"/>
      <c r="K159" s="7"/>
      <c r="L159" s="7"/>
      <c r="M159" s="7"/>
      <c r="N159" s="7">
        <f t="shared" si="4"/>
        <v>6</v>
      </c>
      <c r="O159" s="7"/>
      <c r="P159" s="7"/>
    </row>
    <row r="160" spans="1:16" x14ac:dyDescent="0.3">
      <c r="A160" s="5" t="s">
        <v>193</v>
      </c>
      <c r="B160" s="6">
        <v>1</v>
      </c>
      <c r="C160" s="7"/>
      <c r="D160" s="7"/>
      <c r="E160" s="8"/>
      <c r="F160" s="8"/>
      <c r="G160" s="9">
        <v>1000</v>
      </c>
      <c r="H160" s="26">
        <f t="shared" si="6"/>
        <v>0</v>
      </c>
      <c r="I160" s="7"/>
      <c r="J160" s="7">
        <v>120</v>
      </c>
      <c r="K160" s="7"/>
      <c r="L160" s="7">
        <v>210</v>
      </c>
      <c r="M160" s="7">
        <v>110</v>
      </c>
      <c r="N160" s="7">
        <f t="shared" si="4"/>
        <v>1</v>
      </c>
      <c r="O160" s="7">
        <f t="shared" si="5"/>
        <v>0</v>
      </c>
      <c r="P160" s="7"/>
    </row>
    <row r="161" spans="1:16" x14ac:dyDescent="0.3">
      <c r="A161" s="5" t="s">
        <v>280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/>
      <c r="K161" s="7"/>
      <c r="L161" s="7">
        <v>300</v>
      </c>
      <c r="M161" s="7"/>
      <c r="N161" s="7">
        <f t="shared" si="4"/>
        <v>0</v>
      </c>
      <c r="O161" s="7">
        <f t="shared" si="5"/>
        <v>0</v>
      </c>
      <c r="P161" s="7"/>
    </row>
    <row r="162" spans="1:16" x14ac:dyDescent="0.3">
      <c r="A162" s="5" t="s">
        <v>90</v>
      </c>
      <c r="B162" s="6">
        <v>14</v>
      </c>
      <c r="C162" s="7"/>
      <c r="D162" s="7"/>
      <c r="E162" s="8"/>
      <c r="F162" s="8"/>
      <c r="G162" s="9">
        <v>2500</v>
      </c>
      <c r="H162" s="26">
        <f t="shared" si="6"/>
        <v>0</v>
      </c>
      <c r="I162" s="7"/>
      <c r="J162" s="7"/>
      <c r="K162" s="7"/>
      <c r="L162" s="7">
        <v>280</v>
      </c>
      <c r="M162" s="7"/>
      <c r="N162" s="7">
        <f t="shared" ref="N162:N227" si="7">B162+C162-D162-E162-F162</f>
        <v>14</v>
      </c>
      <c r="O162" s="7">
        <f t="shared" si="5"/>
        <v>0</v>
      </c>
      <c r="P162" s="7"/>
    </row>
    <row r="163" spans="1:16" x14ac:dyDescent="0.3">
      <c r="A163" s="5" t="s">
        <v>292</v>
      </c>
      <c r="B163" s="6">
        <v>23</v>
      </c>
      <c r="C163" s="7"/>
      <c r="D163" s="7"/>
      <c r="E163" s="8"/>
      <c r="F163" s="8"/>
      <c r="G163" s="9">
        <v>2500</v>
      </c>
      <c r="H163" s="26">
        <f t="shared" si="6"/>
        <v>0</v>
      </c>
      <c r="I163" s="7"/>
      <c r="J163" s="7"/>
      <c r="K163" s="7"/>
      <c r="L163" s="7">
        <v>280</v>
      </c>
      <c r="M163" s="7">
        <v>155</v>
      </c>
      <c r="N163" s="7">
        <f t="shared" si="7"/>
        <v>23</v>
      </c>
      <c r="O163" s="7">
        <f t="shared" si="5"/>
        <v>0</v>
      </c>
      <c r="P163" s="7"/>
    </row>
    <row r="164" spans="1:16" x14ac:dyDescent="0.3">
      <c r="A164" s="5" t="s">
        <v>297</v>
      </c>
      <c r="B164" s="6">
        <v>91</v>
      </c>
      <c r="C164" s="7"/>
      <c r="D164" s="7"/>
      <c r="E164" s="8"/>
      <c r="F164" s="8"/>
      <c r="G164" s="9">
        <v>2500</v>
      </c>
      <c r="H164" s="26">
        <f t="shared" si="6"/>
        <v>0</v>
      </c>
      <c r="I164" s="7"/>
      <c r="J164" s="7">
        <v>140</v>
      </c>
      <c r="K164" s="7"/>
      <c r="L164" s="7">
        <v>270</v>
      </c>
      <c r="M164" s="7"/>
      <c r="N164" s="7">
        <f t="shared" si="7"/>
        <v>91</v>
      </c>
      <c r="O164" s="7">
        <f t="shared" si="5"/>
        <v>0</v>
      </c>
      <c r="P164" s="7"/>
    </row>
    <row r="165" spans="1:16" x14ac:dyDescent="0.3">
      <c r="A165" s="5" t="s">
        <v>275</v>
      </c>
      <c r="B165" s="6">
        <v>2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 t="s">
        <v>303</v>
      </c>
      <c r="J165" s="7"/>
      <c r="K165" s="7"/>
      <c r="L165" s="7">
        <v>65</v>
      </c>
      <c r="M165" s="7"/>
      <c r="N165" s="7">
        <f t="shared" si="7"/>
        <v>2</v>
      </c>
      <c r="O165" s="7">
        <f t="shared" si="5"/>
        <v>0</v>
      </c>
      <c r="P165" s="7"/>
    </row>
    <row r="166" spans="1:16" x14ac:dyDescent="0.3">
      <c r="A166" s="5" t="s">
        <v>91</v>
      </c>
      <c r="B166" s="6">
        <v>0</v>
      </c>
      <c r="C166" s="7"/>
      <c r="D166" s="7"/>
      <c r="E166" s="8"/>
      <c r="F166" s="8"/>
      <c r="G166" s="9">
        <v>50</v>
      </c>
      <c r="H166" s="26">
        <f t="shared" si="6"/>
        <v>0</v>
      </c>
      <c r="I166" s="7"/>
      <c r="J166" s="7"/>
      <c r="K166" s="7"/>
      <c r="L166" s="7">
        <v>3</v>
      </c>
      <c r="M166" s="7"/>
      <c r="N166" s="7">
        <f t="shared" si="7"/>
        <v>0</v>
      </c>
      <c r="O166" s="7">
        <f t="shared" si="5"/>
        <v>0</v>
      </c>
      <c r="P166" s="7"/>
    </row>
    <row r="167" spans="1:16" x14ac:dyDescent="0.3">
      <c r="A167" s="5" t="s">
        <v>92</v>
      </c>
      <c r="B167" s="6">
        <v>0</v>
      </c>
      <c r="C167" s="7"/>
      <c r="D167" s="7"/>
      <c r="E167" s="8"/>
      <c r="F167" s="8"/>
      <c r="G167" s="9">
        <v>50</v>
      </c>
      <c r="H167" s="26"/>
      <c r="I167" s="7"/>
      <c r="J167" s="7"/>
      <c r="K167" s="7"/>
      <c r="L167" s="7">
        <v>2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3">
      <c r="A168" s="5" t="s">
        <v>210</v>
      </c>
      <c r="B168" s="6">
        <v>0</v>
      </c>
      <c r="C168" s="7"/>
      <c r="D168" s="7"/>
      <c r="E168" s="8"/>
      <c r="F168" s="8"/>
      <c r="G168" s="9">
        <v>4000</v>
      </c>
      <c r="H168" s="26">
        <f t="shared" si="6"/>
        <v>0</v>
      </c>
      <c r="I168" s="7"/>
      <c r="J168" s="7">
        <v>365</v>
      </c>
      <c r="K168" s="7"/>
      <c r="L168" s="7">
        <v>395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3">
      <c r="A169" s="5" t="s">
        <v>234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385</v>
      </c>
      <c r="K169" s="7"/>
      <c r="L169" s="7">
        <v>350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3">
      <c r="A170" s="5" t="s">
        <v>237</v>
      </c>
      <c r="B170" s="6">
        <v>0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410</v>
      </c>
      <c r="K170" s="7"/>
      <c r="L170" s="7">
        <v>550</v>
      </c>
      <c r="M170" s="7"/>
      <c r="N170" s="7">
        <f t="shared" si="7"/>
        <v>0</v>
      </c>
      <c r="O170" s="7">
        <f t="shared" si="5"/>
        <v>0</v>
      </c>
      <c r="P170" s="7"/>
    </row>
    <row r="171" spans="1:16" x14ac:dyDescent="0.3">
      <c r="A171" s="5" t="s">
        <v>251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/>
      <c r="K171" s="7"/>
      <c r="L171" s="7">
        <v>920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3">
      <c r="A172" s="5" t="s">
        <v>93</v>
      </c>
      <c r="B172" s="6">
        <v>2</v>
      </c>
      <c r="C172" s="10"/>
      <c r="D172" s="7"/>
      <c r="E172" s="8"/>
      <c r="F172" s="8"/>
      <c r="G172" s="9">
        <v>4000</v>
      </c>
      <c r="H172" s="26">
        <f t="shared" si="6"/>
        <v>0</v>
      </c>
      <c r="I172" s="7"/>
      <c r="J172" s="7">
        <v>680</v>
      </c>
      <c r="K172" s="7"/>
      <c r="L172" s="7">
        <v>850</v>
      </c>
      <c r="M172" s="7"/>
      <c r="N172" s="7">
        <f t="shared" si="7"/>
        <v>2</v>
      </c>
      <c r="O172" s="7">
        <f t="shared" si="5"/>
        <v>0</v>
      </c>
      <c r="P172" s="7"/>
    </row>
    <row r="173" spans="1:16" x14ac:dyDescent="0.3">
      <c r="A173" s="5" t="s">
        <v>94</v>
      </c>
      <c r="B173" s="6">
        <v>0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/>
      <c r="K173" s="7"/>
      <c r="L173" s="7">
        <v>550</v>
      </c>
      <c r="M173" s="7"/>
      <c r="N173" s="7">
        <f t="shared" si="7"/>
        <v>0</v>
      </c>
      <c r="O173" s="7">
        <f t="shared" si="5"/>
        <v>0</v>
      </c>
      <c r="P173" s="7"/>
    </row>
    <row r="174" spans="1:16" x14ac:dyDescent="0.3">
      <c r="A174" s="5" t="s">
        <v>222</v>
      </c>
      <c r="B174" s="6">
        <v>0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500</v>
      </c>
      <c r="M174" s="7"/>
      <c r="N174" s="7">
        <f t="shared" si="7"/>
        <v>0</v>
      </c>
      <c r="O174" s="7">
        <f t="shared" si="5"/>
        <v>0</v>
      </c>
      <c r="P174" s="7"/>
    </row>
    <row r="175" spans="1:16" x14ac:dyDescent="0.3">
      <c r="A175" s="5" t="s">
        <v>242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850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3">
      <c r="A176" s="5" t="s">
        <v>95</v>
      </c>
      <c r="B176" s="6">
        <v>0</v>
      </c>
      <c r="C176" s="10"/>
      <c r="D176" s="7"/>
      <c r="E176" s="8"/>
      <c r="F176" s="8"/>
      <c r="G176" s="9">
        <v>500</v>
      </c>
      <c r="H176" s="26">
        <f t="shared" si="6"/>
        <v>0</v>
      </c>
      <c r="I176" s="7"/>
      <c r="J176" s="7"/>
      <c r="K176" s="7"/>
      <c r="L176" s="7">
        <v>18</v>
      </c>
      <c r="M176" s="7"/>
      <c r="N176" s="7">
        <f t="shared" si="7"/>
        <v>0</v>
      </c>
      <c r="O176" s="7">
        <f t="shared" si="5"/>
        <v>0</v>
      </c>
      <c r="P176" s="7"/>
    </row>
    <row r="177" spans="1:16" x14ac:dyDescent="0.3">
      <c r="A177" s="5" t="s">
        <v>184</v>
      </c>
      <c r="B177" s="6">
        <v>0</v>
      </c>
      <c r="C177" s="10"/>
      <c r="D177" s="7"/>
      <c r="E177" s="8"/>
      <c r="F177" s="8"/>
      <c r="G177" s="9">
        <v>18000</v>
      </c>
      <c r="H177" s="26">
        <f t="shared" si="6"/>
        <v>0</v>
      </c>
      <c r="I177" s="7"/>
      <c r="J177" s="7">
        <v>8</v>
      </c>
      <c r="K177" s="7"/>
      <c r="L177" s="7">
        <v>3150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3">
      <c r="A178" s="5" t="s">
        <v>96</v>
      </c>
      <c r="B178" s="6">
        <v>3</v>
      </c>
      <c r="C178" s="10"/>
      <c r="D178" s="7"/>
      <c r="E178" s="8"/>
      <c r="F178" s="8"/>
      <c r="G178" s="9">
        <v>1000</v>
      </c>
      <c r="H178" s="26">
        <f t="shared" si="6"/>
        <v>0</v>
      </c>
      <c r="I178" s="7"/>
      <c r="J178" s="7"/>
      <c r="K178" s="7"/>
      <c r="L178" s="7">
        <v>30</v>
      </c>
      <c r="M178" s="7"/>
      <c r="N178" s="7">
        <f t="shared" si="7"/>
        <v>3</v>
      </c>
      <c r="O178" s="7">
        <f t="shared" si="5"/>
        <v>0</v>
      </c>
      <c r="P178" s="7"/>
    </row>
    <row r="179" spans="1:16" x14ac:dyDescent="0.3">
      <c r="A179" s="5" t="s">
        <v>163</v>
      </c>
      <c r="B179" s="6">
        <v>6</v>
      </c>
      <c r="C179" s="10"/>
      <c r="D179" s="7"/>
      <c r="E179" s="8"/>
      <c r="F179" s="8"/>
      <c r="G179" s="9">
        <v>3000</v>
      </c>
      <c r="H179" s="26">
        <f t="shared" si="6"/>
        <v>0</v>
      </c>
      <c r="I179" s="7"/>
      <c r="J179" s="7">
        <v>260</v>
      </c>
      <c r="K179" s="7"/>
      <c r="L179" s="7">
        <v>295</v>
      </c>
      <c r="M179" s="7"/>
      <c r="N179" s="7">
        <f t="shared" si="7"/>
        <v>6</v>
      </c>
      <c r="O179" s="7">
        <f t="shared" si="5"/>
        <v>0</v>
      </c>
      <c r="P179" s="7"/>
    </row>
    <row r="180" spans="1:16" x14ac:dyDescent="0.3">
      <c r="A180" s="5" t="s">
        <v>97</v>
      </c>
      <c r="B180" s="6">
        <v>0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/>
      <c r="K180" s="7"/>
      <c r="L180" s="7">
        <v>530</v>
      </c>
      <c r="M180" s="7"/>
      <c r="N180" s="7">
        <f t="shared" si="7"/>
        <v>0</v>
      </c>
      <c r="O180" s="7">
        <f t="shared" si="5"/>
        <v>0</v>
      </c>
      <c r="P180" s="7"/>
    </row>
    <row r="181" spans="1:16" x14ac:dyDescent="0.3">
      <c r="A181" s="5" t="s">
        <v>199</v>
      </c>
      <c r="B181" s="6">
        <v>1</v>
      </c>
      <c r="C181" s="10"/>
      <c r="D181" s="7"/>
      <c r="E181" s="8"/>
      <c r="F181" s="8"/>
      <c r="G181" s="9"/>
      <c r="H181" s="26"/>
      <c r="I181" s="7"/>
      <c r="J181" s="7"/>
      <c r="K181" s="7"/>
      <c r="L181" s="7"/>
      <c r="M181" s="7"/>
      <c r="N181" s="7">
        <f t="shared" si="7"/>
        <v>1</v>
      </c>
      <c r="O181" s="7">
        <f t="shared" si="5"/>
        <v>0</v>
      </c>
      <c r="P181" s="7"/>
    </row>
    <row r="182" spans="1:16" x14ac:dyDescent="0.3">
      <c r="A182" s="5" t="s">
        <v>183</v>
      </c>
      <c r="B182" s="6">
        <v>1</v>
      </c>
      <c r="C182" s="10"/>
      <c r="D182" s="7"/>
      <c r="E182" s="8"/>
      <c r="F182" s="8"/>
      <c r="G182" s="9">
        <v>3000</v>
      </c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3">
      <c r="A183" s="5" t="s">
        <v>240</v>
      </c>
      <c r="B183" s="6">
        <v>0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0</v>
      </c>
      <c r="O183" s="7">
        <f t="shared" ref="O183:O218" si="8">E183*L183+F183*M183</f>
        <v>0</v>
      </c>
      <c r="P183" s="7"/>
    </row>
    <row r="184" spans="1:16" x14ac:dyDescent="0.3">
      <c r="A184" s="5" t="s">
        <v>98</v>
      </c>
      <c r="B184" s="6">
        <v>1</v>
      </c>
      <c r="C184" s="10"/>
      <c r="D184" s="7"/>
      <c r="E184" s="8"/>
      <c r="F184" s="8"/>
      <c r="G184" s="9">
        <v>3000</v>
      </c>
      <c r="H184" s="26">
        <f t="shared" ref="H184:H192" si="9">(E184+F184)*G184</f>
        <v>0</v>
      </c>
      <c r="I184" s="7"/>
      <c r="J184" s="7">
        <v>250</v>
      </c>
      <c r="K184" s="7"/>
      <c r="L184" s="7">
        <v>310</v>
      </c>
      <c r="M184" s="7"/>
      <c r="N184" s="7">
        <f t="shared" si="7"/>
        <v>1</v>
      </c>
      <c r="O184" s="7">
        <f t="shared" si="8"/>
        <v>0</v>
      </c>
      <c r="P184" s="7"/>
    </row>
    <row r="185" spans="1:16" x14ac:dyDescent="0.3">
      <c r="A185" s="5" t="s">
        <v>189</v>
      </c>
      <c r="B185" s="6">
        <v>0</v>
      </c>
      <c r="C185" s="10"/>
      <c r="D185" s="7"/>
      <c r="E185" s="8"/>
      <c r="F185" s="8"/>
      <c r="G185" s="9">
        <v>3000</v>
      </c>
      <c r="H185" s="26">
        <f t="shared" si="9"/>
        <v>0</v>
      </c>
      <c r="I185" s="7"/>
      <c r="J185" s="7"/>
      <c r="K185" s="7"/>
      <c r="L185" s="7">
        <v>260</v>
      </c>
      <c r="M185" s="7"/>
      <c r="N185" s="7">
        <f t="shared" si="7"/>
        <v>0</v>
      </c>
      <c r="O185" s="7">
        <f t="shared" si="8"/>
        <v>0</v>
      </c>
      <c r="P185" s="7"/>
    </row>
    <row r="186" spans="1:16" x14ac:dyDescent="0.3">
      <c r="A186" s="5" t="s">
        <v>190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300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3">
      <c r="A187" s="5" t="s">
        <v>153</v>
      </c>
      <c r="B187" s="6">
        <v>0</v>
      </c>
      <c r="C187" s="10"/>
      <c r="D187" s="7"/>
      <c r="E187" s="8"/>
      <c r="F187" s="8"/>
      <c r="G187" s="9">
        <v>1000</v>
      </c>
      <c r="H187" s="26">
        <f t="shared" si="9"/>
        <v>0</v>
      </c>
      <c r="I187" s="7"/>
      <c r="J187" s="7"/>
      <c r="K187" s="7"/>
      <c r="L187" s="7">
        <v>100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3">
      <c r="A188" s="5" t="s">
        <v>150</v>
      </c>
      <c r="B188" s="6">
        <v>0</v>
      </c>
      <c r="C188" s="10"/>
      <c r="D188" s="7"/>
      <c r="E188" s="8"/>
      <c r="F188" s="8"/>
      <c r="G188" s="9">
        <v>3000</v>
      </c>
      <c r="H188" s="26">
        <f t="shared" si="9"/>
        <v>0</v>
      </c>
      <c r="I188" s="7"/>
      <c r="J188" s="7">
        <v>220</v>
      </c>
      <c r="K188" s="7"/>
      <c r="L188" s="7">
        <v>310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3">
      <c r="A189" s="5" t="s">
        <v>99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/>
      <c r="K189" s="7"/>
      <c r="L189" s="7">
        <v>425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3">
      <c r="A190" s="5" t="s">
        <v>213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430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3">
      <c r="A191" s="5" t="s">
        <v>165</v>
      </c>
      <c r="B191" s="6">
        <v>0</v>
      </c>
      <c r="C191" s="10"/>
      <c r="D191" s="7"/>
      <c r="E191" s="8"/>
      <c r="F191" s="8"/>
      <c r="G191" s="9">
        <v>3000</v>
      </c>
      <c r="H191" s="26"/>
      <c r="I191" s="7"/>
      <c r="J191" s="7"/>
      <c r="K191" s="7"/>
      <c r="L191" s="7"/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3">
      <c r="A192" s="5" t="s">
        <v>296</v>
      </c>
      <c r="B192" s="6">
        <v>1</v>
      </c>
      <c r="C192" s="10"/>
      <c r="D192" s="7"/>
      <c r="E192" s="8"/>
      <c r="F192" s="8"/>
      <c r="G192" s="9">
        <v>3000</v>
      </c>
      <c r="H192" s="26">
        <f t="shared" si="9"/>
        <v>0</v>
      </c>
      <c r="I192" s="7"/>
      <c r="J192" s="7">
        <v>190</v>
      </c>
      <c r="K192" s="7"/>
      <c r="L192" s="7">
        <v>260</v>
      </c>
      <c r="M192" s="7"/>
      <c r="N192" s="7">
        <f t="shared" si="7"/>
        <v>1</v>
      </c>
      <c r="O192" s="7">
        <f t="shared" si="8"/>
        <v>0</v>
      </c>
      <c r="P192" s="7"/>
    </row>
    <row r="193" spans="1:16" x14ac:dyDescent="0.3">
      <c r="A193" s="5" t="s">
        <v>252</v>
      </c>
      <c r="B193" s="6">
        <v>0</v>
      </c>
      <c r="C193" s="10"/>
      <c r="D193" s="7"/>
      <c r="E193" s="8"/>
      <c r="F193" s="8"/>
      <c r="G193" s="9">
        <v>3000</v>
      </c>
      <c r="H193" s="26">
        <f t="shared" si="6"/>
        <v>0</v>
      </c>
      <c r="I193" s="7"/>
      <c r="J193" s="7"/>
      <c r="K193" s="7"/>
      <c r="L193" s="7">
        <v>255</v>
      </c>
      <c r="M193" s="7"/>
      <c r="N193" s="7">
        <f t="shared" si="7"/>
        <v>0</v>
      </c>
      <c r="O193" s="7">
        <f t="shared" si="8"/>
        <v>0</v>
      </c>
      <c r="P193" s="7"/>
    </row>
    <row r="194" spans="1:16" x14ac:dyDescent="0.3">
      <c r="A194" s="5" t="s">
        <v>156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360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3">
      <c r="A195" s="5" t="s">
        <v>100</v>
      </c>
      <c r="B195" s="6">
        <v>3</v>
      </c>
      <c r="C195" s="10"/>
      <c r="D195" s="7"/>
      <c r="E195" s="8"/>
      <c r="F195" s="8"/>
      <c r="G195" s="9">
        <v>1000</v>
      </c>
      <c r="H195" s="26">
        <f t="shared" si="6"/>
        <v>0</v>
      </c>
      <c r="I195" s="7"/>
      <c r="J195" s="7"/>
      <c r="K195" s="7"/>
      <c r="L195" s="7">
        <v>80</v>
      </c>
      <c r="M195" s="7"/>
      <c r="N195" s="7">
        <f t="shared" si="7"/>
        <v>3</v>
      </c>
      <c r="O195" s="7">
        <f t="shared" si="8"/>
        <v>0</v>
      </c>
      <c r="P195" s="7"/>
    </row>
    <row r="196" spans="1:16" x14ac:dyDescent="0.3">
      <c r="A196" s="5" t="s">
        <v>101</v>
      </c>
      <c r="B196" s="6">
        <v>2</v>
      </c>
      <c r="C196" s="10"/>
      <c r="D196" s="7"/>
      <c r="E196" s="8"/>
      <c r="F196" s="8"/>
      <c r="G196" s="9">
        <v>3000</v>
      </c>
      <c r="H196" s="26">
        <f t="shared" si="6"/>
        <v>0</v>
      </c>
      <c r="I196" s="7"/>
      <c r="J196" s="7">
        <v>160</v>
      </c>
      <c r="K196" s="7"/>
      <c r="L196" s="7">
        <v>175</v>
      </c>
      <c r="M196" s="7"/>
      <c r="N196" s="7">
        <f t="shared" si="7"/>
        <v>2</v>
      </c>
      <c r="O196" s="7">
        <f t="shared" si="8"/>
        <v>0</v>
      </c>
      <c r="P196" s="7"/>
    </row>
    <row r="197" spans="1:16" x14ac:dyDescent="0.3">
      <c r="A197" s="5" t="s">
        <v>174</v>
      </c>
      <c r="B197" s="6">
        <v>0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/>
      <c r="K197" s="7"/>
      <c r="L197" s="7">
        <v>250</v>
      </c>
      <c r="M197" s="7"/>
      <c r="N197" s="7">
        <f t="shared" si="7"/>
        <v>0</v>
      </c>
      <c r="O197" s="7">
        <f t="shared" si="8"/>
        <v>0</v>
      </c>
      <c r="P197" s="7"/>
    </row>
    <row r="198" spans="1:16" x14ac:dyDescent="0.3">
      <c r="A198" s="5" t="s">
        <v>262</v>
      </c>
      <c r="B198" s="6">
        <v>4</v>
      </c>
      <c r="C198" s="10"/>
      <c r="D198" s="7"/>
      <c r="E198" s="8">
        <v>1</v>
      </c>
      <c r="F198" s="8"/>
      <c r="G198" s="9">
        <v>3000</v>
      </c>
      <c r="H198" s="26">
        <f t="shared" si="6"/>
        <v>3000</v>
      </c>
      <c r="I198" s="7">
        <v>1500</v>
      </c>
      <c r="J198" s="7"/>
      <c r="K198" s="7"/>
      <c r="L198" s="7">
        <v>175</v>
      </c>
      <c r="M198" s="7">
        <v>0</v>
      </c>
      <c r="N198" s="7">
        <f t="shared" si="7"/>
        <v>3</v>
      </c>
      <c r="O198" s="7">
        <f t="shared" si="8"/>
        <v>175</v>
      </c>
      <c r="P198" s="7"/>
    </row>
    <row r="199" spans="1:16" x14ac:dyDescent="0.3">
      <c r="A199" s="5" t="s">
        <v>166</v>
      </c>
      <c r="B199" s="6">
        <v>9</v>
      </c>
      <c r="C199" s="10"/>
      <c r="D199" s="7"/>
      <c r="E199" s="8"/>
      <c r="F199" s="8"/>
      <c r="G199" s="9">
        <v>500</v>
      </c>
      <c r="H199" s="26">
        <f t="shared" si="6"/>
        <v>0</v>
      </c>
      <c r="I199" s="7"/>
      <c r="J199" s="7"/>
      <c r="K199" s="7"/>
      <c r="L199" s="7">
        <v>5</v>
      </c>
      <c r="M199" s="7"/>
      <c r="N199" s="7">
        <f t="shared" si="7"/>
        <v>9</v>
      </c>
      <c r="O199" s="7">
        <f t="shared" si="8"/>
        <v>0</v>
      </c>
      <c r="P199" s="7"/>
    </row>
    <row r="200" spans="1:16" x14ac:dyDescent="0.3">
      <c r="A200" s="5" t="s">
        <v>248</v>
      </c>
      <c r="B200" s="6">
        <v>2</v>
      </c>
      <c r="C200" s="10"/>
      <c r="D200" s="7"/>
      <c r="E200" s="8"/>
      <c r="F200" s="8"/>
      <c r="G200" s="9">
        <v>2000</v>
      </c>
      <c r="H200" s="26">
        <f t="shared" si="6"/>
        <v>0</v>
      </c>
      <c r="I200" s="7"/>
      <c r="J200" s="7"/>
      <c r="K200" s="7"/>
      <c r="L200" s="7">
        <v>280</v>
      </c>
      <c r="M200" s="7"/>
      <c r="N200" s="7">
        <f t="shared" si="7"/>
        <v>2</v>
      </c>
      <c r="O200" s="7">
        <f t="shared" si="8"/>
        <v>0</v>
      </c>
      <c r="P200" s="7"/>
    </row>
    <row r="201" spans="1:16" x14ac:dyDescent="0.3">
      <c r="A201" s="5" t="s">
        <v>249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240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3">
      <c r="A202" s="5" t="s">
        <v>250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220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3">
      <c r="A203" s="5" t="s">
        <v>102</v>
      </c>
      <c r="B203" s="6">
        <v>8</v>
      </c>
      <c r="C203" s="10"/>
      <c r="D203" s="7"/>
      <c r="E203" s="8"/>
      <c r="F203" s="8"/>
      <c r="G203" s="9">
        <v>500</v>
      </c>
      <c r="H203" s="26">
        <f t="shared" si="6"/>
        <v>0</v>
      </c>
      <c r="I203" s="7"/>
      <c r="J203" s="7"/>
      <c r="K203" s="7"/>
      <c r="L203" s="7">
        <v>20</v>
      </c>
      <c r="M203" s="7"/>
      <c r="N203" s="7">
        <f t="shared" si="7"/>
        <v>8</v>
      </c>
      <c r="O203" s="7">
        <f t="shared" si="8"/>
        <v>0</v>
      </c>
      <c r="P203" s="7"/>
    </row>
    <row r="204" spans="1:16" x14ac:dyDescent="0.3">
      <c r="A204" s="5" t="s">
        <v>282</v>
      </c>
      <c r="B204" s="6">
        <v>24</v>
      </c>
      <c r="C204" s="10"/>
      <c r="D204" s="7"/>
      <c r="E204" s="8"/>
      <c r="F204" s="8"/>
      <c r="G204" s="9">
        <v>200</v>
      </c>
      <c r="H204" s="26">
        <f t="shared" si="6"/>
        <v>0</v>
      </c>
      <c r="I204" s="7"/>
      <c r="J204" s="7"/>
      <c r="K204" s="7"/>
      <c r="L204" s="7">
        <v>5</v>
      </c>
      <c r="M204" s="7"/>
      <c r="N204" s="7">
        <f t="shared" si="7"/>
        <v>24</v>
      </c>
      <c r="O204" s="7">
        <f t="shared" si="8"/>
        <v>0</v>
      </c>
      <c r="P204" s="7"/>
    </row>
    <row r="205" spans="1:16" x14ac:dyDescent="0.3">
      <c r="A205" s="5" t="s">
        <v>253</v>
      </c>
      <c r="B205" s="6">
        <v>0</v>
      </c>
      <c r="C205" s="10"/>
      <c r="D205" s="7"/>
      <c r="E205" s="8"/>
      <c r="F205" s="8"/>
      <c r="G205" s="9">
        <v>1000</v>
      </c>
      <c r="H205" s="26">
        <f t="shared" si="6"/>
        <v>0</v>
      </c>
      <c r="I205" s="7"/>
      <c r="J205" s="7">
        <v>30</v>
      </c>
      <c r="K205" s="7"/>
      <c r="L205" s="7">
        <v>45</v>
      </c>
      <c r="M205" s="7"/>
      <c r="N205" s="7">
        <f t="shared" si="7"/>
        <v>0</v>
      </c>
      <c r="O205" s="7">
        <f t="shared" si="8"/>
        <v>0</v>
      </c>
      <c r="P205" s="7"/>
    </row>
    <row r="206" spans="1:16" x14ac:dyDescent="0.3">
      <c r="A206" s="5" t="s">
        <v>152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/>
      <c r="K206" s="7"/>
      <c r="L206" s="7">
        <v>50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3">
      <c r="A207" s="5" t="s">
        <v>103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65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3">
      <c r="A208" s="5" t="s">
        <v>264</v>
      </c>
      <c r="B208" s="6">
        <v>2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>
        <v>26</v>
      </c>
      <c r="K208" s="7"/>
      <c r="L208" s="7">
        <v>45</v>
      </c>
      <c r="M208" s="7"/>
      <c r="N208" s="7">
        <f t="shared" si="7"/>
        <v>2</v>
      </c>
      <c r="O208" s="7">
        <f t="shared" si="8"/>
        <v>0</v>
      </c>
      <c r="P208" s="7"/>
    </row>
    <row r="209" spans="1:16" x14ac:dyDescent="0.3">
      <c r="A209" s="5" t="s">
        <v>245</v>
      </c>
      <c r="B209" s="6">
        <v>2</v>
      </c>
      <c r="C209" s="10"/>
      <c r="D209" s="7"/>
      <c r="E209" s="8"/>
      <c r="F209" s="8"/>
      <c r="G209" s="9">
        <v>3000</v>
      </c>
      <c r="H209" s="26">
        <f t="shared" si="6"/>
        <v>0</v>
      </c>
      <c r="I209" s="7"/>
      <c r="J209" s="7">
        <v>60</v>
      </c>
      <c r="K209" s="7"/>
      <c r="L209" s="7">
        <v>140</v>
      </c>
      <c r="M209" s="7"/>
      <c r="N209" s="7">
        <f t="shared" si="7"/>
        <v>2</v>
      </c>
      <c r="O209" s="7">
        <f t="shared" si="8"/>
        <v>0</v>
      </c>
      <c r="P209" s="7"/>
    </row>
    <row r="210" spans="1:16" x14ac:dyDescent="0.3">
      <c r="A210" s="5" t="s">
        <v>104</v>
      </c>
      <c r="B210" s="6">
        <v>2</v>
      </c>
      <c r="C210" s="10"/>
      <c r="D210" s="7"/>
      <c r="E210" s="8"/>
      <c r="F210" s="8"/>
      <c r="G210" s="9">
        <v>1000</v>
      </c>
      <c r="H210" s="26">
        <f t="shared" si="6"/>
        <v>0</v>
      </c>
      <c r="I210" s="7"/>
      <c r="J210" s="7">
        <v>42</v>
      </c>
      <c r="K210" s="7"/>
      <c r="L210" s="7">
        <v>70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3">
      <c r="A211" s="5" t="s">
        <v>293</v>
      </c>
      <c r="B211" s="6">
        <v>20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/>
      <c r="K211" s="7"/>
      <c r="L211" s="7">
        <v>110</v>
      </c>
      <c r="M211" s="7"/>
      <c r="N211" s="7">
        <f t="shared" si="7"/>
        <v>20</v>
      </c>
      <c r="O211" s="7">
        <f t="shared" si="8"/>
        <v>0</v>
      </c>
      <c r="P211" s="7"/>
    </row>
    <row r="212" spans="1:16" x14ac:dyDescent="0.3">
      <c r="A212" s="5" t="s">
        <v>225</v>
      </c>
      <c r="B212" s="6">
        <v>0</v>
      </c>
      <c r="C212" s="10"/>
      <c r="D212" s="7"/>
      <c r="E212" s="8"/>
      <c r="F212" s="8"/>
      <c r="G212" s="9">
        <v>1000</v>
      </c>
      <c r="H212" s="26"/>
      <c r="I212" s="7"/>
      <c r="J212" s="7"/>
      <c r="K212" s="7"/>
      <c r="L212" s="7">
        <v>70</v>
      </c>
      <c r="M212" s="7"/>
      <c r="N212" s="7">
        <f t="shared" si="7"/>
        <v>0</v>
      </c>
      <c r="O212" s="7">
        <f t="shared" si="8"/>
        <v>0</v>
      </c>
      <c r="P212" s="7"/>
    </row>
    <row r="213" spans="1:16" x14ac:dyDescent="0.3">
      <c r="A213" s="5" t="s">
        <v>266</v>
      </c>
      <c r="B213" s="6">
        <v>0</v>
      </c>
      <c r="C213" s="10"/>
      <c r="D213" s="7"/>
      <c r="E213" s="8"/>
      <c r="F213" s="8"/>
      <c r="G213" s="9">
        <v>1000</v>
      </c>
      <c r="H213" s="26"/>
      <c r="I213" s="7"/>
      <c r="J213" s="7"/>
      <c r="K213" s="7"/>
      <c r="L213" s="7">
        <v>75</v>
      </c>
      <c r="M213" s="7"/>
      <c r="N213" s="7">
        <f t="shared" si="7"/>
        <v>0</v>
      </c>
      <c r="O213" s="7">
        <f t="shared" si="8"/>
        <v>0</v>
      </c>
      <c r="P213" s="7"/>
    </row>
    <row r="214" spans="1:16" x14ac:dyDescent="0.3">
      <c r="A214" s="5" t="s">
        <v>105</v>
      </c>
      <c r="B214" s="6">
        <v>0</v>
      </c>
      <c r="C214" s="10"/>
      <c r="D214" s="7"/>
      <c r="E214" s="8"/>
      <c r="F214" s="8"/>
      <c r="G214" s="9">
        <v>1000</v>
      </c>
      <c r="H214" s="26">
        <f t="shared" si="6"/>
        <v>0</v>
      </c>
      <c r="I214" s="7"/>
      <c r="J214" s="7"/>
      <c r="K214" s="7"/>
      <c r="L214" s="7">
        <v>90</v>
      </c>
      <c r="M214" s="7"/>
      <c r="N214" s="7">
        <f t="shared" si="7"/>
        <v>0</v>
      </c>
      <c r="O214" s="7">
        <f t="shared" si="8"/>
        <v>0</v>
      </c>
      <c r="P214" s="7"/>
    </row>
    <row r="215" spans="1:16" x14ac:dyDescent="0.3">
      <c r="A215" s="5" t="s">
        <v>265</v>
      </c>
      <c r="B215" s="6">
        <v>5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45</v>
      </c>
      <c r="M215" s="7"/>
      <c r="N215" s="7">
        <f t="shared" si="7"/>
        <v>5</v>
      </c>
      <c r="O215" s="7">
        <f t="shared" si="8"/>
        <v>0</v>
      </c>
      <c r="P215" s="7"/>
    </row>
    <row r="216" spans="1:16" x14ac:dyDescent="0.3">
      <c r="A216" s="5" t="s">
        <v>195</v>
      </c>
      <c r="B216" s="6">
        <v>1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</v>
      </c>
      <c r="O216" s="7">
        <f t="shared" si="8"/>
        <v>0</v>
      </c>
      <c r="P216" s="7"/>
    </row>
    <row r="217" spans="1:16" x14ac:dyDescent="0.3">
      <c r="A217" s="5" t="s">
        <v>106</v>
      </c>
      <c r="B217" s="6">
        <v>2</v>
      </c>
      <c r="C217" s="7"/>
      <c r="D217" s="7"/>
      <c r="E217" s="8"/>
      <c r="F217" s="8"/>
      <c r="G217" s="9">
        <v>2000</v>
      </c>
      <c r="H217" s="26">
        <f t="shared" si="6"/>
        <v>0</v>
      </c>
      <c r="I217" s="7"/>
      <c r="J217" s="7">
        <v>40</v>
      </c>
      <c r="K217" s="7"/>
      <c r="L217" s="7">
        <v>50</v>
      </c>
      <c r="M217" s="7"/>
      <c r="N217" s="7">
        <f t="shared" si="7"/>
        <v>2</v>
      </c>
      <c r="O217" s="7">
        <f t="shared" si="8"/>
        <v>0</v>
      </c>
      <c r="P217" s="7"/>
    </row>
    <row r="218" spans="1:16" x14ac:dyDescent="0.3">
      <c r="A218" s="5" t="s">
        <v>192</v>
      </c>
      <c r="B218" s="6">
        <v>0</v>
      </c>
      <c r="C218" s="7"/>
      <c r="D218" s="7"/>
      <c r="E218" s="8"/>
      <c r="F218" s="8"/>
      <c r="G218" s="9">
        <v>3000</v>
      </c>
      <c r="H218" s="26">
        <f t="shared" si="6"/>
        <v>0</v>
      </c>
      <c r="I218" s="7"/>
      <c r="J218" s="7"/>
      <c r="K218" s="7"/>
      <c r="L218" s="7">
        <v>500</v>
      </c>
      <c r="M218" s="7"/>
      <c r="N218" s="7">
        <f t="shared" si="7"/>
        <v>0</v>
      </c>
      <c r="O218" s="7">
        <f t="shared" si="8"/>
        <v>0</v>
      </c>
      <c r="P218" s="7"/>
    </row>
    <row r="219" spans="1:16" x14ac:dyDescent="0.3">
      <c r="A219" s="5" t="s">
        <v>202</v>
      </c>
      <c r="B219" s="6">
        <v>7</v>
      </c>
      <c r="C219" s="7"/>
      <c r="D219" s="7"/>
      <c r="E219" s="8"/>
      <c r="F219" s="8"/>
      <c r="G219" s="9"/>
      <c r="H219" s="26"/>
      <c r="I219" s="7"/>
      <c r="J219" s="7"/>
      <c r="K219" s="7"/>
      <c r="L219" s="7"/>
      <c r="M219" s="7"/>
      <c r="N219" s="7">
        <f t="shared" si="7"/>
        <v>7</v>
      </c>
      <c r="O219" s="7"/>
      <c r="P219" s="7"/>
    </row>
    <row r="220" spans="1:16" x14ac:dyDescent="0.3">
      <c r="A220" s="5" t="s">
        <v>205</v>
      </c>
      <c r="B220" s="6">
        <v>0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0</v>
      </c>
      <c r="O220" s="7"/>
      <c r="P220" s="7"/>
    </row>
    <row r="221" spans="1:16" x14ac:dyDescent="0.3">
      <c r="A221" s="5" t="s">
        <v>169</v>
      </c>
      <c r="B221" s="6">
        <v>102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102</v>
      </c>
      <c r="O221" s="7"/>
      <c r="P221" s="7"/>
    </row>
    <row r="222" spans="1:16" x14ac:dyDescent="0.3">
      <c r="A222" s="5" t="s">
        <v>170</v>
      </c>
      <c r="B222" s="6">
        <v>0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0</v>
      </c>
      <c r="O222" s="7"/>
      <c r="P222" s="7"/>
    </row>
    <row r="223" spans="1:16" x14ac:dyDescent="0.3">
      <c r="A223" s="5" t="s">
        <v>206</v>
      </c>
      <c r="B223" s="6">
        <v>52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52</v>
      </c>
      <c r="O223" s="7"/>
      <c r="P223" s="7"/>
    </row>
    <row r="224" spans="1:16" x14ac:dyDescent="0.3">
      <c r="A224" s="5" t="s">
        <v>171</v>
      </c>
      <c r="B224" s="6">
        <v>7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7</v>
      </c>
      <c r="O224" s="7"/>
      <c r="P224" s="7"/>
    </row>
    <row r="225" spans="1:16" x14ac:dyDescent="0.3">
      <c r="A225" s="5" t="s">
        <v>204</v>
      </c>
      <c r="B225" s="6">
        <v>38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38</v>
      </c>
      <c r="O225" s="7"/>
      <c r="P225" s="7"/>
    </row>
    <row r="226" spans="1:16" x14ac:dyDescent="0.3">
      <c r="A226" s="5" t="s">
        <v>203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3">
      <c r="A227" s="5" t="s">
        <v>207</v>
      </c>
      <c r="B227" s="6">
        <v>0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0</v>
      </c>
      <c r="O227" s="7"/>
      <c r="P227" s="7"/>
    </row>
    <row r="228" spans="1:16" x14ac:dyDescent="0.3">
      <c r="A228" s="12" t="s">
        <v>107</v>
      </c>
      <c r="B228" s="13">
        <v>1011</v>
      </c>
      <c r="C228" s="14"/>
      <c r="D228" s="14"/>
      <c r="E228" s="15"/>
      <c r="F228" s="15"/>
      <c r="G228" s="16"/>
      <c r="H228" s="27">
        <f>SUM(H2:H218)</f>
        <v>14000</v>
      </c>
      <c r="I228" s="17">
        <f>SUM(I2:I217)</f>
        <v>3600</v>
      </c>
      <c r="J228" s="17"/>
      <c r="K228" s="17">
        <f>SUM(K2:K217)</f>
        <v>0</v>
      </c>
      <c r="L228" s="17"/>
      <c r="M228" s="17"/>
      <c r="N228" s="17">
        <f>SUM(N2:N227)</f>
        <v>1006</v>
      </c>
      <c r="O228" s="17">
        <f>SUM(O2:O227)</f>
        <v>885</v>
      </c>
      <c r="P228" s="17">
        <f>SUM(P2:P227)</f>
        <v>-10</v>
      </c>
    </row>
    <row r="229" spans="1:16" x14ac:dyDescent="0.3">
      <c r="A229" s="18" t="s">
        <v>108</v>
      </c>
      <c r="B229" s="18">
        <f>O228</f>
        <v>885</v>
      </c>
      <c r="C229" s="2" t="s">
        <v>109</v>
      </c>
      <c r="D229" s="2" t="s">
        <v>110</v>
      </c>
      <c r="N229" s="28"/>
    </row>
    <row r="230" spans="1:16" x14ac:dyDescent="0.3">
      <c r="A230" s="19" t="s">
        <v>111</v>
      </c>
      <c r="B230" s="20">
        <f>(C230+D230)/670</f>
        <v>229.53731343283582</v>
      </c>
      <c r="C230" s="8">
        <v>50940</v>
      </c>
      <c r="D230" s="8">
        <v>102850</v>
      </c>
    </row>
    <row r="231" spans="1:16" x14ac:dyDescent="0.3">
      <c r="A231" s="19" t="s">
        <v>14</v>
      </c>
      <c r="B231" s="21">
        <v>150</v>
      </c>
      <c r="C231" s="8" t="s">
        <v>126</v>
      </c>
      <c r="D231" s="8"/>
    </row>
    <row r="232" spans="1:16" x14ac:dyDescent="0.3">
      <c r="A232" s="19" t="s">
        <v>112</v>
      </c>
      <c r="B232" s="20">
        <f>D232/670</f>
        <v>0</v>
      </c>
      <c r="C232" s="8"/>
      <c r="D232" s="8"/>
    </row>
    <row r="233" spans="1:16" x14ac:dyDescent="0.3">
      <c r="A233" s="19" t="s">
        <v>113</v>
      </c>
      <c r="B233" s="20"/>
      <c r="C233" s="8"/>
      <c r="D233" s="8"/>
    </row>
    <row r="234" spans="1:16" x14ac:dyDescent="0.3">
      <c r="A234" s="12" t="s">
        <v>114</v>
      </c>
      <c r="B234" s="22">
        <f>B229+B230+B232+B233+B231</f>
        <v>1264.5373134328358</v>
      </c>
      <c r="C234" s="8"/>
      <c r="D234" s="8"/>
    </row>
    <row r="235" spans="1:16" x14ac:dyDescent="0.3">
      <c r="A235" s="19" t="s">
        <v>6</v>
      </c>
      <c r="B235" s="20">
        <f>D235/670</f>
        <v>132.61194029850745</v>
      </c>
      <c r="C235" s="8"/>
      <c r="D235" s="8">
        <v>88850</v>
      </c>
    </row>
    <row r="236" spans="1:16" x14ac:dyDescent="0.3">
      <c r="A236" s="19" t="s">
        <v>115</v>
      </c>
      <c r="B236" s="20">
        <f>C236/670</f>
        <v>5.3731343283582094</v>
      </c>
      <c r="C236" s="8">
        <v>3600</v>
      </c>
      <c r="D236" s="8"/>
    </row>
    <row r="237" spans="1:16" x14ac:dyDescent="0.3">
      <c r="A237" s="19" t="s">
        <v>64</v>
      </c>
      <c r="B237" s="20">
        <f>C237/670</f>
        <v>3.7313432835820897</v>
      </c>
      <c r="C237" s="8">
        <v>2500</v>
      </c>
      <c r="D237" s="8"/>
    </row>
    <row r="238" spans="1:16" x14ac:dyDescent="0.3">
      <c r="A238" s="19" t="s">
        <v>116</v>
      </c>
      <c r="B238" s="20"/>
      <c r="C238" s="8"/>
      <c r="D238" s="8"/>
    </row>
    <row r="239" spans="1:16" x14ac:dyDescent="0.3">
      <c r="A239" s="12" t="s">
        <v>117</v>
      </c>
      <c r="B239" s="20">
        <f>B235+B236+B237+B238</f>
        <v>141.71641791044775</v>
      </c>
      <c r="C239" s="8"/>
      <c r="D239" s="8"/>
    </row>
    <row r="240" spans="1:16" x14ac:dyDescent="0.3">
      <c r="A240" s="12" t="s">
        <v>118</v>
      </c>
      <c r="B240" s="22">
        <f>B234-B239</f>
        <v>1122.8208955223881</v>
      </c>
      <c r="C240" s="8"/>
      <c r="D240" s="8"/>
    </row>
    <row r="241" spans="1:6" x14ac:dyDescent="0.3">
      <c r="A241" s="19" t="s">
        <v>119</v>
      </c>
      <c r="B241" s="20">
        <f>C241/670</f>
        <v>0</v>
      </c>
      <c r="C241" s="8"/>
      <c r="D241" s="8"/>
    </row>
    <row r="242" spans="1:6" x14ac:dyDescent="0.3">
      <c r="A242" s="19" t="s">
        <v>120</v>
      </c>
      <c r="B242" s="20"/>
      <c r="C242" s="8"/>
      <c r="D242" s="8"/>
    </row>
    <row r="243" spans="1:6" x14ac:dyDescent="0.3">
      <c r="A243" s="19" t="s">
        <v>121</v>
      </c>
      <c r="B243" s="20">
        <f>C243/2</f>
        <v>0</v>
      </c>
      <c r="C243" s="8"/>
      <c r="D243" s="8"/>
    </row>
    <row r="244" spans="1:6" x14ac:dyDescent="0.3">
      <c r="A244" s="12" t="s">
        <v>122</v>
      </c>
      <c r="B244" s="22">
        <f>B241+B242+B243</f>
        <v>0</v>
      </c>
      <c r="C244" s="8"/>
      <c r="D244" s="8"/>
    </row>
    <row r="245" spans="1:6" x14ac:dyDescent="0.3">
      <c r="A245" s="19" t="s">
        <v>123</v>
      </c>
      <c r="B245" s="20">
        <v>905</v>
      </c>
      <c r="C245" s="8"/>
      <c r="D245" s="8"/>
    </row>
    <row r="246" spans="1:6" x14ac:dyDescent="0.3">
      <c r="A246" s="19" t="s">
        <v>36</v>
      </c>
      <c r="B246" s="20"/>
      <c r="C246" s="8"/>
      <c r="D246" s="8"/>
    </row>
    <row r="247" spans="1:6" x14ac:dyDescent="0.3">
      <c r="A247" s="19" t="s">
        <v>124</v>
      </c>
      <c r="B247" s="20">
        <f>C247/2.3</f>
        <v>0</v>
      </c>
      <c r="C247" s="8"/>
      <c r="D247" s="8"/>
    </row>
    <row r="248" spans="1:6" x14ac:dyDescent="0.3">
      <c r="A248" s="19" t="s">
        <v>125</v>
      </c>
      <c r="B248" s="20">
        <f>C248/670</f>
        <v>196.92537313432837</v>
      </c>
      <c r="C248" s="8">
        <v>131940</v>
      </c>
      <c r="D248" s="8"/>
      <c r="F248" t="s">
        <v>126</v>
      </c>
    </row>
    <row r="249" spans="1:6" x14ac:dyDescent="0.3">
      <c r="A249" s="19" t="s">
        <v>127</v>
      </c>
      <c r="B249" s="20">
        <f>D249/670</f>
        <v>20.895522388059703</v>
      </c>
      <c r="C249" s="8"/>
      <c r="D249" s="8">
        <v>14000</v>
      </c>
    </row>
    <row r="250" spans="1:6" x14ac:dyDescent="0.3">
      <c r="A250" s="12" t="s">
        <v>128</v>
      </c>
      <c r="B250" s="22">
        <f>B245+B246+B247+B248+B249</f>
        <v>1122.8208955223881</v>
      </c>
      <c r="C250" s="8"/>
      <c r="D250" s="8"/>
    </row>
    <row r="251" spans="1:6" x14ac:dyDescent="0.3">
      <c r="A251" s="19" t="s">
        <v>129</v>
      </c>
      <c r="B251" s="20">
        <f>C251/670</f>
        <v>0</v>
      </c>
      <c r="C251" s="8"/>
      <c r="D251" s="8"/>
    </row>
    <row r="252" spans="1:6" x14ac:dyDescent="0.3">
      <c r="A252" s="12" t="s">
        <v>107</v>
      </c>
      <c r="B252" s="22">
        <f>B251</f>
        <v>0</v>
      </c>
      <c r="C252" s="8"/>
      <c r="D252" s="8"/>
    </row>
    <row r="253" spans="1:6" x14ac:dyDescent="0.3">
      <c r="A253" s="12" t="s">
        <v>130</v>
      </c>
      <c r="B253" s="20">
        <f>B240-B244-B250-B252</f>
        <v>0</v>
      </c>
      <c r="C253" s="8" t="s">
        <v>126</v>
      </c>
      <c r="D253" s="8"/>
    </row>
    <row r="255" spans="1:6" x14ac:dyDescent="0.3">
      <c r="A255" s="12" t="s">
        <v>131</v>
      </c>
      <c r="B255" s="23" t="s">
        <v>10</v>
      </c>
    </row>
    <row r="256" spans="1:6" x14ac:dyDescent="0.3">
      <c r="A256" s="12" t="s">
        <v>132</v>
      </c>
      <c r="B256" s="7"/>
    </row>
    <row r="257" spans="1:2" x14ac:dyDescent="0.3">
      <c r="A257" s="19" t="s">
        <v>133</v>
      </c>
      <c r="B257" s="7"/>
    </row>
    <row r="258" spans="1:2" x14ac:dyDescent="0.3">
      <c r="A258" s="12" t="s">
        <v>134</v>
      </c>
      <c r="B258" s="17">
        <f>B256-B257</f>
        <v>0</v>
      </c>
    </row>
    <row r="259" spans="1:2" x14ac:dyDescent="0.3">
      <c r="A259" s="12" t="s">
        <v>135</v>
      </c>
      <c r="B259" s="17">
        <f>B260+B261+B262+B263+B264+B265+B266+B267</f>
        <v>0</v>
      </c>
    </row>
    <row r="260" spans="1:2" x14ac:dyDescent="0.3">
      <c r="A260" s="19" t="s">
        <v>136</v>
      </c>
      <c r="B260" s="7"/>
    </row>
    <row r="261" spans="1:2" x14ac:dyDescent="0.3">
      <c r="A261" s="19" t="s">
        <v>137</v>
      </c>
      <c r="B261" s="7"/>
    </row>
    <row r="262" spans="1:2" x14ac:dyDescent="0.3">
      <c r="A262" s="19" t="s">
        <v>138</v>
      </c>
      <c r="B262" s="7"/>
    </row>
    <row r="263" spans="1:2" x14ac:dyDescent="0.3">
      <c r="A263" s="19" t="s">
        <v>139</v>
      </c>
      <c r="B263" s="7"/>
    </row>
    <row r="264" spans="1:2" x14ac:dyDescent="0.3">
      <c r="A264" s="19" t="s">
        <v>140</v>
      </c>
      <c r="B264" s="7"/>
    </row>
    <row r="265" spans="1:2" x14ac:dyDescent="0.3">
      <c r="A265" s="19" t="s">
        <v>141</v>
      </c>
      <c r="B265" s="7"/>
    </row>
    <row r="266" spans="1:2" x14ac:dyDescent="0.3">
      <c r="A266" s="19" t="s">
        <v>142</v>
      </c>
      <c r="B266" s="7"/>
    </row>
    <row r="267" spans="1:2" x14ac:dyDescent="0.3">
      <c r="A267" s="19" t="s">
        <v>143</v>
      </c>
      <c r="B267" s="7"/>
    </row>
    <row r="268" spans="1:2" x14ac:dyDescent="0.3">
      <c r="A268" s="12" t="s">
        <v>144</v>
      </c>
      <c r="B268" s="17">
        <f>B269+B270+B271</f>
        <v>0</v>
      </c>
    </row>
    <row r="269" spans="1:2" x14ac:dyDescent="0.3">
      <c r="A269" s="19" t="s">
        <v>145</v>
      </c>
      <c r="B269" s="7"/>
    </row>
    <row r="270" spans="1:2" x14ac:dyDescent="0.3">
      <c r="A270" s="19" t="s">
        <v>146</v>
      </c>
      <c r="B270" s="7"/>
    </row>
    <row r="271" spans="1:2" x14ac:dyDescent="0.3">
      <c r="A271" s="19" t="s">
        <v>147</v>
      </c>
      <c r="B271" s="7"/>
    </row>
    <row r="272" spans="1:2" x14ac:dyDescent="0.3">
      <c r="A272" s="12" t="s">
        <v>148</v>
      </c>
      <c r="B272" s="17">
        <f>B258-B259-B268</f>
        <v>0</v>
      </c>
    </row>
    <row r="278" spans="1:5" x14ac:dyDescent="0.3">
      <c r="A278" s="24"/>
    </row>
    <row r="279" spans="1:5" x14ac:dyDescent="0.3">
      <c r="A279" s="24"/>
    </row>
    <row r="280" spans="1:5" x14ac:dyDescent="0.3">
      <c r="A280" s="24"/>
    </row>
    <row r="281" spans="1:5" x14ac:dyDescent="0.3">
      <c r="A281" s="24"/>
    </row>
    <row r="282" spans="1:5" x14ac:dyDescent="0.3">
      <c r="A282" s="24"/>
    </row>
    <row r="283" spans="1:5" x14ac:dyDescent="0.3">
      <c r="A283" s="24"/>
    </row>
    <row r="284" spans="1:5" x14ac:dyDescent="0.3">
      <c r="A284" s="24"/>
    </row>
    <row r="285" spans="1:5" x14ac:dyDescent="0.3">
      <c r="A285" s="25"/>
      <c r="B285" s="25"/>
      <c r="C285" s="25"/>
      <c r="D285" s="25"/>
      <c r="E285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59608-D9D4-4ABF-97BF-356C072E42EC}">
  <dimension ref="A1:Y286"/>
  <sheetViews>
    <sheetView zoomScale="80" zoomScaleNormal="80" workbookViewId="0">
      <pane ySplit="1" topLeftCell="A29" activePane="bottomLeft" state="frozen"/>
      <selection pane="bottomLeft" activeCell="A176" sqref="A176"/>
    </sheetView>
  </sheetViews>
  <sheetFormatPr baseColWidth="10" defaultRowHeight="14.4" x14ac:dyDescent="0.3"/>
  <cols>
    <col min="1" max="1" width="54.5546875" customWidth="1"/>
    <col min="3" max="3" width="20" customWidth="1"/>
    <col min="4" max="4" width="11.109375" customWidth="1"/>
    <col min="5" max="6" width="8.33203125" customWidth="1"/>
    <col min="7" max="7" width="12.33203125" customWidth="1"/>
    <col min="8" max="8" width="15" customWidth="1"/>
    <col min="9" max="9" width="12.6640625" customWidth="1"/>
    <col min="10" max="10" width="9.33203125" customWidth="1"/>
    <col min="11" max="11" width="9.109375" customWidth="1"/>
    <col min="12" max="12" width="11.33203125" customWidth="1"/>
    <col min="13" max="13" width="11.109375" customWidth="1"/>
    <col min="14" max="14" width="8.33203125" customWidth="1"/>
    <col min="15" max="15" width="9.6640625" customWidth="1"/>
    <col min="16" max="16" width="18.5546875" customWidth="1"/>
    <col min="18" max="18" width="13" customWidth="1"/>
    <col min="19" max="19" width="15.6640625" customWidth="1"/>
    <col min="21" max="21" width="17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3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3">
      <c r="A3" s="5" t="s">
        <v>270</v>
      </c>
      <c r="B3" s="6">
        <v>193</v>
      </c>
      <c r="C3" s="7"/>
      <c r="D3" s="7">
        <v>100</v>
      </c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27.61</v>
      </c>
      <c r="M3" s="7"/>
      <c r="N3" s="7">
        <f>B3+C3-D3-E3-F3</f>
        <v>93</v>
      </c>
      <c r="O3" s="7">
        <f t="shared" si="1"/>
        <v>0</v>
      </c>
      <c r="P3" s="7" t="s">
        <v>304</v>
      </c>
      <c r="R3" s="4"/>
      <c r="T3" s="4"/>
      <c r="U3" s="4"/>
      <c r="V3" s="4"/>
      <c r="W3" s="4"/>
      <c r="X3" s="4"/>
      <c r="Y3" s="4"/>
    </row>
    <row r="4" spans="1:25" x14ac:dyDescent="0.3">
      <c r="A4" s="5" t="s">
        <v>229</v>
      </c>
      <c r="B4" s="6">
        <v>2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1500</v>
      </c>
      <c r="M4" s="7"/>
      <c r="N4" s="7">
        <f>B4+C4-D4-E4-F4</f>
        <v>2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3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3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3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300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3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3">
      <c r="A9" s="5" t="s">
        <v>167</v>
      </c>
      <c r="B9" s="6">
        <v>3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3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3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3">
      <c r="A11" s="5" t="s">
        <v>214</v>
      </c>
      <c r="B11" s="6">
        <v>1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1</v>
      </c>
      <c r="O11" s="7">
        <f t="shared" si="1"/>
        <v>0</v>
      </c>
      <c r="P11" s="7">
        <v>-1</v>
      </c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3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3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3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5" t="s">
        <v>215</v>
      </c>
      <c r="B16" s="6">
        <v>1</v>
      </c>
      <c r="C16" s="7"/>
      <c r="D16" s="7"/>
      <c r="E16" s="8"/>
      <c r="F16" s="8"/>
      <c r="G16" s="9">
        <v>5000</v>
      </c>
      <c r="H16" s="26">
        <f t="shared" si="0"/>
        <v>0</v>
      </c>
      <c r="I16" s="7"/>
      <c r="J16" s="7"/>
      <c r="K16" s="7"/>
      <c r="L16" s="7">
        <v>2600</v>
      </c>
      <c r="M16" s="7"/>
      <c r="N16" s="7">
        <f t="shared" si="2"/>
        <v>1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3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/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5" t="s">
        <v>232</v>
      </c>
      <c r="B25" s="6">
        <v>3</v>
      </c>
      <c r="C25" s="7">
        <v>3</v>
      </c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 t="s">
        <v>304</v>
      </c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5" t="s">
        <v>308</v>
      </c>
      <c r="B26" s="6">
        <v>2</v>
      </c>
      <c r="C26" s="7">
        <v>3</v>
      </c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 t="s">
        <v>304</v>
      </c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5" t="s">
        <v>305</v>
      </c>
      <c r="B27" s="6">
        <v>2</v>
      </c>
      <c r="C27" s="7">
        <v>3</v>
      </c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 t="s">
        <v>304</v>
      </c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5" t="s">
        <v>307</v>
      </c>
      <c r="B28" s="6">
        <v>1</v>
      </c>
      <c r="C28" s="7">
        <v>3</v>
      </c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4</v>
      </c>
      <c r="O28" s="7"/>
      <c r="P28" s="7" t="s">
        <v>304</v>
      </c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5" t="s">
        <v>302</v>
      </c>
      <c r="B29" s="6">
        <v>2</v>
      </c>
      <c r="C29" s="7">
        <v>2</v>
      </c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/>
      <c r="P29" s="7" t="s">
        <v>304</v>
      </c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5" t="s">
        <v>306</v>
      </c>
      <c r="B30" s="6"/>
      <c r="C30" s="7">
        <v>3</v>
      </c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/>
      <c r="P30" s="7" t="s">
        <v>304</v>
      </c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5" t="s">
        <v>263</v>
      </c>
      <c r="B31" s="6">
        <v>1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1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5" t="s">
        <v>294</v>
      </c>
      <c r="B33" s="6">
        <v>10</v>
      </c>
      <c r="C33" s="7"/>
      <c r="D33" s="7"/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10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3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3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3">
      <c r="A36" s="5" t="s">
        <v>287</v>
      </c>
      <c r="B36" s="6">
        <v>12</v>
      </c>
      <c r="C36" s="7"/>
      <c r="D36" s="7"/>
      <c r="E36" s="8"/>
      <c r="F36" s="8"/>
      <c r="G36" s="9"/>
      <c r="H36" s="26"/>
      <c r="I36" s="7"/>
      <c r="J36" s="7"/>
      <c r="K36" s="7"/>
      <c r="L36" s="7">
        <v>20</v>
      </c>
      <c r="M36" s="7"/>
      <c r="N36" s="7">
        <f t="shared" si="2"/>
        <v>12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3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3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3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3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3">
      <c r="A41" s="5" t="s">
        <v>235</v>
      </c>
      <c r="B41" s="6">
        <v>5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5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3">
      <c r="A42" s="5" t="s">
        <v>38</v>
      </c>
      <c r="B42" s="6">
        <v>7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7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3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3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3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3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3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3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3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820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3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3">
      <c r="A51" s="5" t="s">
        <v>208</v>
      </c>
      <c r="B51" s="6">
        <v>1</v>
      </c>
      <c r="C51" s="7"/>
      <c r="D51" s="7"/>
      <c r="E51" s="8"/>
      <c r="F51" s="8"/>
      <c r="G51" s="9">
        <v>7000</v>
      </c>
      <c r="H51" s="26">
        <f t="shared" si="0"/>
        <v>0</v>
      </c>
      <c r="I51" s="7"/>
      <c r="J51" s="7">
        <v>800</v>
      </c>
      <c r="K51" s="7"/>
      <c r="L51" s="7">
        <v>1300</v>
      </c>
      <c r="M51" s="7"/>
      <c r="N51" s="7">
        <f t="shared" si="2"/>
        <v>1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3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3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3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3">
      <c r="A55" s="5" t="s">
        <v>310</v>
      </c>
      <c r="B55" s="6">
        <v>0</v>
      </c>
      <c r="C55" s="7">
        <v>2</v>
      </c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 t="s">
        <v>304</v>
      </c>
      <c r="R55" s="4"/>
      <c r="S55" s="4"/>
      <c r="T55" s="4"/>
      <c r="U55" s="4"/>
    </row>
    <row r="56" spans="1:21" x14ac:dyDescent="0.3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3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3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247</v>
      </c>
      <c r="R58" s="4"/>
      <c r="S58" s="4"/>
      <c r="T58" s="4"/>
      <c r="U58" s="4"/>
    </row>
    <row r="59" spans="1:21" x14ac:dyDescent="0.3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3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3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3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3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3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3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3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3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3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3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3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3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3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3">
      <c r="A73" s="5" t="s">
        <v>211</v>
      </c>
      <c r="B73" s="6">
        <v>2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2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3">
      <c r="A74" s="5" t="s">
        <v>54</v>
      </c>
      <c r="B74" s="6">
        <v>3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3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3">
      <c r="A75" s="5" t="s">
        <v>55</v>
      </c>
      <c r="B75" s="6">
        <v>1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1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3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3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3">
      <c r="A78" s="5" t="s">
        <v>272</v>
      </c>
      <c r="B78" s="6">
        <v>3</v>
      </c>
      <c r="C78" s="10"/>
      <c r="D78" s="7"/>
      <c r="E78" s="8"/>
      <c r="F78" s="8"/>
      <c r="G78" s="9">
        <v>5000</v>
      </c>
      <c r="H78" s="26">
        <f t="shared" si="3"/>
        <v>0</v>
      </c>
      <c r="I78" s="7"/>
      <c r="J78" s="7"/>
      <c r="K78" s="7"/>
      <c r="L78" s="7">
        <v>550</v>
      </c>
      <c r="M78" s="7"/>
      <c r="N78" s="7">
        <f t="shared" si="2"/>
        <v>3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3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500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3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3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3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3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3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3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3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3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3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3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3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3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3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3">
      <c r="A93" s="5" t="s">
        <v>59</v>
      </c>
      <c r="B93" s="6">
        <v>1</v>
      </c>
      <c r="C93" s="10">
        <v>2</v>
      </c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 t="s">
        <v>304</v>
      </c>
      <c r="R93" s="4"/>
      <c r="S93" s="4"/>
      <c r="T93" s="4"/>
      <c r="U93" s="4"/>
      <c r="W93" s="4"/>
    </row>
    <row r="94" spans="1:23" x14ac:dyDescent="0.3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3">
      <c r="A95" s="5" t="s">
        <v>312</v>
      </c>
      <c r="B95" s="6">
        <v>0</v>
      </c>
      <c r="C95" s="10">
        <v>2</v>
      </c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170</v>
      </c>
      <c r="M95" s="7"/>
      <c r="N95" s="7">
        <f t="shared" si="4"/>
        <v>2</v>
      </c>
      <c r="O95" s="7">
        <f t="shared" si="1"/>
        <v>0</v>
      </c>
      <c r="P95" s="7" t="s">
        <v>304</v>
      </c>
      <c r="R95" s="4"/>
      <c r="S95" s="4"/>
      <c r="T95" s="4"/>
      <c r="U95" s="4"/>
      <c r="W95" s="4"/>
    </row>
    <row r="96" spans="1:23" x14ac:dyDescent="0.3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/>
      <c r="R96" s="4"/>
      <c r="S96" s="4"/>
      <c r="T96" s="4">
        <f>SUM(T39:T89)</f>
        <v>0</v>
      </c>
      <c r="U96" s="4"/>
      <c r="W96" s="4"/>
    </row>
    <row r="97" spans="1:21" x14ac:dyDescent="0.3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3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/>
      <c r="R98" s="4" t="s">
        <v>64</v>
      </c>
      <c r="S98" s="4"/>
      <c r="T98" s="4"/>
      <c r="U98" s="4"/>
    </row>
    <row r="99" spans="1:21" x14ac:dyDescent="0.3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3">
      <c r="A100" s="5" t="s">
        <v>212</v>
      </c>
      <c r="B100" s="6">
        <v>5</v>
      </c>
      <c r="C100" s="10">
        <v>7</v>
      </c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12</v>
      </c>
      <c r="O100" s="7">
        <f t="shared" si="1"/>
        <v>0</v>
      </c>
      <c r="P100" s="7" t="s">
        <v>304</v>
      </c>
      <c r="R100" s="4"/>
      <c r="S100" s="4"/>
      <c r="T100" s="4"/>
      <c r="U100" s="4"/>
    </row>
    <row r="101" spans="1:21" x14ac:dyDescent="0.3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3">
      <c r="A102" s="5" t="s">
        <v>191</v>
      </c>
      <c r="B102" s="6">
        <v>2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2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3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3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/>
    </row>
    <row r="105" spans="1:21" x14ac:dyDescent="0.3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/>
    </row>
    <row r="106" spans="1:21" x14ac:dyDescent="0.3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3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3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3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3">
      <c r="A110" s="5" t="s">
        <v>68</v>
      </c>
      <c r="B110" s="6">
        <v>4</v>
      </c>
      <c r="C110" s="10"/>
      <c r="D110" s="7"/>
      <c r="E110" s="8">
        <v>1</v>
      </c>
      <c r="F110" s="8"/>
      <c r="G110" s="9">
        <v>2000</v>
      </c>
      <c r="H110" s="26">
        <f t="shared" si="3"/>
        <v>2000</v>
      </c>
      <c r="I110" s="7"/>
      <c r="J110" s="7">
        <v>80</v>
      </c>
      <c r="K110" s="7"/>
      <c r="L110" s="7">
        <v>100</v>
      </c>
      <c r="M110" s="7"/>
      <c r="N110" s="7">
        <f t="shared" si="4"/>
        <v>3</v>
      </c>
      <c r="O110" s="7">
        <f t="shared" si="1"/>
        <v>100</v>
      </c>
      <c r="P110" s="7" t="s">
        <v>247</v>
      </c>
    </row>
    <row r="111" spans="1:21" x14ac:dyDescent="0.3">
      <c r="A111" s="5" t="s">
        <v>311</v>
      </c>
      <c r="B111" s="6">
        <v>0</v>
      </c>
      <c r="C111" s="10">
        <v>1</v>
      </c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1</v>
      </c>
      <c r="O111" s="7">
        <f t="shared" ref="O111:O183" si="5">E111*L111+F111*M111</f>
        <v>0</v>
      </c>
      <c r="P111" s="7" t="s">
        <v>304</v>
      </c>
    </row>
    <row r="112" spans="1:21" x14ac:dyDescent="0.3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3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3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3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3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3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3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3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3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3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3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3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3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3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3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3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3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x14ac:dyDescent="0.3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3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3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3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3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3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3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3">
      <c r="A136" s="5" t="s">
        <v>81</v>
      </c>
      <c r="B136" s="6">
        <v>5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5</v>
      </c>
      <c r="O136" s="7">
        <f t="shared" si="5"/>
        <v>0</v>
      </c>
      <c r="P136" s="7"/>
    </row>
    <row r="137" spans="1:16" x14ac:dyDescent="0.3">
      <c r="A137" s="5" t="s">
        <v>162</v>
      </c>
      <c r="B137" s="6">
        <v>8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8</v>
      </c>
      <c r="O137" s="7">
        <f t="shared" si="5"/>
        <v>0</v>
      </c>
      <c r="P137" s="7">
        <v>-1</v>
      </c>
    </row>
    <row r="138" spans="1:16" x14ac:dyDescent="0.3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3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3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3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3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3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3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3">
      <c r="A145" s="5" t="s">
        <v>273</v>
      </c>
      <c r="B145" s="6">
        <v>6</v>
      </c>
      <c r="C145" s="10"/>
      <c r="D145" s="7"/>
      <c r="E145" s="8">
        <v>2</v>
      </c>
      <c r="F145" s="8"/>
      <c r="G145" s="9">
        <v>1000</v>
      </c>
      <c r="H145" s="26">
        <f t="shared" si="6"/>
        <v>2000</v>
      </c>
      <c r="I145" s="7">
        <v>2200</v>
      </c>
      <c r="J145" s="7">
        <v>45</v>
      </c>
      <c r="K145" s="7"/>
      <c r="L145" s="7">
        <v>65</v>
      </c>
      <c r="M145" s="7"/>
      <c r="N145" s="7">
        <f t="shared" si="4"/>
        <v>4</v>
      </c>
      <c r="O145" s="7">
        <f t="shared" si="5"/>
        <v>130</v>
      </c>
      <c r="P145" s="7">
        <v>-1</v>
      </c>
    </row>
    <row r="146" spans="1:16" x14ac:dyDescent="0.3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3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3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3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3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3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3">
      <c r="A152" s="5" t="s">
        <v>285</v>
      </c>
      <c r="B152" s="6">
        <v>5</v>
      </c>
      <c r="C152" s="10"/>
      <c r="D152" s="7"/>
      <c r="E152" s="8">
        <v>1</v>
      </c>
      <c r="F152" s="8"/>
      <c r="G152" s="9">
        <v>1000</v>
      </c>
      <c r="H152" s="26">
        <f t="shared" si="6"/>
        <v>1000</v>
      </c>
      <c r="I152" s="7">
        <v>700</v>
      </c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60</v>
      </c>
      <c r="P152" s="7"/>
    </row>
    <row r="153" spans="1:16" x14ac:dyDescent="0.3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3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3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3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3">
      <c r="A157" s="5" t="s">
        <v>274</v>
      </c>
      <c r="B157" s="6">
        <v>3</v>
      </c>
      <c r="C157" s="10"/>
      <c r="D157" s="7"/>
      <c r="E157" s="8">
        <v>2</v>
      </c>
      <c r="F157" s="8"/>
      <c r="G157" s="9">
        <v>1000</v>
      </c>
      <c r="H157" s="26">
        <f t="shared" si="6"/>
        <v>2000</v>
      </c>
      <c r="I157" s="7">
        <v>2200</v>
      </c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120</v>
      </c>
      <c r="P157" s="7"/>
    </row>
    <row r="158" spans="1:16" x14ac:dyDescent="0.3">
      <c r="A158" s="5" t="s">
        <v>221</v>
      </c>
      <c r="B158" s="6">
        <v>4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4</v>
      </c>
      <c r="O158" s="7"/>
      <c r="P158" s="7">
        <v>-1</v>
      </c>
    </row>
    <row r="159" spans="1:16" x14ac:dyDescent="0.3">
      <c r="A159" s="5" t="s">
        <v>220</v>
      </c>
      <c r="B159" s="6">
        <v>4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4</v>
      </c>
      <c r="O159" s="7">
        <f t="shared" si="5"/>
        <v>0</v>
      </c>
      <c r="P159" s="7">
        <v>-1</v>
      </c>
    </row>
    <row r="160" spans="1:16" x14ac:dyDescent="0.3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3">
      <c r="A161" s="5" t="s">
        <v>193</v>
      </c>
      <c r="B161" s="6">
        <v>1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1</v>
      </c>
      <c r="O161" s="7">
        <f t="shared" si="5"/>
        <v>0</v>
      </c>
      <c r="P161" s="7"/>
    </row>
    <row r="162" spans="1:16" x14ac:dyDescent="0.3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3">
      <c r="A163" s="5" t="s">
        <v>90</v>
      </c>
      <c r="B163" s="6">
        <v>14</v>
      </c>
      <c r="C163" s="7"/>
      <c r="D163" s="7"/>
      <c r="E163" s="8"/>
      <c r="F163" s="8"/>
      <c r="G163" s="9">
        <v>2500</v>
      </c>
      <c r="H163" s="26">
        <f t="shared" si="6"/>
        <v>0</v>
      </c>
      <c r="I163" s="7"/>
      <c r="J163" s="7"/>
      <c r="K163" s="7"/>
      <c r="L163" s="7">
        <v>280</v>
      </c>
      <c r="M163" s="7"/>
      <c r="N163" s="7">
        <f t="shared" ref="N163:N228" si="7">B163+C163-D163-E163-F163</f>
        <v>14</v>
      </c>
      <c r="O163" s="7">
        <f t="shared" si="5"/>
        <v>0</v>
      </c>
      <c r="P163" s="7"/>
    </row>
    <row r="164" spans="1:16" x14ac:dyDescent="0.3">
      <c r="A164" s="5" t="s">
        <v>292</v>
      </c>
      <c r="B164" s="6">
        <v>23</v>
      </c>
      <c r="C164" s="7"/>
      <c r="D164" s="7"/>
      <c r="E164" s="8"/>
      <c r="F164" s="8"/>
      <c r="G164" s="9">
        <v>2500</v>
      </c>
      <c r="H164" s="26">
        <f t="shared" si="6"/>
        <v>0</v>
      </c>
      <c r="I164" s="7"/>
      <c r="J164" s="7"/>
      <c r="K164" s="7"/>
      <c r="L164" s="7">
        <v>280</v>
      </c>
      <c r="M164" s="7">
        <v>155</v>
      </c>
      <c r="N164" s="7">
        <f t="shared" si="7"/>
        <v>23</v>
      </c>
      <c r="O164" s="7">
        <f t="shared" si="5"/>
        <v>0</v>
      </c>
      <c r="P164" s="7"/>
    </row>
    <row r="165" spans="1:16" x14ac:dyDescent="0.3">
      <c r="A165" s="5" t="s">
        <v>297</v>
      </c>
      <c r="B165" s="6">
        <v>91</v>
      </c>
      <c r="C165" s="7"/>
      <c r="D165" s="7"/>
      <c r="E165" s="8"/>
      <c r="F165" s="8"/>
      <c r="G165" s="9">
        <v>2500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3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 t="s">
        <v>303</v>
      </c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3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3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3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3">
      <c r="A170" s="5" t="s">
        <v>234</v>
      </c>
      <c r="B170" s="6">
        <v>0</v>
      </c>
      <c r="C170" s="7">
        <v>4</v>
      </c>
      <c r="D170" s="7"/>
      <c r="E170" s="8">
        <v>1</v>
      </c>
      <c r="F170" s="8"/>
      <c r="G170" s="9">
        <v>4000</v>
      </c>
      <c r="H170" s="26"/>
      <c r="I170" s="7">
        <v>700</v>
      </c>
      <c r="J170" s="7">
        <v>385</v>
      </c>
      <c r="K170" s="7"/>
      <c r="L170" s="7">
        <v>400</v>
      </c>
      <c r="M170" s="7"/>
      <c r="N170" s="7">
        <f t="shared" si="7"/>
        <v>3</v>
      </c>
      <c r="O170" s="7">
        <f t="shared" si="5"/>
        <v>400</v>
      </c>
      <c r="P170" s="7" t="s">
        <v>304</v>
      </c>
    </row>
    <row r="171" spans="1:16" x14ac:dyDescent="0.3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3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3">
      <c r="A173" s="5" t="s">
        <v>93</v>
      </c>
      <c r="B173" s="6">
        <v>2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2</v>
      </c>
      <c r="O173" s="7">
        <f t="shared" si="5"/>
        <v>0</v>
      </c>
      <c r="P173" s="7"/>
    </row>
    <row r="174" spans="1:16" x14ac:dyDescent="0.3">
      <c r="A174" s="5" t="s">
        <v>314</v>
      </c>
      <c r="B174" s="6">
        <v>0</v>
      </c>
      <c r="C174" s="10">
        <v>1</v>
      </c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 t="s">
        <v>304</v>
      </c>
    </row>
    <row r="175" spans="1:16" x14ac:dyDescent="0.3">
      <c r="A175" s="5" t="s">
        <v>222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3">
      <c r="A176" s="5" t="s">
        <v>322</v>
      </c>
      <c r="B176" s="6">
        <v>0</v>
      </c>
      <c r="C176" s="10">
        <v>2</v>
      </c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 t="s">
        <v>304</v>
      </c>
    </row>
    <row r="177" spans="1:16" x14ac:dyDescent="0.3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3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3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3">
      <c r="A180" s="5" t="s">
        <v>163</v>
      </c>
      <c r="B180" s="6">
        <v>6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6</v>
      </c>
      <c r="O180" s="7">
        <f t="shared" si="5"/>
        <v>0</v>
      </c>
      <c r="P180" s="7"/>
    </row>
    <row r="181" spans="1:16" x14ac:dyDescent="0.3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3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3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3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3">
      <c r="A185" s="5" t="s">
        <v>98</v>
      </c>
      <c r="B185" s="6">
        <v>1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1</v>
      </c>
      <c r="O185" s="7">
        <f t="shared" si="8"/>
        <v>0</v>
      </c>
      <c r="P185" s="7"/>
    </row>
    <row r="186" spans="1:16" x14ac:dyDescent="0.3">
      <c r="A186" s="5" t="s">
        <v>189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260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3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3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3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3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3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3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3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3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3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3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3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3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3">
      <c r="A199" s="5" t="s">
        <v>262</v>
      </c>
      <c r="B199" s="6">
        <v>3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3</v>
      </c>
      <c r="O199" s="7">
        <f t="shared" si="8"/>
        <v>0</v>
      </c>
      <c r="P199" s="7"/>
    </row>
    <row r="200" spans="1:16" x14ac:dyDescent="0.3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3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3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3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3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3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3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3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3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3">
      <c r="A209" s="5" t="s">
        <v>264</v>
      </c>
      <c r="B209" s="6">
        <v>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2</v>
      </c>
      <c r="O209" s="7">
        <f t="shared" si="8"/>
        <v>0</v>
      </c>
      <c r="P209" s="7"/>
    </row>
    <row r="210" spans="1:16" x14ac:dyDescent="0.3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3">
      <c r="A211" s="5" t="s">
        <v>104</v>
      </c>
      <c r="B211" s="6">
        <v>2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70</v>
      </c>
      <c r="M211" s="7"/>
      <c r="N211" s="7">
        <f t="shared" si="7"/>
        <v>2</v>
      </c>
      <c r="O211" s="7">
        <f t="shared" si="8"/>
        <v>0</v>
      </c>
      <c r="P211" s="7"/>
    </row>
    <row r="212" spans="1:16" x14ac:dyDescent="0.3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3">
      <c r="A213" s="5" t="s">
        <v>313</v>
      </c>
      <c r="B213" s="6">
        <v>0</v>
      </c>
      <c r="C213" s="10">
        <v>10</v>
      </c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 t="s">
        <v>304</v>
      </c>
    </row>
    <row r="214" spans="1:16" x14ac:dyDescent="0.3">
      <c r="A214" s="5" t="s">
        <v>266</v>
      </c>
      <c r="B214" s="6">
        <v>0</v>
      </c>
      <c r="C214" s="10"/>
      <c r="D214" s="7"/>
      <c r="E214" s="8"/>
      <c r="F214" s="8"/>
      <c r="G214" s="9">
        <v>1000</v>
      </c>
      <c r="H214" s="26">
        <f t="shared" si="6"/>
        <v>0</v>
      </c>
      <c r="I214" s="7"/>
      <c r="J214" s="7"/>
      <c r="K214" s="7"/>
      <c r="L214" s="7">
        <v>75</v>
      </c>
      <c r="M214" s="7"/>
      <c r="N214" s="7">
        <f t="shared" si="7"/>
        <v>0</v>
      </c>
      <c r="O214" s="7">
        <f t="shared" si="8"/>
        <v>0</v>
      </c>
      <c r="P214" s="7"/>
    </row>
    <row r="215" spans="1:16" x14ac:dyDescent="0.3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3">
      <c r="A216" s="5" t="s">
        <v>265</v>
      </c>
      <c r="B216" s="6">
        <v>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5</v>
      </c>
      <c r="O216" s="7">
        <f t="shared" si="8"/>
        <v>0</v>
      </c>
      <c r="P216" s="7"/>
    </row>
    <row r="217" spans="1:16" x14ac:dyDescent="0.3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/>
    </row>
    <row r="218" spans="1:16" x14ac:dyDescent="0.3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3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3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3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3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3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3">
      <c r="A224" s="5" t="s">
        <v>206</v>
      </c>
      <c r="B224" s="6">
        <v>52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52</v>
      </c>
      <c r="O224" s="7"/>
      <c r="P224" s="7"/>
    </row>
    <row r="225" spans="1:16" x14ac:dyDescent="0.3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3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3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3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3">
      <c r="A229" s="12" t="s">
        <v>107</v>
      </c>
      <c r="B229" s="13">
        <v>1006</v>
      </c>
      <c r="C229" s="14"/>
      <c r="D229" s="14"/>
      <c r="E229" s="15"/>
      <c r="F229" s="15"/>
      <c r="G229" s="16"/>
      <c r="H229" s="27">
        <f>SUM(H2:H219)</f>
        <v>7000</v>
      </c>
      <c r="I229" s="17">
        <f>SUM(I2:I218)</f>
        <v>5800</v>
      </c>
      <c r="J229" s="17"/>
      <c r="K229" s="17">
        <f>SUM(K2:K218)</f>
        <v>0</v>
      </c>
      <c r="L229" s="17"/>
      <c r="M229" s="17"/>
      <c r="N229" s="17">
        <f>SUM(N2:N228)</f>
        <v>947</v>
      </c>
      <c r="O229" s="17">
        <f>SUM(O2:O228)</f>
        <v>810</v>
      </c>
      <c r="P229" s="17">
        <f>SUM(P2:P228)</f>
        <v>-10</v>
      </c>
    </row>
    <row r="230" spans="1:16" x14ac:dyDescent="0.3">
      <c r="A230" s="18" t="s">
        <v>108</v>
      </c>
      <c r="B230" s="18">
        <f>O229</f>
        <v>810</v>
      </c>
      <c r="C230" s="2" t="s">
        <v>109</v>
      </c>
      <c r="D230" s="2" t="s">
        <v>110</v>
      </c>
      <c r="N230" s="29"/>
    </row>
    <row r="231" spans="1:16" x14ac:dyDescent="0.3">
      <c r="A231" s="19" t="s">
        <v>111</v>
      </c>
      <c r="B231" s="20">
        <f>(C231+D231)/670</f>
        <v>66.925373134328353</v>
      </c>
      <c r="C231" s="8">
        <v>44840</v>
      </c>
      <c r="D231" s="8"/>
    </row>
    <row r="232" spans="1:16" x14ac:dyDescent="0.3">
      <c r="A232" s="19" t="s">
        <v>14</v>
      </c>
      <c r="B232" s="21">
        <v>150</v>
      </c>
      <c r="C232" s="8" t="s">
        <v>126</v>
      </c>
      <c r="D232" s="8"/>
    </row>
    <row r="233" spans="1:16" x14ac:dyDescent="0.3">
      <c r="A233" s="19" t="s">
        <v>112</v>
      </c>
      <c r="B233" s="20">
        <f>D233/670</f>
        <v>0</v>
      </c>
      <c r="C233" s="8"/>
      <c r="D233" s="8"/>
    </row>
    <row r="234" spans="1:16" x14ac:dyDescent="0.3">
      <c r="A234" s="19" t="s">
        <v>113</v>
      </c>
      <c r="B234" s="20"/>
      <c r="C234" s="8"/>
      <c r="D234" s="8"/>
    </row>
    <row r="235" spans="1:16" x14ac:dyDescent="0.3">
      <c r="A235" s="12" t="s">
        <v>114</v>
      </c>
      <c r="B235" s="22">
        <f>B230+B231+B233+B234+B232</f>
        <v>1026.9253731343283</v>
      </c>
      <c r="C235" s="8"/>
      <c r="D235" s="8"/>
    </row>
    <row r="236" spans="1:16" x14ac:dyDescent="0.3">
      <c r="A236" s="19" t="s">
        <v>6</v>
      </c>
      <c r="B236" s="20">
        <f>D236/670</f>
        <v>0</v>
      </c>
      <c r="C236" s="8"/>
      <c r="D236" s="8"/>
    </row>
    <row r="237" spans="1:16" x14ac:dyDescent="0.3">
      <c r="A237" s="19" t="s">
        <v>115</v>
      </c>
      <c r="B237" s="20">
        <f>C237/670</f>
        <v>8.656716417910447</v>
      </c>
      <c r="C237" s="8">
        <v>5800</v>
      </c>
      <c r="D237" s="8"/>
    </row>
    <row r="238" spans="1:16" x14ac:dyDescent="0.3">
      <c r="A238" s="19" t="s">
        <v>64</v>
      </c>
      <c r="B238" s="20">
        <f>C238/670</f>
        <v>21.492537313432837</v>
      </c>
      <c r="C238" s="8">
        <v>14400</v>
      </c>
      <c r="D238" s="8"/>
    </row>
    <row r="239" spans="1:16" x14ac:dyDescent="0.3">
      <c r="A239" s="19" t="s">
        <v>116</v>
      </c>
      <c r="B239" s="20"/>
      <c r="C239" s="8"/>
      <c r="D239" s="8"/>
    </row>
    <row r="240" spans="1:16" x14ac:dyDescent="0.3">
      <c r="A240" s="12" t="s">
        <v>117</v>
      </c>
      <c r="B240" s="20">
        <f>B236+B237+B238+B239</f>
        <v>30.149253731343286</v>
      </c>
      <c r="C240" s="8"/>
      <c r="D240" s="8"/>
    </row>
    <row r="241" spans="1:6" x14ac:dyDescent="0.3">
      <c r="A241" s="12" t="s">
        <v>118</v>
      </c>
      <c r="B241" s="22">
        <f>B235-B240</f>
        <v>996.77611940298505</v>
      </c>
      <c r="C241" s="8"/>
      <c r="D241" s="8"/>
    </row>
    <row r="242" spans="1:6" x14ac:dyDescent="0.3">
      <c r="A242" s="19" t="s">
        <v>119</v>
      </c>
      <c r="B242" s="20">
        <f>C242/670</f>
        <v>0</v>
      </c>
      <c r="C242" s="8"/>
      <c r="D242" s="8"/>
    </row>
    <row r="243" spans="1:6" x14ac:dyDescent="0.3">
      <c r="A243" s="19" t="s">
        <v>120</v>
      </c>
      <c r="B243" s="20"/>
      <c r="C243" s="8"/>
      <c r="D243" s="8"/>
    </row>
    <row r="244" spans="1:6" x14ac:dyDescent="0.3">
      <c r="A244" s="19" t="s">
        <v>121</v>
      </c>
      <c r="B244" s="20">
        <f>C244/2</f>
        <v>0</v>
      </c>
      <c r="C244" s="8"/>
      <c r="D244" s="8"/>
    </row>
    <row r="245" spans="1:6" x14ac:dyDescent="0.3">
      <c r="A245" s="12" t="s">
        <v>122</v>
      </c>
      <c r="B245" s="22">
        <f>B242+B243+B244</f>
        <v>0</v>
      </c>
      <c r="C245" s="8"/>
      <c r="D245" s="8"/>
    </row>
    <row r="246" spans="1:6" x14ac:dyDescent="0.3">
      <c r="A246" s="19" t="s">
        <v>123</v>
      </c>
      <c r="B246" s="20">
        <v>795</v>
      </c>
      <c r="C246" s="8"/>
      <c r="D246" s="8"/>
    </row>
    <row r="247" spans="1:6" x14ac:dyDescent="0.3">
      <c r="A247" s="19" t="s">
        <v>36</v>
      </c>
      <c r="B247" s="20">
        <v>100</v>
      </c>
      <c r="C247" s="8"/>
      <c r="D247" s="8"/>
    </row>
    <row r="248" spans="1:6" x14ac:dyDescent="0.3">
      <c r="A248" s="19" t="s">
        <v>124</v>
      </c>
      <c r="B248" s="20">
        <f>C248/2.3</f>
        <v>0</v>
      </c>
      <c r="C248" s="8"/>
      <c r="D248" s="8"/>
    </row>
    <row r="249" spans="1:6" x14ac:dyDescent="0.3">
      <c r="A249" s="19" t="s">
        <v>125</v>
      </c>
      <c r="B249" s="20">
        <f>C249/670</f>
        <v>101.77611940298507</v>
      </c>
      <c r="C249" s="8">
        <v>68190</v>
      </c>
      <c r="D249" s="8"/>
      <c r="F249" t="s">
        <v>126</v>
      </c>
    </row>
    <row r="250" spans="1:6" x14ac:dyDescent="0.3">
      <c r="A250" s="19" t="s">
        <v>127</v>
      </c>
      <c r="B250" s="20">
        <f>D250/670</f>
        <v>0</v>
      </c>
      <c r="C250" s="8"/>
      <c r="D250" s="8"/>
    </row>
    <row r="251" spans="1:6" x14ac:dyDescent="0.3">
      <c r="A251" s="12" t="s">
        <v>128</v>
      </c>
      <c r="B251" s="22">
        <f>B246+B247+B248+B249+B250</f>
        <v>996.77611940298505</v>
      </c>
      <c r="C251" s="8"/>
      <c r="D251" s="8"/>
    </row>
    <row r="252" spans="1:6" x14ac:dyDescent="0.3">
      <c r="A252" s="19" t="s">
        <v>129</v>
      </c>
      <c r="B252" s="20">
        <f>C252/670</f>
        <v>0</v>
      </c>
      <c r="C252" s="8"/>
      <c r="D252" s="8"/>
    </row>
    <row r="253" spans="1:6" x14ac:dyDescent="0.3">
      <c r="A253" s="12" t="s">
        <v>107</v>
      </c>
      <c r="B253" s="22">
        <f>B252</f>
        <v>0</v>
      </c>
      <c r="C253" s="8"/>
      <c r="D253" s="8"/>
    </row>
    <row r="254" spans="1:6" x14ac:dyDescent="0.3">
      <c r="A254" s="12" t="s">
        <v>130</v>
      </c>
      <c r="B254" s="20">
        <f>B241-B245-B251-B253</f>
        <v>0</v>
      </c>
      <c r="C254" s="8" t="s">
        <v>126</v>
      </c>
      <c r="D254" s="8"/>
    </row>
    <row r="256" spans="1:6" x14ac:dyDescent="0.3">
      <c r="A256" s="12" t="s">
        <v>131</v>
      </c>
      <c r="B256" s="23" t="s">
        <v>10</v>
      </c>
    </row>
    <row r="257" spans="1:2" x14ac:dyDescent="0.3">
      <c r="A257" s="12" t="s">
        <v>132</v>
      </c>
      <c r="B257" s="7"/>
    </row>
    <row r="258" spans="1:2" x14ac:dyDescent="0.3">
      <c r="A258" s="19" t="s">
        <v>133</v>
      </c>
      <c r="B258" s="7"/>
    </row>
    <row r="259" spans="1:2" x14ac:dyDescent="0.3">
      <c r="A259" s="12" t="s">
        <v>134</v>
      </c>
      <c r="B259" s="17">
        <f>B257-B258</f>
        <v>0</v>
      </c>
    </row>
    <row r="260" spans="1:2" x14ac:dyDescent="0.3">
      <c r="A260" s="12" t="s">
        <v>135</v>
      </c>
      <c r="B260" s="17">
        <f>B261+B262+B263+B264+B265+B266+B267+B268</f>
        <v>0</v>
      </c>
    </row>
    <row r="261" spans="1:2" x14ac:dyDescent="0.3">
      <c r="A261" s="19" t="s">
        <v>136</v>
      </c>
      <c r="B261" s="7"/>
    </row>
    <row r="262" spans="1:2" x14ac:dyDescent="0.3">
      <c r="A262" s="19" t="s">
        <v>137</v>
      </c>
      <c r="B262" s="7"/>
    </row>
    <row r="263" spans="1:2" x14ac:dyDescent="0.3">
      <c r="A263" s="19" t="s">
        <v>138</v>
      </c>
      <c r="B263" s="7"/>
    </row>
    <row r="264" spans="1:2" x14ac:dyDescent="0.3">
      <c r="A264" s="19" t="s">
        <v>139</v>
      </c>
      <c r="B264" s="7"/>
    </row>
    <row r="265" spans="1:2" x14ac:dyDescent="0.3">
      <c r="A265" s="19" t="s">
        <v>140</v>
      </c>
      <c r="B265" s="7"/>
    </row>
    <row r="266" spans="1:2" x14ac:dyDescent="0.3">
      <c r="A266" s="19" t="s">
        <v>141</v>
      </c>
      <c r="B266" s="7"/>
    </row>
    <row r="267" spans="1:2" x14ac:dyDescent="0.3">
      <c r="A267" s="19" t="s">
        <v>142</v>
      </c>
      <c r="B267" s="7"/>
    </row>
    <row r="268" spans="1:2" x14ac:dyDescent="0.3">
      <c r="A268" s="19" t="s">
        <v>143</v>
      </c>
      <c r="B268" s="7"/>
    </row>
    <row r="269" spans="1:2" x14ac:dyDescent="0.3">
      <c r="A269" s="12" t="s">
        <v>144</v>
      </c>
      <c r="B269" s="17">
        <f>B270+B271+B272</f>
        <v>0</v>
      </c>
    </row>
    <row r="270" spans="1:2" x14ac:dyDescent="0.3">
      <c r="A270" s="19" t="s">
        <v>145</v>
      </c>
      <c r="B270" s="7"/>
    </row>
    <row r="271" spans="1:2" x14ac:dyDescent="0.3">
      <c r="A271" s="19" t="s">
        <v>146</v>
      </c>
      <c r="B271" s="7"/>
    </row>
    <row r="272" spans="1:2" x14ac:dyDescent="0.3">
      <c r="A272" s="19" t="s">
        <v>147</v>
      </c>
      <c r="B272" s="7"/>
    </row>
    <row r="273" spans="1:5" x14ac:dyDescent="0.3">
      <c r="A273" s="12" t="s">
        <v>148</v>
      </c>
      <c r="B273" s="17">
        <f>B259-B260-B269</f>
        <v>0</v>
      </c>
    </row>
    <row r="279" spans="1:5" x14ac:dyDescent="0.3">
      <c r="A279" s="24"/>
    </row>
    <row r="280" spans="1:5" x14ac:dyDescent="0.3">
      <c r="A280" s="24"/>
    </row>
    <row r="281" spans="1:5" x14ac:dyDescent="0.3">
      <c r="A281" s="24"/>
    </row>
    <row r="282" spans="1:5" x14ac:dyDescent="0.3">
      <c r="A282" s="24"/>
    </row>
    <row r="283" spans="1:5" x14ac:dyDescent="0.3">
      <c r="A283" s="24"/>
    </row>
    <row r="284" spans="1:5" x14ac:dyDescent="0.3">
      <c r="A284" s="24"/>
    </row>
    <row r="285" spans="1:5" x14ac:dyDescent="0.3">
      <c r="A285" s="24"/>
    </row>
    <row r="286" spans="1:5" x14ac:dyDescent="0.3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33B3E-17C4-4253-AC93-E1BB1D2FE400}">
  <dimension ref="A1:Y286"/>
  <sheetViews>
    <sheetView tabSelected="1" zoomScale="80" zoomScaleNormal="80" workbookViewId="0">
      <pane ySplit="1" topLeftCell="A226" activePane="bottomLeft" state="frozen"/>
      <selection pane="bottomLeft" activeCell="G254" sqref="G254"/>
    </sheetView>
  </sheetViews>
  <sheetFormatPr baseColWidth="10" defaultRowHeight="14.4" x14ac:dyDescent="0.3"/>
  <cols>
    <col min="1" max="1" width="54.5546875" customWidth="1"/>
    <col min="3" max="3" width="20" customWidth="1"/>
    <col min="4" max="4" width="11.109375" customWidth="1"/>
    <col min="5" max="6" width="8.33203125" customWidth="1"/>
    <col min="7" max="7" width="12.33203125" customWidth="1"/>
    <col min="8" max="8" width="15" customWidth="1"/>
    <col min="9" max="9" width="12.6640625" customWidth="1"/>
    <col min="10" max="10" width="9.33203125" customWidth="1"/>
    <col min="11" max="11" width="9.109375" customWidth="1"/>
    <col min="12" max="12" width="11.33203125" customWidth="1"/>
    <col min="13" max="13" width="11.109375" customWidth="1"/>
    <col min="14" max="14" width="8.33203125" customWidth="1"/>
    <col min="15" max="15" width="9.6640625" customWidth="1"/>
    <col min="16" max="16" width="18.5546875" customWidth="1"/>
    <col min="18" max="18" width="13" customWidth="1"/>
    <col min="19" max="19" width="15.6640625" customWidth="1"/>
    <col min="21" max="21" width="17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3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3">
      <c r="A3" s="5" t="s">
        <v>270</v>
      </c>
      <c r="B3" s="6">
        <v>93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27.61</v>
      </c>
      <c r="M3" s="7"/>
      <c r="N3" s="7">
        <f>B3+C3-D3-E3-F3</f>
        <v>93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3">
      <c r="A4" s="5" t="s">
        <v>229</v>
      </c>
      <c r="B4" s="6">
        <v>2</v>
      </c>
      <c r="C4" s="7"/>
      <c r="D4" s="7"/>
      <c r="E4" s="8">
        <v>2</v>
      </c>
      <c r="F4" s="8"/>
      <c r="G4" s="9">
        <v>5000</v>
      </c>
      <c r="H4" s="26">
        <v>5000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3200</v>
      </c>
      <c r="P4" s="7"/>
      <c r="R4" s="4"/>
      <c r="T4" s="4"/>
      <c r="U4" s="4"/>
      <c r="V4" s="4"/>
      <c r="W4" s="4"/>
      <c r="X4" s="4"/>
      <c r="Y4" s="4"/>
    </row>
    <row r="5" spans="1:25" x14ac:dyDescent="0.3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3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3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500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3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3">
      <c r="A9" s="5" t="s">
        <v>167</v>
      </c>
      <c r="B9" s="6">
        <v>3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3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3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3">
      <c r="A11" s="5" t="s">
        <v>214</v>
      </c>
      <c r="B11" s="6">
        <v>1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1</v>
      </c>
      <c r="O11" s="7">
        <f t="shared" si="1"/>
        <v>0</v>
      </c>
      <c r="P11" s="7">
        <v>-1</v>
      </c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3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3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3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5" t="s">
        <v>215</v>
      </c>
      <c r="B16" s="6">
        <v>1</v>
      </c>
      <c r="C16" s="7"/>
      <c r="D16" s="7"/>
      <c r="E16" s="8">
        <v>1</v>
      </c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2550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3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/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5" t="s">
        <v>307</v>
      </c>
      <c r="B28" s="6">
        <v>4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4</v>
      </c>
      <c r="O28" s="7"/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/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/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5" t="s">
        <v>263</v>
      </c>
      <c r="B31" s="6">
        <v>1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1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5" t="s">
        <v>294</v>
      </c>
      <c r="B33" s="6">
        <v>10</v>
      </c>
      <c r="C33" s="7"/>
      <c r="D33" s="7"/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10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3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3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3">
      <c r="A36" s="5" t="s">
        <v>287</v>
      </c>
      <c r="B36" s="6">
        <v>12</v>
      </c>
      <c r="C36" s="7"/>
      <c r="D36" s="7"/>
      <c r="E36" s="8"/>
      <c r="F36" s="8"/>
      <c r="G36" s="9"/>
      <c r="H36" s="26"/>
      <c r="I36" s="7"/>
      <c r="J36" s="7"/>
      <c r="K36" s="7"/>
      <c r="L36" s="7">
        <v>20</v>
      </c>
      <c r="M36" s="7"/>
      <c r="N36" s="7">
        <f t="shared" si="2"/>
        <v>12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3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3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3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3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3">
      <c r="A41" s="5" t="s">
        <v>235</v>
      </c>
      <c r="B41" s="6">
        <v>5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5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3">
      <c r="A42" s="5" t="s">
        <v>38</v>
      </c>
      <c r="B42" s="6">
        <v>7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7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3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3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3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3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3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3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3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3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3">
      <c r="A51" s="5" t="s">
        <v>208</v>
      </c>
      <c r="B51" s="6">
        <v>1</v>
      </c>
      <c r="C51" s="7"/>
      <c r="D51" s="7"/>
      <c r="E51" s="8"/>
      <c r="F51" s="8"/>
      <c r="G51" s="9">
        <v>7000</v>
      </c>
      <c r="H51" s="26">
        <f t="shared" si="0"/>
        <v>0</v>
      </c>
      <c r="I51" s="7"/>
      <c r="J51" s="7">
        <v>800</v>
      </c>
      <c r="K51" s="7"/>
      <c r="L51" s="7">
        <v>1300</v>
      </c>
      <c r="M51" s="7"/>
      <c r="N51" s="7">
        <f t="shared" si="2"/>
        <v>1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3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3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3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3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3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3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3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247</v>
      </c>
      <c r="R58" s="4"/>
      <c r="S58" s="4"/>
      <c r="T58" s="4"/>
      <c r="U58" s="4"/>
    </row>
    <row r="59" spans="1:21" x14ac:dyDescent="0.3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3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3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3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3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3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3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3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3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3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3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3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3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3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3">
      <c r="A73" s="5" t="s">
        <v>211</v>
      </c>
      <c r="B73" s="6">
        <v>2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2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3">
      <c r="A74" s="5" t="s">
        <v>54</v>
      </c>
      <c r="B74" s="6">
        <v>3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3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3">
      <c r="A75" s="5" t="s">
        <v>55</v>
      </c>
      <c r="B75" s="6">
        <v>1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1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3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3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3">
      <c r="A78" s="5" t="s">
        <v>315</v>
      </c>
      <c r="B78" s="6">
        <v>3</v>
      </c>
      <c r="C78" s="10"/>
      <c r="D78" s="7"/>
      <c r="E78" s="8">
        <v>2</v>
      </c>
      <c r="F78" s="8"/>
      <c r="G78" s="9">
        <v>5000</v>
      </c>
      <c r="H78" s="26"/>
      <c r="I78" s="7">
        <v>700</v>
      </c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1600</v>
      </c>
      <c r="P78" s="7"/>
      <c r="R78" s="4"/>
      <c r="S78" s="4"/>
      <c r="T78" s="4"/>
      <c r="U78" s="4"/>
      <c r="W78" s="4"/>
    </row>
    <row r="79" spans="1:23" x14ac:dyDescent="0.3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3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3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3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3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3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3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3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3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3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3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3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3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3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3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3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3">
      <c r="A95" s="5" t="s">
        <v>312</v>
      </c>
      <c r="B95" s="6">
        <v>2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170</v>
      </c>
      <c r="M95" s="7"/>
      <c r="N95" s="7">
        <f t="shared" si="4"/>
        <v>2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3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/>
      <c r="R96" s="4"/>
      <c r="S96" s="4"/>
      <c r="T96" s="4">
        <f>SUM(T39:T89)</f>
        <v>0</v>
      </c>
      <c r="U96" s="4"/>
      <c r="W96" s="4"/>
    </row>
    <row r="97" spans="1:21" x14ac:dyDescent="0.3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3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/>
      <c r="R98" s="4" t="s">
        <v>64</v>
      </c>
      <c r="S98" s="4"/>
      <c r="T98" s="4"/>
      <c r="U98" s="4"/>
    </row>
    <row r="99" spans="1:21" x14ac:dyDescent="0.3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3">
      <c r="A100" s="5" t="s">
        <v>212</v>
      </c>
      <c r="B100" s="6">
        <v>12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12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3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3">
      <c r="A102" s="5" t="s">
        <v>191</v>
      </c>
      <c r="B102" s="6">
        <v>2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2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3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3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/>
    </row>
    <row r="105" spans="1:21" x14ac:dyDescent="0.3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/>
    </row>
    <row r="106" spans="1:21" x14ac:dyDescent="0.3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3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3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3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3">
      <c r="A110" s="5" t="s">
        <v>68</v>
      </c>
      <c r="B110" s="6">
        <v>3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3</v>
      </c>
      <c r="O110" s="7">
        <f t="shared" si="1"/>
        <v>0</v>
      </c>
      <c r="P110" s="7" t="s">
        <v>247</v>
      </c>
    </row>
    <row r="111" spans="1:21" x14ac:dyDescent="0.3">
      <c r="A111" s="5" t="s">
        <v>311</v>
      </c>
      <c r="B111" s="6">
        <v>1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1</v>
      </c>
      <c r="O111" s="7">
        <f t="shared" ref="O111:O183" si="5">E111*L111+F111*M111</f>
        <v>0</v>
      </c>
      <c r="P111" s="7"/>
    </row>
    <row r="112" spans="1:21" x14ac:dyDescent="0.3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3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3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3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3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3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3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3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3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3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3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3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3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3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3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3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3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x14ac:dyDescent="0.3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3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3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3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3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3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3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3">
      <c r="A136" s="5" t="s">
        <v>81</v>
      </c>
      <c r="B136" s="6">
        <v>5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5</v>
      </c>
      <c r="O136" s="7">
        <f t="shared" si="5"/>
        <v>0</v>
      </c>
      <c r="P136" s="7"/>
    </row>
    <row r="137" spans="1:16" x14ac:dyDescent="0.3">
      <c r="A137" s="5" t="s">
        <v>162</v>
      </c>
      <c r="B137" s="6">
        <v>8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8</v>
      </c>
      <c r="O137" s="7">
        <f t="shared" si="5"/>
        <v>0</v>
      </c>
      <c r="P137" s="7">
        <v>-1</v>
      </c>
    </row>
    <row r="138" spans="1:16" x14ac:dyDescent="0.3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3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3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3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3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3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3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3">
      <c r="A145" s="5" t="s">
        <v>273</v>
      </c>
      <c r="B145" s="6">
        <v>4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4</v>
      </c>
      <c r="O145" s="7">
        <f t="shared" si="5"/>
        <v>0</v>
      </c>
      <c r="P145" s="7">
        <v>-1</v>
      </c>
    </row>
    <row r="146" spans="1:16" x14ac:dyDescent="0.3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3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3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3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3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3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3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3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3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3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3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3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3">
      <c r="A158" s="5" t="s">
        <v>221</v>
      </c>
      <c r="B158" s="6">
        <v>4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4</v>
      </c>
      <c r="O158" s="7"/>
      <c r="P158" s="7">
        <v>-1</v>
      </c>
    </row>
    <row r="159" spans="1:16" x14ac:dyDescent="0.3">
      <c r="A159" s="5" t="s">
        <v>220</v>
      </c>
      <c r="B159" s="6">
        <v>4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4</v>
      </c>
      <c r="O159" s="7">
        <f t="shared" si="5"/>
        <v>0</v>
      </c>
      <c r="P159" s="7">
        <v>-1</v>
      </c>
    </row>
    <row r="160" spans="1:16" x14ac:dyDescent="0.3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3">
      <c r="A161" s="5" t="s">
        <v>193</v>
      </c>
      <c r="B161" s="6">
        <v>1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1</v>
      </c>
      <c r="O161" s="7">
        <f t="shared" si="5"/>
        <v>0</v>
      </c>
      <c r="P161" s="7"/>
    </row>
    <row r="162" spans="1:16" x14ac:dyDescent="0.3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3">
      <c r="A163" s="5" t="s">
        <v>90</v>
      </c>
      <c r="B163" s="6">
        <v>14</v>
      </c>
      <c r="C163" s="7"/>
      <c r="D163" s="7"/>
      <c r="E163" s="8"/>
      <c r="F163" s="8"/>
      <c r="G163" s="9">
        <v>2500</v>
      </c>
      <c r="H163" s="26">
        <f t="shared" si="6"/>
        <v>0</v>
      </c>
      <c r="I163" s="7"/>
      <c r="J163" s="7"/>
      <c r="K163" s="7"/>
      <c r="L163" s="7">
        <v>280</v>
      </c>
      <c r="M163" s="7"/>
      <c r="N163" s="7">
        <f t="shared" ref="N163:N228" si="7">B163+C163-D163-E163-F163</f>
        <v>14</v>
      </c>
      <c r="O163" s="7">
        <f t="shared" si="5"/>
        <v>0</v>
      </c>
      <c r="P163" s="7"/>
    </row>
    <row r="164" spans="1:16" x14ac:dyDescent="0.3">
      <c r="A164" s="5" t="s">
        <v>292</v>
      </c>
      <c r="B164" s="6">
        <v>23</v>
      </c>
      <c r="C164" s="7"/>
      <c r="D164" s="7"/>
      <c r="E164" s="8"/>
      <c r="F164" s="8"/>
      <c r="G164" s="9">
        <v>2500</v>
      </c>
      <c r="H164" s="26">
        <f t="shared" si="6"/>
        <v>0</v>
      </c>
      <c r="I164" s="7"/>
      <c r="J164" s="7"/>
      <c r="K164" s="7"/>
      <c r="L164" s="7">
        <v>280</v>
      </c>
      <c r="M164" s="7">
        <v>155</v>
      </c>
      <c r="N164" s="7">
        <f t="shared" si="7"/>
        <v>23</v>
      </c>
      <c r="O164" s="7">
        <f t="shared" si="5"/>
        <v>0</v>
      </c>
      <c r="P164" s="7"/>
    </row>
    <row r="165" spans="1:16" x14ac:dyDescent="0.3">
      <c r="A165" s="5" t="s">
        <v>297</v>
      </c>
      <c r="B165" s="6">
        <v>91</v>
      </c>
      <c r="C165" s="7"/>
      <c r="D165" s="7"/>
      <c r="E165" s="8"/>
      <c r="F165" s="8"/>
      <c r="G165" s="9">
        <v>2500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3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3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3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3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3">
      <c r="A170" s="5" t="s">
        <v>234</v>
      </c>
      <c r="B170" s="6">
        <v>3</v>
      </c>
      <c r="C170" s="7"/>
      <c r="D170" s="7"/>
      <c r="E170" s="8"/>
      <c r="F170" s="8"/>
      <c r="G170" s="9">
        <v>4000</v>
      </c>
      <c r="H170" s="26"/>
      <c r="I170" s="7"/>
      <c r="J170" s="7">
        <v>385</v>
      </c>
      <c r="K170" s="7"/>
      <c r="L170" s="7">
        <v>400</v>
      </c>
      <c r="M170" s="7"/>
      <c r="N170" s="7">
        <f t="shared" si="7"/>
        <v>3</v>
      </c>
      <c r="O170" s="7">
        <f t="shared" si="5"/>
        <v>0</v>
      </c>
      <c r="P170" s="7"/>
    </row>
    <row r="171" spans="1:16" x14ac:dyDescent="0.3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3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3">
      <c r="A173" s="5" t="s">
        <v>93</v>
      </c>
      <c r="B173" s="6">
        <v>2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2</v>
      </c>
      <c r="O173" s="7">
        <f t="shared" si="5"/>
        <v>0</v>
      </c>
      <c r="P173" s="7"/>
    </row>
    <row r="174" spans="1:16" x14ac:dyDescent="0.3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3">
      <c r="A175" s="5" t="s">
        <v>222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3">
      <c r="A176" s="5" t="s">
        <v>309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3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3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3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3">
      <c r="A180" s="5" t="s">
        <v>163</v>
      </c>
      <c r="B180" s="6">
        <v>6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6</v>
      </c>
      <c r="O180" s="7">
        <f t="shared" si="5"/>
        <v>0</v>
      </c>
      <c r="P180" s="7"/>
    </row>
    <row r="181" spans="1:16" x14ac:dyDescent="0.3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3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3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3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3">
      <c r="A185" s="5" t="s">
        <v>98</v>
      </c>
      <c r="B185" s="6">
        <v>1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1</v>
      </c>
      <c r="O185" s="7">
        <f t="shared" si="8"/>
        <v>0</v>
      </c>
      <c r="P185" s="7"/>
    </row>
    <row r="186" spans="1:16" x14ac:dyDescent="0.3">
      <c r="A186" s="5" t="s">
        <v>189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260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3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3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3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3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3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3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3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3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3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3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3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3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3">
      <c r="A199" s="5" t="s">
        <v>262</v>
      </c>
      <c r="B199" s="6">
        <v>3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3</v>
      </c>
      <c r="O199" s="7">
        <f t="shared" si="8"/>
        <v>0</v>
      </c>
      <c r="P199" s="7"/>
    </row>
    <row r="200" spans="1:16" x14ac:dyDescent="0.3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3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3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3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3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3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3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3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3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3">
      <c r="A209" s="5" t="s">
        <v>264</v>
      </c>
      <c r="B209" s="6">
        <v>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2</v>
      </c>
      <c r="O209" s="7">
        <f t="shared" si="8"/>
        <v>0</v>
      </c>
      <c r="P209" s="7"/>
    </row>
    <row r="210" spans="1:16" x14ac:dyDescent="0.3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3">
      <c r="A211" s="5" t="s">
        <v>104</v>
      </c>
      <c r="B211" s="6">
        <v>2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70</v>
      </c>
      <c r="M211" s="7"/>
      <c r="N211" s="7">
        <f t="shared" si="7"/>
        <v>2</v>
      </c>
      <c r="O211" s="7">
        <f t="shared" si="8"/>
        <v>0</v>
      </c>
      <c r="P211" s="7"/>
    </row>
    <row r="212" spans="1:16" x14ac:dyDescent="0.3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3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3">
      <c r="A214" s="5" t="s">
        <v>266</v>
      </c>
      <c r="B214" s="6">
        <v>0</v>
      </c>
      <c r="C214" s="10"/>
      <c r="D214" s="7"/>
      <c r="E214" s="8"/>
      <c r="F214" s="8"/>
      <c r="G214" s="9">
        <v>1000</v>
      </c>
      <c r="H214" s="26">
        <f t="shared" si="6"/>
        <v>0</v>
      </c>
      <c r="I214" s="7"/>
      <c r="J214" s="7"/>
      <c r="K214" s="7"/>
      <c r="L214" s="7">
        <v>75</v>
      </c>
      <c r="M214" s="7"/>
      <c r="N214" s="7">
        <f t="shared" si="7"/>
        <v>0</v>
      </c>
      <c r="O214" s="7">
        <f t="shared" si="8"/>
        <v>0</v>
      </c>
      <c r="P214" s="7"/>
    </row>
    <row r="215" spans="1:16" x14ac:dyDescent="0.3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3">
      <c r="A216" s="5" t="s">
        <v>265</v>
      </c>
      <c r="B216" s="6">
        <v>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5</v>
      </c>
      <c r="O216" s="7">
        <f t="shared" si="8"/>
        <v>0</v>
      </c>
      <c r="P216" s="7"/>
    </row>
    <row r="217" spans="1:16" x14ac:dyDescent="0.3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/>
    </row>
    <row r="218" spans="1:16" x14ac:dyDescent="0.3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3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3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3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3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3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3">
      <c r="A224" s="5" t="s">
        <v>206</v>
      </c>
      <c r="B224" s="6">
        <v>52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52</v>
      </c>
      <c r="O224" s="7"/>
      <c r="P224" s="7"/>
    </row>
    <row r="225" spans="1:16" x14ac:dyDescent="0.3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3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3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3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3">
      <c r="A229" s="12" t="s">
        <v>107</v>
      </c>
      <c r="B229" s="13">
        <v>947</v>
      </c>
      <c r="C229" s="14"/>
      <c r="D229" s="14"/>
      <c r="E229" s="15"/>
      <c r="F229" s="15"/>
      <c r="G229" s="16"/>
      <c r="H229" s="27">
        <f>SUM(H2:H219)</f>
        <v>5000</v>
      </c>
      <c r="I229" s="17">
        <f>SUM(I2:I218)</f>
        <v>700</v>
      </c>
      <c r="J229" s="17"/>
      <c r="K229" s="17">
        <f>SUM(K2:K218)</f>
        <v>0</v>
      </c>
      <c r="L229" s="17"/>
      <c r="M229" s="17"/>
      <c r="N229" s="17">
        <f>SUM(N2:N228)</f>
        <v>942</v>
      </c>
      <c r="O229" s="17">
        <f>SUM(O2:O228)</f>
        <v>7350</v>
      </c>
      <c r="P229" s="17">
        <f>SUM(P2:P228)</f>
        <v>-10</v>
      </c>
    </row>
    <row r="230" spans="1:16" x14ac:dyDescent="0.3">
      <c r="A230" s="18" t="s">
        <v>108</v>
      </c>
      <c r="B230" s="18">
        <f>O229</f>
        <v>7350</v>
      </c>
      <c r="C230" s="2" t="s">
        <v>109</v>
      </c>
      <c r="D230" s="2" t="s">
        <v>110</v>
      </c>
      <c r="N230" s="29"/>
    </row>
    <row r="231" spans="1:16" x14ac:dyDescent="0.3">
      <c r="A231" s="19" t="s">
        <v>111</v>
      </c>
      <c r="B231" s="20">
        <f>(C231+D231)/670</f>
        <v>101.77611940298507</v>
      </c>
      <c r="C231" s="8">
        <v>68190</v>
      </c>
      <c r="D231" s="8"/>
    </row>
    <row r="232" spans="1:16" x14ac:dyDescent="0.3">
      <c r="A232" s="19" t="s">
        <v>14</v>
      </c>
      <c r="B232" s="21">
        <v>150</v>
      </c>
      <c r="C232" s="8" t="s">
        <v>126</v>
      </c>
      <c r="D232" s="8"/>
    </row>
    <row r="233" spans="1:16" x14ac:dyDescent="0.3">
      <c r="A233" s="19" t="s">
        <v>112</v>
      </c>
      <c r="B233" s="20">
        <f>D233/670</f>
        <v>0</v>
      </c>
      <c r="C233" s="8"/>
      <c r="D233" s="8"/>
    </row>
    <row r="234" spans="1:16" x14ac:dyDescent="0.3">
      <c r="A234" s="19" t="s">
        <v>113</v>
      </c>
      <c r="B234" s="20"/>
      <c r="C234" s="8"/>
      <c r="D234" s="8"/>
    </row>
    <row r="235" spans="1:16" x14ac:dyDescent="0.3">
      <c r="A235" s="12" t="s">
        <v>114</v>
      </c>
      <c r="B235" s="22">
        <f>B230+B231+B233+B234+B232</f>
        <v>7601.7761194029854</v>
      </c>
      <c r="C235" s="8"/>
      <c r="D235" s="8"/>
    </row>
    <row r="236" spans="1:16" x14ac:dyDescent="0.3">
      <c r="A236" s="19" t="s">
        <v>6</v>
      </c>
      <c r="B236" s="20">
        <f>D236/670</f>
        <v>0</v>
      </c>
      <c r="C236" s="8"/>
      <c r="D236" s="8"/>
    </row>
    <row r="237" spans="1:16" x14ac:dyDescent="0.3">
      <c r="A237" s="19" t="s">
        <v>115</v>
      </c>
      <c r="B237" s="20">
        <f>C237/670</f>
        <v>1.044776119402985</v>
      </c>
      <c r="C237" s="8">
        <v>700</v>
      </c>
      <c r="D237" s="8"/>
    </row>
    <row r="238" spans="1:16" x14ac:dyDescent="0.3">
      <c r="A238" s="19" t="s">
        <v>64</v>
      </c>
      <c r="B238" s="20">
        <f>C238/670</f>
        <v>14.73134328358209</v>
      </c>
      <c r="C238" s="8">
        <v>9870</v>
      </c>
      <c r="D238" s="8"/>
    </row>
    <row r="239" spans="1:16" x14ac:dyDescent="0.3">
      <c r="A239" s="19" t="s">
        <v>116</v>
      </c>
      <c r="B239" s="20"/>
      <c r="C239" s="8"/>
      <c r="D239" s="8"/>
    </row>
    <row r="240" spans="1:16" x14ac:dyDescent="0.3">
      <c r="A240" s="12" t="s">
        <v>117</v>
      </c>
      <c r="B240" s="20">
        <f>B236+B237+B238+B239</f>
        <v>15.776119402985074</v>
      </c>
      <c r="C240" s="8"/>
      <c r="D240" s="8"/>
    </row>
    <row r="241" spans="1:6" x14ac:dyDescent="0.3">
      <c r="A241" s="12" t="s">
        <v>118</v>
      </c>
      <c r="B241" s="22">
        <f>B235-B240</f>
        <v>7586</v>
      </c>
      <c r="C241" s="8"/>
      <c r="D241" s="8"/>
    </row>
    <row r="242" spans="1:6" x14ac:dyDescent="0.3">
      <c r="A242" s="19" t="s">
        <v>119</v>
      </c>
      <c r="B242" s="20">
        <f>C242/670</f>
        <v>0</v>
      </c>
      <c r="C242" s="8"/>
      <c r="D242" s="8"/>
    </row>
    <row r="243" spans="1:6" x14ac:dyDescent="0.3">
      <c r="A243" s="19" t="s">
        <v>120</v>
      </c>
      <c r="B243" s="20"/>
      <c r="C243" s="8"/>
      <c r="D243" s="8"/>
    </row>
    <row r="244" spans="1:6" x14ac:dyDescent="0.3">
      <c r="A244" s="19" t="s">
        <v>121</v>
      </c>
      <c r="B244" s="20">
        <f>C244/2</f>
        <v>0</v>
      </c>
      <c r="C244" s="8"/>
      <c r="D244" s="8"/>
    </row>
    <row r="245" spans="1:6" x14ac:dyDescent="0.3">
      <c r="A245" s="12" t="s">
        <v>122</v>
      </c>
      <c r="B245" s="22">
        <f>B242+B243+B244</f>
        <v>0</v>
      </c>
      <c r="C245" s="8"/>
      <c r="D245" s="8"/>
    </row>
    <row r="246" spans="1:6" x14ac:dyDescent="0.3">
      <c r="A246" s="19" t="s">
        <v>123</v>
      </c>
      <c r="B246" s="20">
        <v>5900</v>
      </c>
      <c r="C246" s="8"/>
      <c r="D246" s="8"/>
    </row>
    <row r="247" spans="1:6" x14ac:dyDescent="0.3">
      <c r="A247" s="19" t="s">
        <v>36</v>
      </c>
      <c r="B247" s="20">
        <v>1600</v>
      </c>
      <c r="C247" s="8"/>
      <c r="D247" s="8"/>
    </row>
    <row r="248" spans="1:6" x14ac:dyDescent="0.3">
      <c r="A248" s="19" t="s">
        <v>124</v>
      </c>
      <c r="B248" s="20">
        <f>C248/2.3</f>
        <v>0</v>
      </c>
      <c r="C248" s="8"/>
      <c r="D248" s="8"/>
    </row>
    <row r="249" spans="1:6" x14ac:dyDescent="0.3">
      <c r="A249" s="19" t="s">
        <v>125</v>
      </c>
      <c r="B249" s="20">
        <f>C249/670</f>
        <v>86</v>
      </c>
      <c r="C249" s="8">
        <v>57620</v>
      </c>
      <c r="D249" s="8"/>
      <c r="F249" t="s">
        <v>126</v>
      </c>
    </row>
    <row r="250" spans="1:6" x14ac:dyDescent="0.3">
      <c r="A250" s="19" t="s">
        <v>127</v>
      </c>
      <c r="B250" s="20">
        <f>D250/670</f>
        <v>0</v>
      </c>
      <c r="C250" s="8"/>
      <c r="D250" s="8"/>
    </row>
    <row r="251" spans="1:6" x14ac:dyDescent="0.3">
      <c r="A251" s="12" t="s">
        <v>128</v>
      </c>
      <c r="B251" s="22">
        <f>B246+B247+B248+B249+B250</f>
        <v>7586</v>
      </c>
      <c r="C251" s="8"/>
      <c r="D251" s="8"/>
    </row>
    <row r="252" spans="1:6" x14ac:dyDescent="0.3">
      <c r="A252" s="19" t="s">
        <v>129</v>
      </c>
      <c r="B252" s="20">
        <f>C252/670</f>
        <v>0</v>
      </c>
      <c r="C252" s="8"/>
      <c r="D252" s="8"/>
    </row>
    <row r="253" spans="1:6" x14ac:dyDescent="0.3">
      <c r="A253" s="12" t="s">
        <v>107</v>
      </c>
      <c r="B253" s="22">
        <f>B252</f>
        <v>0</v>
      </c>
      <c r="C253" s="8"/>
      <c r="D253" s="8"/>
    </row>
    <row r="254" spans="1:6" x14ac:dyDescent="0.3">
      <c r="A254" s="12" t="s">
        <v>130</v>
      </c>
      <c r="B254" s="20">
        <f>B241-B245-B251-B253</f>
        <v>0</v>
      </c>
      <c r="C254" s="8" t="s">
        <v>126</v>
      </c>
      <c r="D254" s="8"/>
    </row>
    <row r="256" spans="1:6" x14ac:dyDescent="0.3">
      <c r="A256" s="12" t="s">
        <v>131</v>
      </c>
      <c r="B256" s="23" t="s">
        <v>10</v>
      </c>
    </row>
    <row r="257" spans="1:2" x14ac:dyDescent="0.3">
      <c r="A257" s="12" t="s">
        <v>132</v>
      </c>
      <c r="B257" s="7"/>
    </row>
    <row r="258" spans="1:2" x14ac:dyDescent="0.3">
      <c r="A258" s="19" t="s">
        <v>133</v>
      </c>
      <c r="B258" s="7"/>
    </row>
    <row r="259" spans="1:2" x14ac:dyDescent="0.3">
      <c r="A259" s="12" t="s">
        <v>134</v>
      </c>
      <c r="B259" s="17">
        <f>B257-B258</f>
        <v>0</v>
      </c>
    </row>
    <row r="260" spans="1:2" x14ac:dyDescent="0.3">
      <c r="A260" s="12" t="s">
        <v>135</v>
      </c>
      <c r="B260" s="17">
        <f>B261+B262+B263+B264+B265+B266+B267+B268</f>
        <v>0</v>
      </c>
    </row>
    <row r="261" spans="1:2" x14ac:dyDescent="0.3">
      <c r="A261" s="19" t="s">
        <v>136</v>
      </c>
      <c r="B261" s="7"/>
    </row>
    <row r="262" spans="1:2" x14ac:dyDescent="0.3">
      <c r="A262" s="19" t="s">
        <v>137</v>
      </c>
      <c r="B262" s="7"/>
    </row>
    <row r="263" spans="1:2" x14ac:dyDescent="0.3">
      <c r="A263" s="19" t="s">
        <v>138</v>
      </c>
      <c r="B263" s="7"/>
    </row>
    <row r="264" spans="1:2" x14ac:dyDescent="0.3">
      <c r="A264" s="19" t="s">
        <v>139</v>
      </c>
      <c r="B264" s="7"/>
    </row>
    <row r="265" spans="1:2" x14ac:dyDescent="0.3">
      <c r="A265" s="19" t="s">
        <v>140</v>
      </c>
      <c r="B265" s="7"/>
    </row>
    <row r="266" spans="1:2" x14ac:dyDescent="0.3">
      <c r="A266" s="19" t="s">
        <v>141</v>
      </c>
      <c r="B266" s="7"/>
    </row>
    <row r="267" spans="1:2" x14ac:dyDescent="0.3">
      <c r="A267" s="19" t="s">
        <v>142</v>
      </c>
      <c r="B267" s="7"/>
    </row>
    <row r="268" spans="1:2" x14ac:dyDescent="0.3">
      <c r="A268" s="19" t="s">
        <v>143</v>
      </c>
      <c r="B268" s="7"/>
    </row>
    <row r="269" spans="1:2" x14ac:dyDescent="0.3">
      <c r="A269" s="12" t="s">
        <v>144</v>
      </c>
      <c r="B269" s="17">
        <f>B270+B271+B272</f>
        <v>0</v>
      </c>
    </row>
    <row r="270" spans="1:2" x14ac:dyDescent="0.3">
      <c r="A270" s="19" t="s">
        <v>145</v>
      </c>
      <c r="B270" s="7"/>
    </row>
    <row r="271" spans="1:2" x14ac:dyDescent="0.3">
      <c r="A271" s="19" t="s">
        <v>146</v>
      </c>
      <c r="B271" s="7"/>
    </row>
    <row r="272" spans="1:2" x14ac:dyDescent="0.3">
      <c r="A272" s="19" t="s">
        <v>147</v>
      </c>
      <c r="B272" s="7"/>
    </row>
    <row r="273" spans="1:5" x14ac:dyDescent="0.3">
      <c r="A273" s="12" t="s">
        <v>148</v>
      </c>
      <c r="B273" s="17">
        <f>B259-B260-B269</f>
        <v>0</v>
      </c>
    </row>
    <row r="279" spans="1:5" x14ac:dyDescent="0.3">
      <c r="A279" s="24"/>
    </row>
    <row r="280" spans="1:5" x14ac:dyDescent="0.3">
      <c r="A280" s="24"/>
    </row>
    <row r="281" spans="1:5" x14ac:dyDescent="0.3">
      <c r="A281" s="24"/>
    </row>
    <row r="282" spans="1:5" x14ac:dyDescent="0.3">
      <c r="A282" s="24"/>
    </row>
    <row r="283" spans="1:5" x14ac:dyDescent="0.3">
      <c r="A283" s="24"/>
    </row>
    <row r="284" spans="1:5" x14ac:dyDescent="0.3">
      <c r="A284" s="24"/>
    </row>
    <row r="285" spans="1:5" x14ac:dyDescent="0.3">
      <c r="A285" s="24"/>
    </row>
    <row r="286" spans="1:5" x14ac:dyDescent="0.3">
      <c r="A286" s="25"/>
      <c r="B286" s="25"/>
      <c r="C286" s="25"/>
      <c r="D286" s="25"/>
      <c r="E286" s="25"/>
    </row>
  </sheetData>
  <autoFilter ref="A1:P254" xr:uid="{68933B3E-17C4-4253-AC93-E1BB1D2FE4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8D45-C90C-4862-AD49-2450828F12F1}">
  <dimension ref="A1:Y286"/>
  <sheetViews>
    <sheetView zoomScale="80" zoomScaleNormal="80" workbookViewId="0">
      <pane ySplit="1" topLeftCell="A200" activePane="bottomLeft" state="frozen"/>
      <selection pane="bottomLeft" activeCell="F230" sqref="F230"/>
    </sheetView>
  </sheetViews>
  <sheetFormatPr baseColWidth="10" defaultRowHeight="14.4" x14ac:dyDescent="0.3"/>
  <cols>
    <col min="1" max="1" width="54.5546875" customWidth="1"/>
    <col min="3" max="3" width="20" customWidth="1"/>
    <col min="4" max="4" width="11.109375" customWidth="1"/>
    <col min="5" max="6" width="8.33203125" customWidth="1"/>
    <col min="7" max="7" width="12.33203125" customWidth="1"/>
    <col min="8" max="8" width="15" customWidth="1"/>
    <col min="9" max="9" width="12.6640625" customWidth="1"/>
    <col min="10" max="10" width="9.33203125" customWidth="1"/>
    <col min="11" max="11" width="9.109375" customWidth="1"/>
    <col min="12" max="12" width="11.33203125" customWidth="1"/>
    <col min="13" max="13" width="11.109375" customWidth="1"/>
    <col min="14" max="14" width="8.33203125" customWidth="1"/>
    <col min="15" max="15" width="9.6640625" customWidth="1"/>
    <col min="16" max="16" width="18.5546875" customWidth="1"/>
    <col min="18" max="18" width="13" customWidth="1"/>
    <col min="19" max="19" width="15.6640625" customWidth="1"/>
    <col min="21" max="21" width="17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3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3">
      <c r="A3" s="5" t="s">
        <v>270</v>
      </c>
      <c r="B3" s="6">
        <v>93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27.61</v>
      </c>
      <c r="M3" s="7"/>
      <c r="N3" s="7">
        <f>B3+C3-D3-E3-F3</f>
        <v>93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3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3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3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3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500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3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3">
      <c r="A9" s="5" t="s">
        <v>167</v>
      </c>
      <c r="B9" s="6">
        <v>3</v>
      </c>
      <c r="C9" s="10">
        <v>7</v>
      </c>
      <c r="D9" s="7">
        <v>2</v>
      </c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 t="s">
        <v>317</v>
      </c>
      <c r="R9" s="4"/>
      <c r="T9" s="4"/>
      <c r="U9" s="4"/>
      <c r="V9" s="4"/>
      <c r="W9" s="4"/>
      <c r="X9" s="4"/>
      <c r="Y9" s="4"/>
    </row>
    <row r="10" spans="1:25" x14ac:dyDescent="0.3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3">
      <c r="A11" s="5" t="s">
        <v>214</v>
      </c>
      <c r="B11" s="6">
        <v>1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1</v>
      </c>
      <c r="O11" s="7">
        <f t="shared" si="1"/>
        <v>0</v>
      </c>
      <c r="P11" s="7">
        <v>-1</v>
      </c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3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3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3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3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/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5" t="s">
        <v>307</v>
      </c>
      <c r="B28" s="6">
        <v>4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4</v>
      </c>
      <c r="O28" s="7"/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/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/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5" t="s">
        <v>263</v>
      </c>
      <c r="B31" s="6">
        <v>1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1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5" t="s">
        <v>294</v>
      </c>
      <c r="B33" s="6">
        <v>10</v>
      </c>
      <c r="C33" s="7"/>
      <c r="D33" s="7"/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10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3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3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3">
      <c r="A36" s="5" t="s">
        <v>287</v>
      </c>
      <c r="B36" s="6">
        <v>12</v>
      </c>
      <c r="C36" s="7"/>
      <c r="D36" s="7"/>
      <c r="E36" s="8"/>
      <c r="F36" s="8"/>
      <c r="G36" s="9"/>
      <c r="H36" s="26"/>
      <c r="I36" s="7"/>
      <c r="J36" s="7"/>
      <c r="K36" s="7"/>
      <c r="L36" s="7">
        <v>20</v>
      </c>
      <c r="M36" s="7"/>
      <c r="N36" s="7">
        <f t="shared" si="2"/>
        <v>12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3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3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3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3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3">
      <c r="A41" s="5" t="s">
        <v>235</v>
      </c>
      <c r="B41" s="6">
        <v>5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5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3">
      <c r="A42" s="5" t="s">
        <v>38</v>
      </c>
      <c r="B42" s="6">
        <v>7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7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3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3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3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3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3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3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3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3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3">
      <c r="A51" s="5" t="s">
        <v>208</v>
      </c>
      <c r="B51" s="6">
        <v>1</v>
      </c>
      <c r="C51" s="7"/>
      <c r="D51" s="7"/>
      <c r="E51" s="8"/>
      <c r="F51" s="8"/>
      <c r="G51" s="9">
        <v>7000</v>
      </c>
      <c r="H51" s="26">
        <f t="shared" si="0"/>
        <v>0</v>
      </c>
      <c r="I51" s="7"/>
      <c r="J51" s="7">
        <v>800</v>
      </c>
      <c r="K51" s="7"/>
      <c r="L51" s="7">
        <v>1300</v>
      </c>
      <c r="M51" s="7"/>
      <c r="N51" s="7">
        <f t="shared" si="2"/>
        <v>1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3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3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3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3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3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3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3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247</v>
      </c>
      <c r="R58" s="4"/>
      <c r="S58" s="4"/>
      <c r="T58" s="4"/>
      <c r="U58" s="4"/>
    </row>
    <row r="59" spans="1:21" x14ac:dyDescent="0.3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3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3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3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3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3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3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3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3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3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3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3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3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3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3">
      <c r="A73" s="5" t="s">
        <v>211</v>
      </c>
      <c r="B73" s="6">
        <v>2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2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3">
      <c r="A74" s="5" t="s">
        <v>54</v>
      </c>
      <c r="B74" s="6">
        <v>3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3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3">
      <c r="A75" s="5" t="s">
        <v>55</v>
      </c>
      <c r="B75" s="6">
        <v>1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1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3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3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3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3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3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3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3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3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3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3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3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3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3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3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3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3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3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3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3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3">
      <c r="A95" s="5" t="s">
        <v>312</v>
      </c>
      <c r="B95" s="6">
        <v>2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170</v>
      </c>
      <c r="M95" s="7"/>
      <c r="N95" s="7">
        <f t="shared" si="4"/>
        <v>2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3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/>
      <c r="R96" s="4"/>
      <c r="S96" s="4"/>
      <c r="T96" s="4">
        <f>SUM(T39:T89)</f>
        <v>0</v>
      </c>
      <c r="U96" s="4"/>
      <c r="W96" s="4"/>
    </row>
    <row r="97" spans="1:21" x14ac:dyDescent="0.3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3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/>
      <c r="R98" s="4" t="s">
        <v>64</v>
      </c>
      <c r="S98" s="4"/>
      <c r="T98" s="4"/>
      <c r="U98" s="4"/>
    </row>
    <row r="99" spans="1:21" x14ac:dyDescent="0.3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3">
      <c r="A100" s="5" t="s">
        <v>212</v>
      </c>
      <c r="B100" s="6">
        <v>12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12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3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3">
      <c r="A102" s="5" t="s">
        <v>191</v>
      </c>
      <c r="B102" s="6">
        <v>2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2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3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3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/>
    </row>
    <row r="105" spans="1:21" x14ac:dyDescent="0.3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/>
    </row>
    <row r="106" spans="1:21" x14ac:dyDescent="0.3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3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3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3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3">
      <c r="A110" s="5" t="s">
        <v>68</v>
      </c>
      <c r="B110" s="6">
        <v>3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3</v>
      </c>
      <c r="O110" s="7">
        <f t="shared" si="1"/>
        <v>0</v>
      </c>
      <c r="P110" s="7" t="s">
        <v>247</v>
      </c>
    </row>
    <row r="111" spans="1:21" x14ac:dyDescent="0.3">
      <c r="A111" s="5" t="s">
        <v>311</v>
      </c>
      <c r="B111" s="6">
        <v>1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1</v>
      </c>
      <c r="O111" s="7">
        <f t="shared" ref="O111:O183" si="5">E111*L111+F111*M111</f>
        <v>0</v>
      </c>
      <c r="P111" s="7"/>
    </row>
    <row r="112" spans="1:21" x14ac:dyDescent="0.3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3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3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3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3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3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3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3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3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3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3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3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3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3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3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3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3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x14ac:dyDescent="0.3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3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3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3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3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3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3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3">
      <c r="A136" s="5" t="s">
        <v>81</v>
      </c>
      <c r="B136" s="6">
        <v>5</v>
      </c>
      <c r="C136" s="10"/>
      <c r="D136" s="7">
        <v>2</v>
      </c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3</v>
      </c>
      <c r="O136" s="7">
        <f t="shared" si="5"/>
        <v>0</v>
      </c>
      <c r="P136" s="7" t="s">
        <v>304</v>
      </c>
    </row>
    <row r="137" spans="1:16" x14ac:dyDescent="0.3">
      <c r="A137" s="5" t="s">
        <v>162</v>
      </c>
      <c r="B137" s="6">
        <v>8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8</v>
      </c>
      <c r="O137" s="7">
        <f t="shared" si="5"/>
        <v>0</v>
      </c>
      <c r="P137" s="7">
        <v>-1</v>
      </c>
    </row>
    <row r="138" spans="1:16" x14ac:dyDescent="0.3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3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3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3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3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3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3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3">
      <c r="A145" s="5" t="s">
        <v>273</v>
      </c>
      <c r="B145" s="6">
        <v>4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4</v>
      </c>
      <c r="O145" s="7">
        <f t="shared" si="5"/>
        <v>0</v>
      </c>
      <c r="P145" s="7">
        <v>-1</v>
      </c>
    </row>
    <row r="146" spans="1:16" x14ac:dyDescent="0.3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3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3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3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3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3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3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3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3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3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3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3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3">
      <c r="A158" s="5" t="s">
        <v>221</v>
      </c>
      <c r="B158" s="6">
        <v>4</v>
      </c>
      <c r="C158" s="10">
        <v>1</v>
      </c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 t="s">
        <v>318</v>
      </c>
    </row>
    <row r="159" spans="1:16" x14ac:dyDescent="0.3">
      <c r="A159" s="5" t="s">
        <v>220</v>
      </c>
      <c r="B159" s="6">
        <v>4</v>
      </c>
      <c r="C159" s="10">
        <v>1</v>
      </c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 t="s">
        <v>318</v>
      </c>
    </row>
    <row r="160" spans="1:16" x14ac:dyDescent="0.3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3">
      <c r="A161" s="5" t="s">
        <v>193</v>
      </c>
      <c r="B161" s="6">
        <v>1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1</v>
      </c>
      <c r="O161" s="7">
        <f t="shared" si="5"/>
        <v>0</v>
      </c>
      <c r="P161" s="7"/>
    </row>
    <row r="162" spans="1:16" x14ac:dyDescent="0.3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3">
      <c r="A163" s="5" t="s">
        <v>90</v>
      </c>
      <c r="B163" s="6">
        <v>14</v>
      </c>
      <c r="C163" s="7"/>
      <c r="D163" s="7">
        <v>1</v>
      </c>
      <c r="E163" s="8">
        <v>1</v>
      </c>
      <c r="F163" s="8"/>
      <c r="G163" s="9">
        <v>2500</v>
      </c>
      <c r="H163" s="26">
        <f t="shared" si="6"/>
        <v>2500</v>
      </c>
      <c r="I163" s="7">
        <v>700</v>
      </c>
      <c r="J163" s="7"/>
      <c r="K163" s="7"/>
      <c r="L163" s="7">
        <v>260</v>
      </c>
      <c r="M163" s="7"/>
      <c r="N163" s="7">
        <f t="shared" ref="N163:N228" si="7">B163+C163-D163-E163-F163</f>
        <v>12</v>
      </c>
      <c r="O163" s="7">
        <f t="shared" si="5"/>
        <v>260</v>
      </c>
      <c r="P163" s="7" t="s">
        <v>316</v>
      </c>
    </row>
    <row r="164" spans="1:16" x14ac:dyDescent="0.3">
      <c r="A164" s="5" t="s">
        <v>292</v>
      </c>
      <c r="B164" s="6">
        <v>23</v>
      </c>
      <c r="C164" s="7"/>
      <c r="D164" s="7"/>
      <c r="E164" s="8"/>
      <c r="F164" s="8"/>
      <c r="G164" s="9">
        <v>2500</v>
      </c>
      <c r="H164" s="26">
        <f t="shared" si="6"/>
        <v>0</v>
      </c>
      <c r="I164" s="7"/>
      <c r="J164" s="7"/>
      <c r="K164" s="7"/>
      <c r="L164" s="7">
        <v>260</v>
      </c>
      <c r="M164" s="7">
        <v>155</v>
      </c>
      <c r="N164" s="7">
        <f t="shared" si="7"/>
        <v>23</v>
      </c>
      <c r="O164" s="7">
        <f t="shared" si="5"/>
        <v>0</v>
      </c>
      <c r="P164" s="7"/>
    </row>
    <row r="165" spans="1:16" x14ac:dyDescent="0.3">
      <c r="A165" s="5" t="s">
        <v>297</v>
      </c>
      <c r="B165" s="6">
        <v>91</v>
      </c>
      <c r="C165" s="7"/>
      <c r="D165" s="7"/>
      <c r="E165" s="8"/>
      <c r="F165" s="8"/>
      <c r="G165" s="9">
        <v>2500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3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3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3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3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3">
      <c r="A170" s="5" t="s">
        <v>234</v>
      </c>
      <c r="B170" s="6">
        <v>3</v>
      </c>
      <c r="C170" s="7"/>
      <c r="D170" s="7"/>
      <c r="E170" s="8"/>
      <c r="F170" s="8"/>
      <c r="G170" s="9">
        <v>4000</v>
      </c>
      <c r="H170" s="26"/>
      <c r="I170" s="7"/>
      <c r="J170" s="7">
        <v>385</v>
      </c>
      <c r="K170" s="7"/>
      <c r="L170" s="7">
        <v>400</v>
      </c>
      <c r="M170" s="7"/>
      <c r="N170" s="7">
        <f t="shared" si="7"/>
        <v>3</v>
      </c>
      <c r="O170" s="7">
        <f t="shared" si="5"/>
        <v>0</v>
      </c>
      <c r="P170" s="7"/>
    </row>
    <row r="171" spans="1:16" x14ac:dyDescent="0.3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3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3">
      <c r="A173" s="5" t="s">
        <v>93</v>
      </c>
      <c r="B173" s="6">
        <v>2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2</v>
      </c>
      <c r="O173" s="7">
        <f t="shared" si="5"/>
        <v>0</v>
      </c>
      <c r="P173" s="7"/>
    </row>
    <row r="174" spans="1:16" x14ac:dyDescent="0.3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3">
      <c r="A175" s="5" t="s">
        <v>222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3">
      <c r="A176" s="5" t="s">
        <v>309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3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3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3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3">
      <c r="A180" s="5" t="s">
        <v>163</v>
      </c>
      <c r="B180" s="6">
        <v>6</v>
      </c>
      <c r="C180" s="10"/>
      <c r="D180" s="7"/>
      <c r="E180" s="8">
        <v>1</v>
      </c>
      <c r="F180" s="8"/>
      <c r="G180" s="9">
        <v>3000</v>
      </c>
      <c r="H180" s="26">
        <f t="shared" si="6"/>
        <v>3000</v>
      </c>
      <c r="I180" s="7">
        <v>700</v>
      </c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295</v>
      </c>
      <c r="P180" s="7"/>
    </row>
    <row r="181" spans="1:16" x14ac:dyDescent="0.3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3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3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3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3">
      <c r="A185" s="5" t="s">
        <v>98</v>
      </c>
      <c r="B185" s="6">
        <v>1</v>
      </c>
      <c r="C185" s="10"/>
      <c r="D185" s="7">
        <v>1</v>
      </c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0</v>
      </c>
      <c r="O185" s="7">
        <f t="shared" si="8"/>
        <v>0</v>
      </c>
      <c r="P185" s="7" t="s">
        <v>304</v>
      </c>
    </row>
    <row r="186" spans="1:16" x14ac:dyDescent="0.3">
      <c r="A186" s="5" t="s">
        <v>189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260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3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3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3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3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3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3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3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3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3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3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3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3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3">
      <c r="A199" s="5" t="s">
        <v>262</v>
      </c>
      <c r="B199" s="6">
        <v>3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3</v>
      </c>
      <c r="O199" s="7">
        <f t="shared" si="8"/>
        <v>0</v>
      </c>
      <c r="P199" s="7"/>
    </row>
    <row r="200" spans="1:16" x14ac:dyDescent="0.3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3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3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3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3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3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3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3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3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3">
      <c r="A209" s="5" t="s">
        <v>264</v>
      </c>
      <c r="B209" s="6">
        <v>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2</v>
      </c>
      <c r="O209" s="7">
        <f t="shared" si="8"/>
        <v>0</v>
      </c>
      <c r="P209" s="7"/>
    </row>
    <row r="210" spans="1:16" x14ac:dyDescent="0.3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3">
      <c r="A211" s="5" t="s">
        <v>104</v>
      </c>
      <c r="B211" s="6">
        <v>2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70</v>
      </c>
      <c r="M211" s="7"/>
      <c r="N211" s="7">
        <f t="shared" si="7"/>
        <v>2</v>
      </c>
      <c r="O211" s="7">
        <f t="shared" si="8"/>
        <v>0</v>
      </c>
      <c r="P211" s="7"/>
    </row>
    <row r="212" spans="1:16" x14ac:dyDescent="0.3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3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3">
      <c r="A214" s="5" t="s">
        <v>266</v>
      </c>
      <c r="B214" s="6">
        <v>0</v>
      </c>
      <c r="C214" s="10">
        <v>6</v>
      </c>
      <c r="D214" s="7"/>
      <c r="E214" s="8"/>
      <c r="F214" s="8"/>
      <c r="G214" s="9">
        <v>1000</v>
      </c>
      <c r="H214" s="26">
        <f t="shared" si="6"/>
        <v>0</v>
      </c>
      <c r="I214" s="7"/>
      <c r="J214" s="7"/>
      <c r="K214" s="7"/>
      <c r="L214" s="7">
        <v>75</v>
      </c>
      <c r="M214" s="7"/>
      <c r="N214" s="7">
        <f t="shared" si="7"/>
        <v>6</v>
      </c>
      <c r="O214" s="7">
        <f t="shared" si="8"/>
        <v>0</v>
      </c>
      <c r="P214" s="7" t="s">
        <v>304</v>
      </c>
    </row>
    <row r="215" spans="1:16" x14ac:dyDescent="0.3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3">
      <c r="A216" s="5" t="s">
        <v>265</v>
      </c>
      <c r="B216" s="6">
        <v>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5</v>
      </c>
      <c r="O216" s="7">
        <f t="shared" si="8"/>
        <v>0</v>
      </c>
      <c r="P216" s="7"/>
    </row>
    <row r="217" spans="1:16" x14ac:dyDescent="0.3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/>
    </row>
    <row r="218" spans="1:16" x14ac:dyDescent="0.3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3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3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3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3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3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3">
      <c r="A224" s="5" t="s">
        <v>206</v>
      </c>
      <c r="B224" s="6">
        <v>52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52</v>
      </c>
      <c r="O224" s="7"/>
      <c r="P224" s="7"/>
    </row>
    <row r="225" spans="1:16" x14ac:dyDescent="0.3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3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3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3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3">
      <c r="A229" s="12" t="s">
        <v>107</v>
      </c>
      <c r="B229" s="13">
        <v>942</v>
      </c>
      <c r="C229" s="14"/>
      <c r="D229" s="14"/>
      <c r="E229" s="15"/>
      <c r="F229" s="15"/>
      <c r="G229" s="16"/>
      <c r="H229" s="27">
        <f>SUM(H2:H219)</f>
        <v>5500</v>
      </c>
      <c r="I229" s="17">
        <f>SUM(I2:I218)</f>
        <v>1400</v>
      </c>
      <c r="J229" s="17"/>
      <c r="K229" s="17">
        <f>SUM(K2:K218)</f>
        <v>0</v>
      </c>
      <c r="L229" s="17"/>
      <c r="M229" s="17"/>
      <c r="N229" s="17">
        <f>SUM(N2:N228)</f>
        <v>949</v>
      </c>
      <c r="O229" s="17">
        <f>SUM(O2:O228)</f>
        <v>555</v>
      </c>
      <c r="P229" s="17">
        <f>SUM(P2:P228)</f>
        <v>-8</v>
      </c>
    </row>
    <row r="230" spans="1:16" x14ac:dyDescent="0.3">
      <c r="A230" s="18" t="s">
        <v>108</v>
      </c>
      <c r="B230" s="18">
        <f>O229</f>
        <v>555</v>
      </c>
      <c r="C230" s="2" t="s">
        <v>109</v>
      </c>
      <c r="D230" s="2" t="s">
        <v>110</v>
      </c>
      <c r="N230" s="29"/>
    </row>
    <row r="231" spans="1:16" x14ac:dyDescent="0.3">
      <c r="A231" s="19" t="s">
        <v>111</v>
      </c>
      <c r="B231" s="20">
        <f>(C231+D231)/670</f>
        <v>86</v>
      </c>
      <c r="C231" s="8">
        <v>57620</v>
      </c>
      <c r="D231" s="8"/>
    </row>
    <row r="232" spans="1:16" x14ac:dyDescent="0.3">
      <c r="A232" s="19" t="s">
        <v>14</v>
      </c>
      <c r="B232" s="21">
        <v>150</v>
      </c>
      <c r="C232" s="8" t="s">
        <v>126</v>
      </c>
      <c r="D232" s="8"/>
    </row>
    <row r="233" spans="1:16" x14ac:dyDescent="0.3">
      <c r="A233" s="19" t="s">
        <v>112</v>
      </c>
      <c r="B233" s="20">
        <f>D233/670</f>
        <v>0</v>
      </c>
      <c r="C233" s="8"/>
      <c r="D233" s="8"/>
    </row>
    <row r="234" spans="1:16" x14ac:dyDescent="0.3">
      <c r="A234" s="19" t="s">
        <v>113</v>
      </c>
      <c r="B234" s="20"/>
      <c r="C234" s="8"/>
      <c r="D234" s="8"/>
    </row>
    <row r="235" spans="1:16" x14ac:dyDescent="0.3">
      <c r="A235" s="12" t="s">
        <v>114</v>
      </c>
      <c r="B235" s="22">
        <f>B230+B231+B233+B234+B232</f>
        <v>791</v>
      </c>
      <c r="C235" s="8"/>
      <c r="D235" s="8"/>
    </row>
    <row r="236" spans="1:16" x14ac:dyDescent="0.3">
      <c r="A236" s="19" t="s">
        <v>6</v>
      </c>
      <c r="B236" s="20">
        <f>D236/670</f>
        <v>0</v>
      </c>
      <c r="C236" s="8"/>
      <c r="D236" s="8"/>
    </row>
    <row r="237" spans="1:16" x14ac:dyDescent="0.3">
      <c r="A237" s="19" t="s">
        <v>115</v>
      </c>
      <c r="B237" s="20">
        <f>C237/670</f>
        <v>2.08955223880597</v>
      </c>
      <c r="C237" s="8">
        <v>1400</v>
      </c>
      <c r="D237" s="8"/>
    </row>
    <row r="238" spans="1:16" x14ac:dyDescent="0.3">
      <c r="A238" s="19" t="s">
        <v>64</v>
      </c>
      <c r="B238" s="20">
        <f>C238/670</f>
        <v>69.28358208955224</v>
      </c>
      <c r="C238" s="8">
        <v>46420</v>
      </c>
      <c r="D238" s="8"/>
    </row>
    <row r="239" spans="1:16" x14ac:dyDescent="0.3">
      <c r="A239" s="19" t="s">
        <v>116</v>
      </c>
      <c r="B239" s="20"/>
      <c r="C239" s="8"/>
      <c r="D239" s="8"/>
    </row>
    <row r="240" spans="1:16" x14ac:dyDescent="0.3">
      <c r="A240" s="12" t="s">
        <v>117</v>
      </c>
      <c r="B240" s="20">
        <f>B236+B237+B238+B239</f>
        <v>71.373134328358205</v>
      </c>
      <c r="C240" s="8"/>
      <c r="D240" s="8"/>
    </row>
    <row r="241" spans="1:6" x14ac:dyDescent="0.3">
      <c r="A241" s="12" t="s">
        <v>118</v>
      </c>
      <c r="B241" s="22">
        <f>B235-B240</f>
        <v>719.62686567164178</v>
      </c>
      <c r="C241" s="8"/>
      <c r="D241" s="8"/>
    </row>
    <row r="242" spans="1:6" x14ac:dyDescent="0.3">
      <c r="A242" s="19" t="s">
        <v>119</v>
      </c>
      <c r="B242" s="20">
        <f>C242/670</f>
        <v>0</v>
      </c>
      <c r="C242" s="8"/>
      <c r="D242" s="8"/>
    </row>
    <row r="243" spans="1:6" x14ac:dyDescent="0.3">
      <c r="A243" s="19" t="s">
        <v>120</v>
      </c>
      <c r="B243" s="20"/>
      <c r="C243" s="8"/>
      <c r="D243" s="8"/>
    </row>
    <row r="244" spans="1:6" x14ac:dyDescent="0.3">
      <c r="A244" s="19" t="s">
        <v>121</v>
      </c>
      <c r="B244" s="20">
        <f>C244/2</f>
        <v>0</v>
      </c>
      <c r="C244" s="8"/>
      <c r="D244" s="8"/>
    </row>
    <row r="245" spans="1:6" x14ac:dyDescent="0.3">
      <c r="A245" s="12" t="s">
        <v>122</v>
      </c>
      <c r="B245" s="22">
        <f>B242+B243+B244</f>
        <v>0</v>
      </c>
      <c r="C245" s="8"/>
      <c r="D245" s="8"/>
    </row>
    <row r="246" spans="1:6" x14ac:dyDescent="0.3">
      <c r="A246" s="19" t="s">
        <v>123</v>
      </c>
      <c r="B246" s="20">
        <v>705</v>
      </c>
      <c r="C246" s="8"/>
      <c r="D246" s="8"/>
    </row>
    <row r="247" spans="1:6" x14ac:dyDescent="0.3">
      <c r="A247" s="19" t="s">
        <v>36</v>
      </c>
      <c r="B247" s="20"/>
      <c r="C247" s="8"/>
      <c r="D247" s="8"/>
    </row>
    <row r="248" spans="1:6" x14ac:dyDescent="0.3">
      <c r="A248" s="19" t="s">
        <v>124</v>
      </c>
      <c r="B248" s="20">
        <f>C248/2.3</f>
        <v>0</v>
      </c>
      <c r="C248" s="8"/>
      <c r="D248" s="8"/>
    </row>
    <row r="249" spans="1:6" x14ac:dyDescent="0.3">
      <c r="A249" s="19" t="s">
        <v>125</v>
      </c>
      <c r="B249" s="20">
        <f>C249/670</f>
        <v>14.626865671641792</v>
      </c>
      <c r="C249" s="8">
        <v>9800</v>
      </c>
      <c r="D249" s="8"/>
      <c r="F249" t="s">
        <v>126</v>
      </c>
    </row>
    <row r="250" spans="1:6" x14ac:dyDescent="0.3">
      <c r="A250" s="19" t="s">
        <v>127</v>
      </c>
      <c r="B250" s="20">
        <f>D250/670</f>
        <v>0</v>
      </c>
      <c r="C250" s="8"/>
      <c r="D250" s="8"/>
    </row>
    <row r="251" spans="1:6" x14ac:dyDescent="0.3">
      <c r="A251" s="12" t="s">
        <v>128</v>
      </c>
      <c r="B251" s="22">
        <f>B246+B247+B248+B249+B250</f>
        <v>719.62686567164178</v>
      </c>
      <c r="C251" s="8"/>
      <c r="D251" s="8"/>
    </row>
    <row r="252" spans="1:6" x14ac:dyDescent="0.3">
      <c r="A252" s="19" t="s">
        <v>129</v>
      </c>
      <c r="B252" s="20">
        <f>C252/670</f>
        <v>0</v>
      </c>
      <c r="C252" s="8"/>
      <c r="D252" s="8"/>
    </row>
    <row r="253" spans="1:6" x14ac:dyDescent="0.3">
      <c r="A253" s="12" t="s">
        <v>107</v>
      </c>
      <c r="B253" s="22">
        <f>B252</f>
        <v>0</v>
      </c>
      <c r="C253" s="8"/>
      <c r="D253" s="8"/>
    </row>
    <row r="254" spans="1:6" x14ac:dyDescent="0.3">
      <c r="A254" s="12" t="s">
        <v>130</v>
      </c>
      <c r="B254" s="20">
        <f>B241-B245-B251-B253</f>
        <v>0</v>
      </c>
      <c r="C254" s="8" t="s">
        <v>126</v>
      </c>
      <c r="D254" s="8"/>
    </row>
    <row r="256" spans="1:6" x14ac:dyDescent="0.3">
      <c r="A256" s="12" t="s">
        <v>131</v>
      </c>
      <c r="B256" s="23" t="s">
        <v>10</v>
      </c>
    </row>
    <row r="257" spans="1:2" x14ac:dyDescent="0.3">
      <c r="A257" s="12" t="s">
        <v>132</v>
      </c>
      <c r="B257" s="7"/>
    </row>
    <row r="258" spans="1:2" x14ac:dyDescent="0.3">
      <c r="A258" s="19" t="s">
        <v>133</v>
      </c>
      <c r="B258" s="7"/>
    </row>
    <row r="259" spans="1:2" x14ac:dyDescent="0.3">
      <c r="A259" s="12" t="s">
        <v>134</v>
      </c>
      <c r="B259" s="17">
        <f>B257-B258</f>
        <v>0</v>
      </c>
    </row>
    <row r="260" spans="1:2" x14ac:dyDescent="0.3">
      <c r="A260" s="12" t="s">
        <v>135</v>
      </c>
      <c r="B260" s="17">
        <f>B261+B262+B263+B264+B265+B266+B267+B268</f>
        <v>0</v>
      </c>
    </row>
    <row r="261" spans="1:2" x14ac:dyDescent="0.3">
      <c r="A261" s="19" t="s">
        <v>136</v>
      </c>
      <c r="B261" s="7"/>
    </row>
    <row r="262" spans="1:2" x14ac:dyDescent="0.3">
      <c r="A262" s="19" t="s">
        <v>137</v>
      </c>
      <c r="B262" s="7"/>
    </row>
    <row r="263" spans="1:2" x14ac:dyDescent="0.3">
      <c r="A263" s="19" t="s">
        <v>138</v>
      </c>
      <c r="B263" s="7"/>
    </row>
    <row r="264" spans="1:2" x14ac:dyDescent="0.3">
      <c r="A264" s="19" t="s">
        <v>139</v>
      </c>
      <c r="B264" s="7"/>
    </row>
    <row r="265" spans="1:2" x14ac:dyDescent="0.3">
      <c r="A265" s="19" t="s">
        <v>140</v>
      </c>
      <c r="B265" s="7"/>
    </row>
    <row r="266" spans="1:2" x14ac:dyDescent="0.3">
      <c r="A266" s="19" t="s">
        <v>141</v>
      </c>
      <c r="B266" s="7"/>
    </row>
    <row r="267" spans="1:2" x14ac:dyDescent="0.3">
      <c r="A267" s="19" t="s">
        <v>142</v>
      </c>
      <c r="B267" s="7"/>
    </row>
    <row r="268" spans="1:2" x14ac:dyDescent="0.3">
      <c r="A268" s="19" t="s">
        <v>143</v>
      </c>
      <c r="B268" s="7"/>
    </row>
    <row r="269" spans="1:2" x14ac:dyDescent="0.3">
      <c r="A269" s="12" t="s">
        <v>144</v>
      </c>
      <c r="B269" s="17">
        <f>B270+B271+B272</f>
        <v>0</v>
      </c>
    </row>
    <row r="270" spans="1:2" x14ac:dyDescent="0.3">
      <c r="A270" s="19" t="s">
        <v>145</v>
      </c>
      <c r="B270" s="7"/>
    </row>
    <row r="271" spans="1:2" x14ac:dyDescent="0.3">
      <c r="A271" s="19" t="s">
        <v>146</v>
      </c>
      <c r="B271" s="7"/>
    </row>
    <row r="272" spans="1:2" x14ac:dyDescent="0.3">
      <c r="A272" s="19" t="s">
        <v>147</v>
      </c>
      <c r="B272" s="7"/>
    </row>
    <row r="273" spans="1:5" x14ac:dyDescent="0.3">
      <c r="A273" s="12" t="s">
        <v>148</v>
      </c>
      <c r="B273" s="17">
        <f>B259-B260-B269</f>
        <v>0</v>
      </c>
    </row>
    <row r="279" spans="1:5" x14ac:dyDescent="0.3">
      <c r="A279" s="24"/>
    </row>
    <row r="280" spans="1:5" x14ac:dyDescent="0.3">
      <c r="A280" s="24"/>
    </row>
    <row r="281" spans="1:5" x14ac:dyDescent="0.3">
      <c r="A281" s="24"/>
    </row>
    <row r="282" spans="1:5" x14ac:dyDescent="0.3">
      <c r="A282" s="24"/>
    </row>
    <row r="283" spans="1:5" x14ac:dyDescent="0.3">
      <c r="A283" s="24"/>
    </row>
    <row r="284" spans="1:5" x14ac:dyDescent="0.3">
      <c r="A284" s="24"/>
    </row>
    <row r="285" spans="1:5" x14ac:dyDescent="0.3">
      <c r="A285" s="24"/>
    </row>
    <row r="286" spans="1:5" x14ac:dyDescent="0.3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6F77-6EE8-4C9E-88F7-585C4D156FF2}">
  <dimension ref="A1:Y286"/>
  <sheetViews>
    <sheetView zoomScale="80" zoomScaleNormal="80" workbookViewId="0">
      <pane ySplit="1" topLeftCell="A221" activePane="bottomLeft" state="frozen"/>
      <selection pane="bottomLeft" activeCell="F235" sqref="F235"/>
    </sheetView>
  </sheetViews>
  <sheetFormatPr baseColWidth="10" defaultRowHeight="14.4" x14ac:dyDescent="0.3"/>
  <cols>
    <col min="1" max="1" width="54.5546875" customWidth="1"/>
    <col min="3" max="3" width="20" customWidth="1"/>
    <col min="4" max="4" width="11.109375" customWidth="1"/>
    <col min="5" max="6" width="8.33203125" customWidth="1"/>
    <col min="7" max="7" width="12.33203125" customWidth="1"/>
    <col min="8" max="8" width="15" customWidth="1"/>
    <col min="9" max="9" width="12.6640625" customWidth="1"/>
    <col min="10" max="10" width="9.33203125" customWidth="1"/>
    <col min="11" max="11" width="9.109375" customWidth="1"/>
    <col min="12" max="12" width="11.33203125" customWidth="1"/>
    <col min="13" max="13" width="11.109375" customWidth="1"/>
    <col min="14" max="14" width="8.33203125" customWidth="1"/>
    <col min="15" max="15" width="9.6640625" customWidth="1"/>
    <col min="16" max="16" width="18.5546875" customWidth="1"/>
    <col min="18" max="18" width="13" customWidth="1"/>
    <col min="19" max="19" width="15.6640625" customWidth="1"/>
    <col min="21" max="21" width="17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3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3">
      <c r="A3" s="5" t="s">
        <v>270</v>
      </c>
      <c r="B3" s="6">
        <v>93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27.61</v>
      </c>
      <c r="M3" s="7"/>
      <c r="N3" s="7">
        <f>B3+C3-D3-E3-F3</f>
        <v>93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3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3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3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3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500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3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3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3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3">
      <c r="A11" s="5" t="s">
        <v>214</v>
      </c>
      <c r="B11" s="6">
        <v>1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1</v>
      </c>
      <c r="O11" s="7">
        <f t="shared" si="1"/>
        <v>0</v>
      </c>
      <c r="P11" s="7">
        <v>-1</v>
      </c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3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3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3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3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/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5" t="s">
        <v>307</v>
      </c>
      <c r="B28" s="6">
        <v>4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4</v>
      </c>
      <c r="O28" s="7"/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/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/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5" t="s">
        <v>263</v>
      </c>
      <c r="B31" s="6">
        <v>1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1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5" t="s">
        <v>294</v>
      </c>
      <c r="B33" s="6">
        <v>10</v>
      </c>
      <c r="C33" s="7"/>
      <c r="D33" s="7"/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10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3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3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3">
      <c r="A36" s="5" t="s">
        <v>287</v>
      </c>
      <c r="B36" s="6">
        <v>12</v>
      </c>
      <c r="C36" s="7"/>
      <c r="D36" s="7"/>
      <c r="E36" s="8"/>
      <c r="F36" s="8"/>
      <c r="G36" s="9"/>
      <c r="H36" s="26"/>
      <c r="I36" s="7"/>
      <c r="J36" s="7"/>
      <c r="K36" s="7"/>
      <c r="L36" s="7">
        <v>20</v>
      </c>
      <c r="M36" s="7"/>
      <c r="N36" s="7">
        <f t="shared" si="2"/>
        <v>12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3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3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3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3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3">
      <c r="A41" s="5" t="s">
        <v>235</v>
      </c>
      <c r="B41" s="6">
        <v>5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5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3">
      <c r="A42" s="5" t="s">
        <v>38</v>
      </c>
      <c r="B42" s="6">
        <v>7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7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3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3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3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3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3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3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3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3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3">
      <c r="A51" s="5" t="s">
        <v>208</v>
      </c>
      <c r="B51" s="6">
        <v>1</v>
      </c>
      <c r="C51" s="7"/>
      <c r="D51" s="7"/>
      <c r="E51" s="8">
        <v>1</v>
      </c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1300</v>
      </c>
      <c r="P51" s="7"/>
      <c r="R51" s="4"/>
      <c r="S51" s="4"/>
      <c r="T51" s="4"/>
      <c r="U51" s="4"/>
    </row>
    <row r="52" spans="1:21" x14ac:dyDescent="0.3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3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3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3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3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3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3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247</v>
      </c>
      <c r="R58" s="4"/>
      <c r="S58" s="4"/>
      <c r="T58" s="4"/>
      <c r="U58" s="4"/>
    </row>
    <row r="59" spans="1:21" x14ac:dyDescent="0.3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3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3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3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3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3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3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3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3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3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3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3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3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3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3">
      <c r="A73" s="5" t="s">
        <v>211</v>
      </c>
      <c r="B73" s="6">
        <v>2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2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3">
      <c r="A74" s="5" t="s">
        <v>54</v>
      </c>
      <c r="B74" s="6">
        <v>3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3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3">
      <c r="A75" s="5" t="s">
        <v>55</v>
      </c>
      <c r="B75" s="6">
        <v>1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1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3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3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3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3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3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3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3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3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3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3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3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3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3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3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3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3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3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3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3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3">
      <c r="A95" s="5" t="s">
        <v>312</v>
      </c>
      <c r="B95" s="6">
        <v>2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170</v>
      </c>
      <c r="M95" s="7"/>
      <c r="N95" s="7">
        <f t="shared" si="4"/>
        <v>2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3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/>
      <c r="R96" s="4"/>
      <c r="S96" s="4"/>
      <c r="T96" s="4">
        <f>SUM(T39:T89)</f>
        <v>0</v>
      </c>
      <c r="U96" s="4"/>
      <c r="W96" s="4"/>
    </row>
    <row r="97" spans="1:21" x14ac:dyDescent="0.3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3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/>
      <c r="R98" s="4" t="s">
        <v>64</v>
      </c>
      <c r="S98" s="4"/>
      <c r="T98" s="4"/>
      <c r="U98" s="4"/>
    </row>
    <row r="99" spans="1:21" x14ac:dyDescent="0.3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3">
      <c r="A100" s="5" t="s">
        <v>212</v>
      </c>
      <c r="B100" s="6">
        <v>12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12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3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3">
      <c r="A102" s="5" t="s">
        <v>191</v>
      </c>
      <c r="B102" s="6">
        <v>2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2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3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3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/>
    </row>
    <row r="105" spans="1:21" x14ac:dyDescent="0.3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/>
    </row>
    <row r="106" spans="1:21" x14ac:dyDescent="0.3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3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3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3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3">
      <c r="A110" s="5" t="s">
        <v>68</v>
      </c>
      <c r="B110" s="6">
        <v>3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3</v>
      </c>
      <c r="O110" s="7">
        <f t="shared" si="1"/>
        <v>0</v>
      </c>
      <c r="P110" s="7" t="s">
        <v>247</v>
      </c>
    </row>
    <row r="111" spans="1:21" x14ac:dyDescent="0.3">
      <c r="A111" s="5" t="s">
        <v>311</v>
      </c>
      <c r="B111" s="6">
        <v>1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1</v>
      </c>
      <c r="O111" s="7">
        <f t="shared" ref="O111:O183" si="5">E111*L111+F111*M111</f>
        <v>0</v>
      </c>
      <c r="P111" s="7"/>
    </row>
    <row r="112" spans="1:21" x14ac:dyDescent="0.3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3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3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3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3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3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3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3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3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3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3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3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3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3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3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3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3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x14ac:dyDescent="0.3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3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3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3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3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3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3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3">
      <c r="A136" s="5" t="s">
        <v>81</v>
      </c>
      <c r="B136" s="6">
        <v>3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3</v>
      </c>
      <c r="O136" s="7">
        <f t="shared" si="5"/>
        <v>0</v>
      </c>
      <c r="P136" s="7"/>
    </row>
    <row r="137" spans="1:16" x14ac:dyDescent="0.3">
      <c r="A137" s="5" t="s">
        <v>162</v>
      </c>
      <c r="B137" s="6">
        <v>8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8</v>
      </c>
      <c r="O137" s="7">
        <f t="shared" si="5"/>
        <v>0</v>
      </c>
      <c r="P137" s="7">
        <v>-1</v>
      </c>
    </row>
    <row r="138" spans="1:16" x14ac:dyDescent="0.3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3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3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3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3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3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3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3">
      <c r="A145" s="5" t="s">
        <v>273</v>
      </c>
      <c r="B145" s="6">
        <v>4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4</v>
      </c>
      <c r="O145" s="7">
        <f t="shared" si="5"/>
        <v>0</v>
      </c>
      <c r="P145" s="7">
        <v>-1</v>
      </c>
    </row>
    <row r="146" spans="1:16" x14ac:dyDescent="0.3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3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3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3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3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3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3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3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3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3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3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3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3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>
        <v>-1</v>
      </c>
    </row>
    <row r="159" spans="1:16" x14ac:dyDescent="0.3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>
        <v>-1</v>
      </c>
    </row>
    <row r="160" spans="1:16" x14ac:dyDescent="0.3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3">
      <c r="A161" s="5" t="s">
        <v>193</v>
      </c>
      <c r="B161" s="6">
        <v>1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1</v>
      </c>
      <c r="O161" s="7">
        <f t="shared" si="5"/>
        <v>0</v>
      </c>
      <c r="P161" s="7"/>
    </row>
    <row r="162" spans="1:16" x14ac:dyDescent="0.3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3">
      <c r="A163" s="5" t="s">
        <v>90</v>
      </c>
      <c r="B163" s="6">
        <v>12</v>
      </c>
      <c r="C163" s="7"/>
      <c r="D163" s="7"/>
      <c r="E163" s="8"/>
      <c r="F163" s="8"/>
      <c r="G163" s="9">
        <v>2500</v>
      </c>
      <c r="H163" s="26">
        <f t="shared" si="6"/>
        <v>0</v>
      </c>
      <c r="I163" s="7"/>
      <c r="J163" s="7"/>
      <c r="K163" s="7"/>
      <c r="L163" s="7">
        <v>260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3">
      <c r="A164" s="5" t="s">
        <v>292</v>
      </c>
      <c r="B164" s="6">
        <v>23</v>
      </c>
      <c r="C164" s="7"/>
      <c r="D164" s="7"/>
      <c r="E164" s="8"/>
      <c r="F164" s="8"/>
      <c r="G164" s="9">
        <v>2500</v>
      </c>
      <c r="H164" s="26">
        <f t="shared" si="6"/>
        <v>0</v>
      </c>
      <c r="I164" s="7"/>
      <c r="J164" s="7"/>
      <c r="K164" s="7"/>
      <c r="L164" s="7">
        <v>260</v>
      </c>
      <c r="M164" s="7">
        <v>155</v>
      </c>
      <c r="N164" s="7">
        <f t="shared" si="7"/>
        <v>23</v>
      </c>
      <c r="O164" s="7">
        <f t="shared" si="5"/>
        <v>0</v>
      </c>
      <c r="P164" s="7"/>
    </row>
    <row r="165" spans="1:16" x14ac:dyDescent="0.3">
      <c r="A165" s="5" t="s">
        <v>297</v>
      </c>
      <c r="B165" s="6">
        <v>91</v>
      </c>
      <c r="C165" s="7"/>
      <c r="D165" s="7"/>
      <c r="E165" s="8"/>
      <c r="F165" s="8"/>
      <c r="G165" s="9">
        <v>2500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3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3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3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3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3">
      <c r="A170" s="5" t="s">
        <v>234</v>
      </c>
      <c r="B170" s="6">
        <v>3</v>
      </c>
      <c r="C170" s="7"/>
      <c r="D170" s="7"/>
      <c r="E170" s="8">
        <v>1</v>
      </c>
      <c r="F170" s="8"/>
      <c r="G170" s="9">
        <v>4000</v>
      </c>
      <c r="H170" s="26">
        <f t="shared" si="6"/>
        <v>4000</v>
      </c>
      <c r="I170" s="7">
        <v>700</v>
      </c>
      <c r="J170" s="7">
        <v>385</v>
      </c>
      <c r="K170" s="7"/>
      <c r="L170" s="7">
        <v>400</v>
      </c>
      <c r="M170" s="7"/>
      <c r="N170" s="7">
        <f t="shared" si="7"/>
        <v>2</v>
      </c>
      <c r="O170" s="7">
        <f t="shared" si="5"/>
        <v>400</v>
      </c>
      <c r="P170" s="7"/>
    </row>
    <row r="171" spans="1:16" x14ac:dyDescent="0.3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3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3">
      <c r="A173" s="5" t="s">
        <v>93</v>
      </c>
      <c r="B173" s="6">
        <v>2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2</v>
      </c>
      <c r="O173" s="7">
        <f t="shared" si="5"/>
        <v>0</v>
      </c>
      <c r="P173" s="7"/>
    </row>
    <row r="174" spans="1:16" x14ac:dyDescent="0.3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3">
      <c r="A175" s="5" t="s">
        <v>222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3">
      <c r="A176" s="5" t="s">
        <v>309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3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3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3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3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3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3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3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3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3">
      <c r="A185" s="5" t="s">
        <v>98</v>
      </c>
      <c r="B185" s="6">
        <v>0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0</v>
      </c>
      <c r="O185" s="7">
        <f t="shared" si="8"/>
        <v>0</v>
      </c>
      <c r="P185" s="7"/>
    </row>
    <row r="186" spans="1:16" x14ac:dyDescent="0.3">
      <c r="A186" s="5" t="s">
        <v>189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260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3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3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3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3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3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3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3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3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3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3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3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3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3">
      <c r="A199" s="5" t="s">
        <v>262</v>
      </c>
      <c r="B199" s="6">
        <v>3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3</v>
      </c>
      <c r="O199" s="7">
        <f t="shared" si="8"/>
        <v>0</v>
      </c>
      <c r="P199" s="7"/>
    </row>
    <row r="200" spans="1:16" x14ac:dyDescent="0.3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3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3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3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3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3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3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3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3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3">
      <c r="A209" s="5" t="s">
        <v>264</v>
      </c>
      <c r="B209" s="6">
        <v>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2</v>
      </c>
      <c r="O209" s="7">
        <f t="shared" si="8"/>
        <v>0</v>
      </c>
      <c r="P209" s="7"/>
    </row>
    <row r="210" spans="1:16" x14ac:dyDescent="0.3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3">
      <c r="A211" s="5" t="s">
        <v>104</v>
      </c>
      <c r="B211" s="6">
        <v>2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70</v>
      </c>
      <c r="M211" s="7"/>
      <c r="N211" s="7">
        <f t="shared" si="7"/>
        <v>2</v>
      </c>
      <c r="O211" s="7">
        <f t="shared" si="8"/>
        <v>0</v>
      </c>
      <c r="P211" s="7"/>
    </row>
    <row r="212" spans="1:16" x14ac:dyDescent="0.3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3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3">
      <c r="A214" s="5" t="s">
        <v>266</v>
      </c>
      <c r="B214" s="6">
        <v>6</v>
      </c>
      <c r="C214" s="10"/>
      <c r="D214" s="7"/>
      <c r="E214" s="8"/>
      <c r="F214" s="8"/>
      <c r="G214" s="9">
        <v>1000</v>
      </c>
      <c r="H214" s="26">
        <f t="shared" si="6"/>
        <v>0</v>
      </c>
      <c r="I214" s="7"/>
      <c r="J214" s="7"/>
      <c r="K214" s="7"/>
      <c r="L214" s="7">
        <v>75</v>
      </c>
      <c r="M214" s="7"/>
      <c r="N214" s="7">
        <f t="shared" si="7"/>
        <v>6</v>
      </c>
      <c r="O214" s="7">
        <f t="shared" si="8"/>
        <v>0</v>
      </c>
      <c r="P214" s="7"/>
    </row>
    <row r="215" spans="1:16" x14ac:dyDescent="0.3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3">
      <c r="A216" s="5" t="s">
        <v>265</v>
      </c>
      <c r="B216" s="6">
        <v>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5</v>
      </c>
      <c r="O216" s="7">
        <f t="shared" si="8"/>
        <v>0</v>
      </c>
      <c r="P216" s="7"/>
    </row>
    <row r="217" spans="1:16" x14ac:dyDescent="0.3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/>
    </row>
    <row r="218" spans="1:16" x14ac:dyDescent="0.3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3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3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3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3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3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3">
      <c r="A224" s="5" t="s">
        <v>206</v>
      </c>
      <c r="B224" s="6">
        <v>52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52</v>
      </c>
      <c r="O224" s="7"/>
      <c r="P224" s="7"/>
    </row>
    <row r="225" spans="1:16" x14ac:dyDescent="0.3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3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3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3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3">
      <c r="A229" s="12" t="s">
        <v>107</v>
      </c>
      <c r="B229" s="13">
        <v>949</v>
      </c>
      <c r="C229" s="14"/>
      <c r="D229" s="14"/>
      <c r="E229" s="15"/>
      <c r="F229" s="15"/>
      <c r="G229" s="16"/>
      <c r="H229" s="27">
        <f>SUM(H2:H219)</f>
        <v>4000</v>
      </c>
      <c r="I229" s="17">
        <f>SUM(I2:I218)</f>
        <v>700</v>
      </c>
      <c r="J229" s="17"/>
      <c r="K229" s="17">
        <f>SUM(K2:K218)</f>
        <v>0</v>
      </c>
      <c r="L229" s="17"/>
      <c r="M229" s="17"/>
      <c r="N229" s="17">
        <f>SUM(N2:N228)</f>
        <v>947</v>
      </c>
      <c r="O229" s="17">
        <f>SUM(O2:O228)</f>
        <v>1700</v>
      </c>
      <c r="P229" s="17">
        <f>SUM(P2:P228)</f>
        <v>-10</v>
      </c>
    </row>
    <row r="230" spans="1:16" x14ac:dyDescent="0.3">
      <c r="A230" s="18" t="s">
        <v>108</v>
      </c>
      <c r="B230" s="18">
        <f>O229</f>
        <v>1700</v>
      </c>
      <c r="C230" s="2" t="s">
        <v>109</v>
      </c>
      <c r="D230" s="2" t="s">
        <v>110</v>
      </c>
      <c r="N230" s="29"/>
    </row>
    <row r="231" spans="1:16" x14ac:dyDescent="0.3">
      <c r="A231" s="19" t="s">
        <v>111</v>
      </c>
      <c r="B231" s="20">
        <f>(C231+D231)/670</f>
        <v>14.626865671641792</v>
      </c>
      <c r="C231" s="8">
        <v>9800</v>
      </c>
      <c r="D231" s="8"/>
    </row>
    <row r="232" spans="1:16" x14ac:dyDescent="0.3">
      <c r="A232" s="19" t="s">
        <v>14</v>
      </c>
      <c r="B232" s="21">
        <v>150</v>
      </c>
      <c r="C232" s="8" t="s">
        <v>126</v>
      </c>
      <c r="D232" s="8"/>
    </row>
    <row r="233" spans="1:16" x14ac:dyDescent="0.3">
      <c r="A233" s="19" t="s">
        <v>112</v>
      </c>
      <c r="B233" s="20">
        <f>D233/670</f>
        <v>0</v>
      </c>
      <c r="C233" s="8"/>
      <c r="D233" s="8"/>
    </row>
    <row r="234" spans="1:16" x14ac:dyDescent="0.3">
      <c r="A234" s="19" t="s">
        <v>113</v>
      </c>
      <c r="B234" s="20"/>
      <c r="C234" s="8"/>
      <c r="D234" s="8"/>
    </row>
    <row r="235" spans="1:16" x14ac:dyDescent="0.3">
      <c r="A235" s="12" t="s">
        <v>114</v>
      </c>
      <c r="B235" s="22">
        <f>B230+B231+B233+B234+B232</f>
        <v>1864.6268656716418</v>
      </c>
      <c r="C235" s="8"/>
      <c r="D235" s="8"/>
    </row>
    <row r="236" spans="1:16" x14ac:dyDescent="0.3">
      <c r="A236" s="19" t="s">
        <v>6</v>
      </c>
      <c r="B236" s="20">
        <f>D236/670</f>
        <v>0</v>
      </c>
      <c r="C236" s="8"/>
      <c r="D236" s="8"/>
    </row>
    <row r="237" spans="1:16" x14ac:dyDescent="0.3">
      <c r="A237" s="19" t="s">
        <v>115</v>
      </c>
      <c r="B237" s="20">
        <f>C237/670</f>
        <v>1.044776119402985</v>
      </c>
      <c r="C237" s="8">
        <v>700</v>
      </c>
      <c r="D237" s="8"/>
    </row>
    <row r="238" spans="1:16" x14ac:dyDescent="0.3">
      <c r="A238" s="19" t="s">
        <v>64</v>
      </c>
      <c r="B238" s="20">
        <f>C238/670</f>
        <v>2.9850746268656718</v>
      </c>
      <c r="C238" s="8">
        <v>2000</v>
      </c>
      <c r="D238" s="8"/>
    </row>
    <row r="239" spans="1:16" x14ac:dyDescent="0.3">
      <c r="A239" s="19" t="s">
        <v>116</v>
      </c>
      <c r="B239" s="20"/>
      <c r="C239" s="8"/>
      <c r="D239" s="8"/>
    </row>
    <row r="240" spans="1:16" x14ac:dyDescent="0.3">
      <c r="A240" s="12" t="s">
        <v>117</v>
      </c>
      <c r="B240" s="20">
        <f>B236+B237+B238+B239</f>
        <v>4.0298507462686572</v>
      </c>
      <c r="C240" s="8"/>
      <c r="D240" s="8"/>
    </row>
    <row r="241" spans="1:6" x14ac:dyDescent="0.3">
      <c r="A241" s="12" t="s">
        <v>118</v>
      </c>
      <c r="B241" s="22">
        <f>B235-B240</f>
        <v>1860.5970149253731</v>
      </c>
      <c r="C241" s="8"/>
      <c r="D241" s="8"/>
    </row>
    <row r="242" spans="1:6" x14ac:dyDescent="0.3">
      <c r="A242" s="19" t="s">
        <v>119</v>
      </c>
      <c r="B242" s="20">
        <f>C242/670</f>
        <v>0</v>
      </c>
      <c r="C242" s="8"/>
      <c r="D242" s="8"/>
    </row>
    <row r="243" spans="1:6" x14ac:dyDescent="0.3">
      <c r="A243" s="19" t="s">
        <v>120</v>
      </c>
      <c r="B243" s="20"/>
      <c r="C243" s="8"/>
      <c r="D243" s="8"/>
    </row>
    <row r="244" spans="1:6" x14ac:dyDescent="0.3">
      <c r="A244" s="19" t="s">
        <v>121</v>
      </c>
      <c r="B244" s="20">
        <f>C244/2</f>
        <v>0</v>
      </c>
      <c r="C244" s="8"/>
      <c r="D244" s="8"/>
    </row>
    <row r="245" spans="1:6" x14ac:dyDescent="0.3">
      <c r="A245" s="12" t="s">
        <v>122</v>
      </c>
      <c r="B245" s="22">
        <f>B242+B243+B244</f>
        <v>0</v>
      </c>
      <c r="C245" s="8"/>
      <c r="D245" s="8"/>
    </row>
    <row r="246" spans="1:6" x14ac:dyDescent="0.3">
      <c r="A246" s="19" t="s">
        <v>123</v>
      </c>
      <c r="B246" s="20">
        <v>1850</v>
      </c>
      <c r="C246" s="8"/>
      <c r="D246" s="8"/>
    </row>
    <row r="247" spans="1:6" x14ac:dyDescent="0.3">
      <c r="A247" s="19" t="s">
        <v>36</v>
      </c>
      <c r="B247" s="20"/>
      <c r="C247" s="8"/>
      <c r="D247" s="8"/>
    </row>
    <row r="248" spans="1:6" x14ac:dyDescent="0.3">
      <c r="A248" s="19" t="s">
        <v>124</v>
      </c>
      <c r="B248" s="20">
        <f>C248/2.3</f>
        <v>0</v>
      </c>
      <c r="C248" s="8"/>
      <c r="D248" s="8"/>
    </row>
    <row r="249" spans="1:6" x14ac:dyDescent="0.3">
      <c r="A249" s="19" t="s">
        <v>125</v>
      </c>
      <c r="B249" s="20">
        <f>C249/670</f>
        <v>10.597014925373134</v>
      </c>
      <c r="C249" s="8">
        <v>7100</v>
      </c>
      <c r="D249" s="8"/>
      <c r="F249" t="s">
        <v>126</v>
      </c>
    </row>
    <row r="250" spans="1:6" x14ac:dyDescent="0.3">
      <c r="A250" s="19" t="s">
        <v>127</v>
      </c>
      <c r="B250" s="20">
        <f>D250/670</f>
        <v>0</v>
      </c>
      <c r="C250" s="8"/>
      <c r="D250" s="8"/>
    </row>
    <row r="251" spans="1:6" x14ac:dyDescent="0.3">
      <c r="A251" s="12" t="s">
        <v>128</v>
      </c>
      <c r="B251" s="22">
        <f>B246+B247+B248+B249+B250</f>
        <v>1860.5970149253731</v>
      </c>
      <c r="C251" s="8"/>
      <c r="D251" s="8"/>
    </row>
    <row r="252" spans="1:6" x14ac:dyDescent="0.3">
      <c r="A252" s="19" t="s">
        <v>129</v>
      </c>
      <c r="B252" s="20">
        <f>C252/670</f>
        <v>0</v>
      </c>
      <c r="C252" s="8"/>
      <c r="D252" s="8"/>
    </row>
    <row r="253" spans="1:6" x14ac:dyDescent="0.3">
      <c r="A253" s="12" t="s">
        <v>107</v>
      </c>
      <c r="B253" s="22">
        <f>B252</f>
        <v>0</v>
      </c>
      <c r="C253" s="8"/>
      <c r="D253" s="8"/>
    </row>
    <row r="254" spans="1:6" x14ac:dyDescent="0.3">
      <c r="A254" s="12" t="s">
        <v>130</v>
      </c>
      <c r="B254" s="20">
        <f>B241-B245-B251-B253</f>
        <v>0</v>
      </c>
      <c r="C254" s="8" t="s">
        <v>126</v>
      </c>
      <c r="D254" s="8"/>
    </row>
    <row r="256" spans="1:6" x14ac:dyDescent="0.3">
      <c r="A256" s="12" t="s">
        <v>131</v>
      </c>
      <c r="B256" s="23" t="s">
        <v>10</v>
      </c>
    </row>
    <row r="257" spans="1:2" x14ac:dyDescent="0.3">
      <c r="A257" s="12" t="s">
        <v>132</v>
      </c>
      <c r="B257" s="7"/>
    </row>
    <row r="258" spans="1:2" x14ac:dyDescent="0.3">
      <c r="A258" s="19" t="s">
        <v>133</v>
      </c>
      <c r="B258" s="7"/>
    </row>
    <row r="259" spans="1:2" x14ac:dyDescent="0.3">
      <c r="A259" s="12" t="s">
        <v>134</v>
      </c>
      <c r="B259" s="17">
        <f>B257-B258</f>
        <v>0</v>
      </c>
    </row>
    <row r="260" spans="1:2" x14ac:dyDescent="0.3">
      <c r="A260" s="12" t="s">
        <v>135</v>
      </c>
      <c r="B260" s="17">
        <f>B261+B262+B263+B264+B265+B266+B267+B268</f>
        <v>0</v>
      </c>
    </row>
    <row r="261" spans="1:2" x14ac:dyDescent="0.3">
      <c r="A261" s="19" t="s">
        <v>136</v>
      </c>
      <c r="B261" s="7"/>
    </row>
    <row r="262" spans="1:2" x14ac:dyDescent="0.3">
      <c r="A262" s="19" t="s">
        <v>137</v>
      </c>
      <c r="B262" s="7"/>
    </row>
    <row r="263" spans="1:2" x14ac:dyDescent="0.3">
      <c r="A263" s="19" t="s">
        <v>138</v>
      </c>
      <c r="B263" s="7"/>
    </row>
    <row r="264" spans="1:2" x14ac:dyDescent="0.3">
      <c r="A264" s="19" t="s">
        <v>139</v>
      </c>
      <c r="B264" s="7"/>
    </row>
    <row r="265" spans="1:2" x14ac:dyDescent="0.3">
      <c r="A265" s="19" t="s">
        <v>140</v>
      </c>
      <c r="B265" s="7"/>
    </row>
    <row r="266" spans="1:2" x14ac:dyDescent="0.3">
      <c r="A266" s="19" t="s">
        <v>141</v>
      </c>
      <c r="B266" s="7"/>
    </row>
    <row r="267" spans="1:2" x14ac:dyDescent="0.3">
      <c r="A267" s="19" t="s">
        <v>142</v>
      </c>
      <c r="B267" s="7"/>
    </row>
    <row r="268" spans="1:2" x14ac:dyDescent="0.3">
      <c r="A268" s="19" t="s">
        <v>143</v>
      </c>
      <c r="B268" s="7"/>
    </row>
    <row r="269" spans="1:2" x14ac:dyDescent="0.3">
      <c r="A269" s="12" t="s">
        <v>144</v>
      </c>
      <c r="B269" s="17">
        <f>B270+B271+B272</f>
        <v>0</v>
      </c>
    </row>
    <row r="270" spans="1:2" x14ac:dyDescent="0.3">
      <c r="A270" s="19" t="s">
        <v>145</v>
      </c>
      <c r="B270" s="7"/>
    </row>
    <row r="271" spans="1:2" x14ac:dyDescent="0.3">
      <c r="A271" s="19" t="s">
        <v>146</v>
      </c>
      <c r="B271" s="7"/>
    </row>
    <row r="272" spans="1:2" x14ac:dyDescent="0.3">
      <c r="A272" s="19" t="s">
        <v>147</v>
      </c>
      <c r="B272" s="7"/>
    </row>
    <row r="273" spans="1:5" x14ac:dyDescent="0.3">
      <c r="A273" s="12" t="s">
        <v>148</v>
      </c>
      <c r="B273" s="17">
        <f>B259-B260-B269</f>
        <v>0</v>
      </c>
    </row>
    <row r="279" spans="1:5" x14ac:dyDescent="0.3">
      <c r="A279" s="24"/>
    </row>
    <row r="280" spans="1:5" x14ac:dyDescent="0.3">
      <c r="A280" s="24"/>
    </row>
    <row r="281" spans="1:5" x14ac:dyDescent="0.3">
      <c r="A281" s="24"/>
    </row>
    <row r="282" spans="1:5" x14ac:dyDescent="0.3">
      <c r="A282" s="24"/>
    </row>
    <row r="283" spans="1:5" x14ac:dyDescent="0.3">
      <c r="A283" s="24"/>
    </row>
    <row r="284" spans="1:5" x14ac:dyDescent="0.3">
      <c r="A284" s="24"/>
    </row>
    <row r="285" spans="1:5" x14ac:dyDescent="0.3">
      <c r="A285" s="24"/>
    </row>
    <row r="286" spans="1:5" x14ac:dyDescent="0.3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A0A2-6615-407C-9BE0-88415745C77C}">
  <dimension ref="A1:Y286"/>
  <sheetViews>
    <sheetView zoomScale="80" zoomScaleNormal="80" workbookViewId="0">
      <pane ySplit="1" topLeftCell="A209" activePane="bottomLeft" state="frozen"/>
      <selection pane="bottomLeft" activeCell="F232" sqref="F232"/>
    </sheetView>
  </sheetViews>
  <sheetFormatPr baseColWidth="10" defaultRowHeight="14.4" x14ac:dyDescent="0.3"/>
  <cols>
    <col min="1" max="1" width="54.5546875" customWidth="1"/>
    <col min="3" max="3" width="20" customWidth="1"/>
    <col min="4" max="4" width="11.109375" customWidth="1"/>
    <col min="5" max="6" width="8.33203125" customWidth="1"/>
    <col min="7" max="7" width="12.33203125" customWidth="1"/>
    <col min="8" max="8" width="15" customWidth="1"/>
    <col min="9" max="9" width="12.6640625" customWidth="1"/>
    <col min="10" max="10" width="9.33203125" customWidth="1"/>
    <col min="11" max="11" width="9.109375" customWidth="1"/>
    <col min="12" max="12" width="11.33203125" customWidth="1"/>
    <col min="13" max="13" width="11.109375" customWidth="1"/>
    <col min="14" max="14" width="8.33203125" customWidth="1"/>
    <col min="15" max="15" width="9.6640625" customWidth="1"/>
    <col min="16" max="16" width="18.5546875" customWidth="1"/>
    <col min="18" max="18" width="13" customWidth="1"/>
    <col min="19" max="19" width="15.6640625" customWidth="1"/>
    <col min="21" max="21" width="17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3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3">
      <c r="A3" s="5" t="s">
        <v>270</v>
      </c>
      <c r="B3" s="6">
        <v>93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27.61</v>
      </c>
      <c r="M3" s="7"/>
      <c r="N3" s="7">
        <f>B3+C3-D3-E3-F3</f>
        <v>93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3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3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3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3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500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3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3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3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3">
      <c r="A11" s="5" t="s">
        <v>214</v>
      </c>
      <c r="B11" s="6">
        <v>1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1</v>
      </c>
      <c r="O11" s="7">
        <f t="shared" si="1"/>
        <v>0</v>
      </c>
      <c r="P11" s="7">
        <v>-1</v>
      </c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3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3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3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3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/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5" t="s">
        <v>307</v>
      </c>
      <c r="B28" s="6">
        <v>4</v>
      </c>
      <c r="C28" s="7"/>
      <c r="D28" s="7"/>
      <c r="E28" s="8">
        <v>1</v>
      </c>
      <c r="F28" s="8"/>
      <c r="G28" s="9">
        <v>2000</v>
      </c>
      <c r="H28" s="26">
        <f t="shared" si="0"/>
        <v>2000</v>
      </c>
      <c r="I28" s="7">
        <v>1500</v>
      </c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185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5" t="s">
        <v>263</v>
      </c>
      <c r="B31" s="6">
        <v>1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1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5" t="s">
        <v>294</v>
      </c>
      <c r="B33" s="6">
        <v>10</v>
      </c>
      <c r="C33" s="7"/>
      <c r="D33" s="7"/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10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3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3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3">
      <c r="A36" s="5" t="s">
        <v>287</v>
      </c>
      <c r="B36" s="6">
        <v>12</v>
      </c>
      <c r="C36" s="7"/>
      <c r="D36" s="7"/>
      <c r="E36" s="8"/>
      <c r="F36" s="8"/>
      <c r="G36" s="9"/>
      <c r="H36" s="26"/>
      <c r="I36" s="7"/>
      <c r="J36" s="7"/>
      <c r="K36" s="7"/>
      <c r="L36" s="7">
        <v>20</v>
      </c>
      <c r="M36" s="7"/>
      <c r="N36" s="7">
        <f t="shared" si="2"/>
        <v>12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3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3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3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3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3">
      <c r="A41" s="5" t="s">
        <v>235</v>
      </c>
      <c r="B41" s="6">
        <v>5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5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3">
      <c r="A42" s="5" t="s">
        <v>38</v>
      </c>
      <c r="B42" s="6">
        <v>7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7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3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3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3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3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3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3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3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3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3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3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3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3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3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3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3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3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247</v>
      </c>
      <c r="R58" s="4"/>
      <c r="S58" s="4"/>
      <c r="T58" s="4"/>
      <c r="U58" s="4"/>
    </row>
    <row r="59" spans="1:21" x14ac:dyDescent="0.3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3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3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3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3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3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3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3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3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3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3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3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3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3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3">
      <c r="A73" s="5" t="s">
        <v>211</v>
      </c>
      <c r="B73" s="6">
        <v>2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2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3">
      <c r="A74" s="5" t="s">
        <v>54</v>
      </c>
      <c r="B74" s="6">
        <v>3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3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3">
      <c r="A75" s="5" t="s">
        <v>55</v>
      </c>
      <c r="B75" s="6">
        <v>1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1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3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3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3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3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3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3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3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3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3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3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3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3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3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3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3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3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3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3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3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3">
      <c r="A95" s="5" t="s">
        <v>312</v>
      </c>
      <c r="B95" s="6">
        <v>2</v>
      </c>
      <c r="C95" s="10"/>
      <c r="D95" s="7"/>
      <c r="E95" s="8">
        <v>1</v>
      </c>
      <c r="F95" s="8"/>
      <c r="G95" s="9">
        <v>3000</v>
      </c>
      <c r="H95" s="26">
        <f t="shared" si="3"/>
        <v>3000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180</v>
      </c>
      <c r="P95" s="7"/>
      <c r="R95" s="4"/>
      <c r="S95" s="4"/>
      <c r="T95" s="4"/>
      <c r="U95" s="4"/>
      <c r="W95" s="4"/>
    </row>
    <row r="96" spans="1:23" x14ac:dyDescent="0.3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/>
      <c r="R96" s="4"/>
      <c r="S96" s="4"/>
      <c r="T96" s="4">
        <f>SUM(T39:T89)</f>
        <v>0</v>
      </c>
      <c r="U96" s="4"/>
      <c r="W96" s="4"/>
    </row>
    <row r="97" spans="1:21" x14ac:dyDescent="0.3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3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/>
      <c r="R98" s="4" t="s">
        <v>64</v>
      </c>
      <c r="S98" s="4"/>
      <c r="T98" s="4"/>
      <c r="U98" s="4"/>
    </row>
    <row r="99" spans="1:21" x14ac:dyDescent="0.3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3">
      <c r="A100" s="5" t="s">
        <v>212</v>
      </c>
      <c r="B100" s="6">
        <v>12</v>
      </c>
      <c r="C100" s="10"/>
      <c r="D100" s="7"/>
      <c r="E100" s="8">
        <v>1</v>
      </c>
      <c r="F100" s="8"/>
      <c r="G100" s="9">
        <v>3000</v>
      </c>
      <c r="H100" s="26">
        <f t="shared" si="3"/>
        <v>3000</v>
      </c>
      <c r="I100" s="7">
        <v>700</v>
      </c>
      <c r="J100" s="7">
        <v>190</v>
      </c>
      <c r="K100" s="7"/>
      <c r="L100" s="7">
        <v>200</v>
      </c>
      <c r="M100" s="7"/>
      <c r="N100" s="7">
        <f t="shared" si="4"/>
        <v>11</v>
      </c>
      <c r="O100" s="7">
        <f t="shared" si="1"/>
        <v>200</v>
      </c>
      <c r="P100" s="7"/>
      <c r="R100" s="4"/>
      <c r="S100" s="4"/>
      <c r="T100" s="4"/>
      <c r="U100" s="4"/>
    </row>
    <row r="101" spans="1:21" x14ac:dyDescent="0.3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3">
      <c r="A102" s="5" t="s">
        <v>191</v>
      </c>
      <c r="B102" s="6">
        <v>2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2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3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3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/>
    </row>
    <row r="105" spans="1:21" x14ac:dyDescent="0.3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/>
    </row>
    <row r="106" spans="1:21" x14ac:dyDescent="0.3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3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3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3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3">
      <c r="A110" s="5" t="s">
        <v>68</v>
      </c>
      <c r="B110" s="6">
        <v>3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3</v>
      </c>
      <c r="O110" s="7">
        <f t="shared" si="1"/>
        <v>0</v>
      </c>
      <c r="P110" s="7" t="s">
        <v>247</v>
      </c>
    </row>
    <row r="111" spans="1:21" x14ac:dyDescent="0.3">
      <c r="A111" s="5" t="s">
        <v>311</v>
      </c>
      <c r="B111" s="6">
        <v>1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1</v>
      </c>
      <c r="O111" s="7">
        <f t="shared" ref="O111:O183" si="5">E111*L111+F111*M111</f>
        <v>0</v>
      </c>
      <c r="P111" s="7"/>
    </row>
    <row r="112" spans="1:21" x14ac:dyDescent="0.3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3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3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3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3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3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3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3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3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3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3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3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3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3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3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3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3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x14ac:dyDescent="0.3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3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3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3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3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3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3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3">
      <c r="A136" s="5" t="s">
        <v>81</v>
      </c>
      <c r="B136" s="6">
        <v>3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3</v>
      </c>
      <c r="O136" s="7">
        <f t="shared" si="5"/>
        <v>0</v>
      </c>
      <c r="P136" s="7"/>
    </row>
    <row r="137" spans="1:16" x14ac:dyDescent="0.3">
      <c r="A137" s="5" t="s">
        <v>162</v>
      </c>
      <c r="B137" s="6">
        <v>8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8</v>
      </c>
      <c r="O137" s="7">
        <f t="shared" si="5"/>
        <v>0</v>
      </c>
      <c r="P137" s="7">
        <v>-1</v>
      </c>
    </row>
    <row r="138" spans="1:16" x14ac:dyDescent="0.3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3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3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3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3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3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3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3">
      <c r="A145" s="5" t="s">
        <v>273</v>
      </c>
      <c r="B145" s="6">
        <v>4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4</v>
      </c>
      <c r="O145" s="7">
        <f t="shared" si="5"/>
        <v>0</v>
      </c>
      <c r="P145" s="7">
        <v>-1</v>
      </c>
    </row>
    <row r="146" spans="1:16" x14ac:dyDescent="0.3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3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3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3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3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3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3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3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3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3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3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3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3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>
        <v>-1</v>
      </c>
    </row>
    <row r="159" spans="1:16" x14ac:dyDescent="0.3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>
        <v>-1</v>
      </c>
    </row>
    <row r="160" spans="1:16" x14ac:dyDescent="0.3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3">
      <c r="A161" s="5" t="s">
        <v>193</v>
      </c>
      <c r="B161" s="6">
        <v>1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1</v>
      </c>
      <c r="O161" s="7">
        <f t="shared" si="5"/>
        <v>0</v>
      </c>
      <c r="P161" s="7"/>
    </row>
    <row r="162" spans="1:16" x14ac:dyDescent="0.3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3">
      <c r="A163" s="5" t="s">
        <v>90</v>
      </c>
      <c r="B163" s="6">
        <v>12</v>
      </c>
      <c r="C163" s="7"/>
      <c r="D163" s="7"/>
      <c r="E163" s="8"/>
      <c r="F163" s="8"/>
      <c r="G163" s="9">
        <v>2500</v>
      </c>
      <c r="H163" s="26">
        <f t="shared" si="6"/>
        <v>0</v>
      </c>
      <c r="I163" s="7"/>
      <c r="J163" s="7"/>
      <c r="K163" s="7"/>
      <c r="L163" s="7">
        <v>260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3">
      <c r="A164" s="5" t="s">
        <v>292</v>
      </c>
      <c r="B164" s="6">
        <v>23</v>
      </c>
      <c r="C164" s="7"/>
      <c r="D164" s="7"/>
      <c r="E164" s="8"/>
      <c r="F164" s="8"/>
      <c r="G164" s="9">
        <v>2500</v>
      </c>
      <c r="H164" s="26">
        <f t="shared" si="6"/>
        <v>0</v>
      </c>
      <c r="I164" s="7"/>
      <c r="J164" s="7"/>
      <c r="K164" s="7"/>
      <c r="L164" s="7">
        <v>260</v>
      </c>
      <c r="M164" s="7">
        <v>155</v>
      </c>
      <c r="N164" s="7">
        <f t="shared" si="7"/>
        <v>23</v>
      </c>
      <c r="O164" s="7">
        <f t="shared" si="5"/>
        <v>0</v>
      </c>
      <c r="P164" s="7"/>
    </row>
    <row r="165" spans="1:16" x14ac:dyDescent="0.3">
      <c r="A165" s="5" t="s">
        <v>297</v>
      </c>
      <c r="B165" s="6">
        <v>91</v>
      </c>
      <c r="C165" s="7"/>
      <c r="D165" s="7"/>
      <c r="E165" s="8"/>
      <c r="F165" s="8"/>
      <c r="G165" s="9">
        <v>2500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3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3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3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3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3">
      <c r="A170" s="5" t="s">
        <v>234</v>
      </c>
      <c r="B170" s="6">
        <v>2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2</v>
      </c>
      <c r="O170" s="7">
        <f t="shared" si="5"/>
        <v>0</v>
      </c>
      <c r="P170" s="7"/>
    </row>
    <row r="171" spans="1:16" x14ac:dyDescent="0.3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3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3">
      <c r="A173" s="5" t="s">
        <v>93</v>
      </c>
      <c r="B173" s="6">
        <v>2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2</v>
      </c>
      <c r="O173" s="7">
        <f t="shared" si="5"/>
        <v>0</v>
      </c>
      <c r="P173" s="7"/>
    </row>
    <row r="174" spans="1:16" x14ac:dyDescent="0.3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3">
      <c r="A175" s="5" t="s">
        <v>222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3">
      <c r="A176" s="5" t="s">
        <v>309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3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3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3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3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3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3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3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3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3">
      <c r="A185" s="5" t="s">
        <v>98</v>
      </c>
      <c r="B185" s="6">
        <v>0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0</v>
      </c>
      <c r="O185" s="7">
        <f t="shared" si="8"/>
        <v>0</v>
      </c>
      <c r="P185" s="7"/>
    </row>
    <row r="186" spans="1:16" x14ac:dyDescent="0.3">
      <c r="A186" s="5" t="s">
        <v>189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260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3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3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3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3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3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3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3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3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3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3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3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3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3">
      <c r="A199" s="5" t="s">
        <v>262</v>
      </c>
      <c r="B199" s="6">
        <v>3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3</v>
      </c>
      <c r="O199" s="7">
        <f t="shared" si="8"/>
        <v>0</v>
      </c>
      <c r="P199" s="7"/>
    </row>
    <row r="200" spans="1:16" x14ac:dyDescent="0.3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3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3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3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3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3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3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3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3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3">
      <c r="A209" s="5" t="s">
        <v>264</v>
      </c>
      <c r="B209" s="6">
        <v>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2</v>
      </c>
      <c r="O209" s="7">
        <f t="shared" si="8"/>
        <v>0</v>
      </c>
      <c r="P209" s="7"/>
    </row>
    <row r="210" spans="1:16" x14ac:dyDescent="0.3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3">
      <c r="A211" s="5" t="s">
        <v>104</v>
      </c>
      <c r="B211" s="6">
        <v>2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70</v>
      </c>
      <c r="M211" s="7"/>
      <c r="N211" s="7">
        <f t="shared" si="7"/>
        <v>2</v>
      </c>
      <c r="O211" s="7">
        <f t="shared" si="8"/>
        <v>0</v>
      </c>
      <c r="P211" s="7"/>
    </row>
    <row r="212" spans="1:16" x14ac:dyDescent="0.3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3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3">
      <c r="A214" s="5" t="s">
        <v>266</v>
      </c>
      <c r="B214" s="6">
        <v>6</v>
      </c>
      <c r="C214" s="10"/>
      <c r="D214" s="7"/>
      <c r="E214" s="8"/>
      <c r="F214" s="8"/>
      <c r="G214" s="9">
        <v>1000</v>
      </c>
      <c r="H214" s="26">
        <f t="shared" si="6"/>
        <v>0</v>
      </c>
      <c r="I214" s="7"/>
      <c r="J214" s="7"/>
      <c r="K214" s="7"/>
      <c r="L214" s="7">
        <v>75</v>
      </c>
      <c r="M214" s="7"/>
      <c r="N214" s="7">
        <f t="shared" si="7"/>
        <v>6</v>
      </c>
      <c r="O214" s="7">
        <f t="shared" si="8"/>
        <v>0</v>
      </c>
      <c r="P214" s="7"/>
    </row>
    <row r="215" spans="1:16" x14ac:dyDescent="0.3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3">
      <c r="A216" s="5" t="s">
        <v>265</v>
      </c>
      <c r="B216" s="6">
        <v>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5</v>
      </c>
      <c r="O216" s="7">
        <f t="shared" si="8"/>
        <v>0</v>
      </c>
      <c r="P216" s="7"/>
    </row>
    <row r="217" spans="1:16" x14ac:dyDescent="0.3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/>
    </row>
    <row r="218" spans="1:16" x14ac:dyDescent="0.3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3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3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3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3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3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3">
      <c r="A224" s="5" t="s">
        <v>206</v>
      </c>
      <c r="B224" s="6">
        <v>52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52</v>
      </c>
      <c r="O224" s="7"/>
      <c r="P224" s="7"/>
    </row>
    <row r="225" spans="1:16" x14ac:dyDescent="0.3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3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3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3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3">
      <c r="A229" s="12" t="s">
        <v>107</v>
      </c>
      <c r="B229" s="13">
        <v>947</v>
      </c>
      <c r="C229" s="14"/>
      <c r="D229" s="14"/>
      <c r="E229" s="15"/>
      <c r="F229" s="15"/>
      <c r="G229" s="16"/>
      <c r="H229" s="27">
        <f>SUM(H2:H219)</f>
        <v>8000</v>
      </c>
      <c r="I229" s="17">
        <f>SUM(I2:I218)</f>
        <v>2200</v>
      </c>
      <c r="J229" s="17"/>
      <c r="K229" s="17">
        <f>SUM(K2:K218)</f>
        <v>0</v>
      </c>
      <c r="L229" s="17"/>
      <c r="M229" s="17"/>
      <c r="N229" s="17">
        <f>SUM(N2:N228)</f>
        <v>944</v>
      </c>
      <c r="O229" s="17">
        <f>SUM(O2:O228)</f>
        <v>565</v>
      </c>
      <c r="P229" s="17">
        <f>SUM(P2:P228)</f>
        <v>-10</v>
      </c>
    </row>
    <row r="230" spans="1:16" x14ac:dyDescent="0.3">
      <c r="A230" s="18" t="s">
        <v>108</v>
      </c>
      <c r="B230" s="18">
        <f>O229</f>
        <v>565</v>
      </c>
      <c r="C230" s="2" t="s">
        <v>109</v>
      </c>
      <c r="D230" s="2" t="s">
        <v>110</v>
      </c>
      <c r="N230" s="29"/>
    </row>
    <row r="231" spans="1:16" x14ac:dyDescent="0.3">
      <c r="A231" s="19" t="s">
        <v>111</v>
      </c>
      <c r="B231" s="20">
        <f>(C231+D231)/670</f>
        <v>10.597014925373134</v>
      </c>
      <c r="C231" s="8">
        <v>7100</v>
      </c>
      <c r="D231" s="8"/>
    </row>
    <row r="232" spans="1:16" x14ac:dyDescent="0.3">
      <c r="A232" s="19" t="s">
        <v>14</v>
      </c>
      <c r="B232" s="21">
        <v>150</v>
      </c>
      <c r="C232" s="8" t="s">
        <v>126</v>
      </c>
      <c r="D232" s="8"/>
    </row>
    <row r="233" spans="1:16" x14ac:dyDescent="0.3">
      <c r="A233" s="19" t="s">
        <v>112</v>
      </c>
      <c r="B233" s="20">
        <f>D233/670</f>
        <v>0</v>
      </c>
      <c r="C233" s="8"/>
      <c r="D233" s="8"/>
    </row>
    <row r="234" spans="1:16" x14ac:dyDescent="0.3">
      <c r="A234" s="19" t="s">
        <v>113</v>
      </c>
      <c r="B234" s="20"/>
      <c r="C234" s="8"/>
      <c r="D234" s="8"/>
    </row>
    <row r="235" spans="1:16" x14ac:dyDescent="0.3">
      <c r="A235" s="12" t="s">
        <v>114</v>
      </c>
      <c r="B235" s="22">
        <f>B230+B231+B233+B234+B232</f>
        <v>725.59701492537317</v>
      </c>
      <c r="C235" s="8"/>
      <c r="D235" s="8"/>
    </row>
    <row r="236" spans="1:16" x14ac:dyDescent="0.3">
      <c r="A236" s="19" t="s">
        <v>6</v>
      </c>
      <c r="B236" s="20">
        <f>D236/670</f>
        <v>0</v>
      </c>
      <c r="C236" s="8"/>
      <c r="D236" s="8"/>
    </row>
    <row r="237" spans="1:16" x14ac:dyDescent="0.3">
      <c r="A237" s="19" t="s">
        <v>115</v>
      </c>
      <c r="B237" s="20">
        <f>C237/670</f>
        <v>3.283582089552239</v>
      </c>
      <c r="C237" s="8">
        <v>2200</v>
      </c>
      <c r="D237" s="8"/>
    </row>
    <row r="238" spans="1:16" x14ac:dyDescent="0.3">
      <c r="A238" s="19" t="s">
        <v>64</v>
      </c>
      <c r="B238" s="20">
        <f>C238/670</f>
        <v>5.2238805970149258</v>
      </c>
      <c r="C238" s="8">
        <v>3500</v>
      </c>
      <c r="D238" s="8"/>
    </row>
    <row r="239" spans="1:16" x14ac:dyDescent="0.3">
      <c r="A239" s="19" t="s">
        <v>116</v>
      </c>
      <c r="B239" s="20"/>
      <c r="C239" s="8"/>
      <c r="D239" s="8"/>
    </row>
    <row r="240" spans="1:16" x14ac:dyDescent="0.3">
      <c r="A240" s="12" t="s">
        <v>117</v>
      </c>
      <c r="B240" s="20">
        <f>B236+B237+B238+B239</f>
        <v>8.5074626865671643</v>
      </c>
      <c r="C240" s="8"/>
      <c r="D240" s="8"/>
    </row>
    <row r="241" spans="1:6" x14ac:dyDescent="0.3">
      <c r="A241" s="12" t="s">
        <v>118</v>
      </c>
      <c r="B241" s="22">
        <f>B235-B240</f>
        <v>717.08955223880605</v>
      </c>
      <c r="C241" s="8"/>
      <c r="D241" s="8"/>
    </row>
    <row r="242" spans="1:6" x14ac:dyDescent="0.3">
      <c r="A242" s="19" t="s">
        <v>119</v>
      </c>
      <c r="B242" s="20">
        <f>C242/670</f>
        <v>0</v>
      </c>
      <c r="C242" s="8"/>
      <c r="D242" s="8"/>
    </row>
    <row r="243" spans="1:6" x14ac:dyDescent="0.3">
      <c r="A243" s="19" t="s">
        <v>120</v>
      </c>
      <c r="B243" s="20"/>
      <c r="C243" s="8"/>
      <c r="D243" s="8"/>
    </row>
    <row r="244" spans="1:6" x14ac:dyDescent="0.3">
      <c r="A244" s="19" t="s">
        <v>121</v>
      </c>
      <c r="B244" s="20">
        <f>C244/2</f>
        <v>0</v>
      </c>
      <c r="C244" s="8"/>
      <c r="D244" s="8"/>
    </row>
    <row r="245" spans="1:6" x14ac:dyDescent="0.3">
      <c r="A245" s="12" t="s">
        <v>122</v>
      </c>
      <c r="B245" s="22">
        <f>B242+B243+B244</f>
        <v>0</v>
      </c>
      <c r="C245" s="8"/>
      <c r="D245" s="8"/>
    </row>
    <row r="246" spans="1:6" x14ac:dyDescent="0.3">
      <c r="A246" s="19" t="s">
        <v>123</v>
      </c>
      <c r="B246" s="20">
        <v>715</v>
      </c>
      <c r="C246" s="8"/>
      <c r="D246" s="8"/>
    </row>
    <row r="247" spans="1:6" x14ac:dyDescent="0.3">
      <c r="A247" s="19" t="s">
        <v>36</v>
      </c>
      <c r="B247" s="20"/>
      <c r="C247" s="8"/>
      <c r="D247" s="8"/>
    </row>
    <row r="248" spans="1:6" x14ac:dyDescent="0.3">
      <c r="A248" s="19" t="s">
        <v>124</v>
      </c>
      <c r="B248" s="20">
        <f>C248/2.3</f>
        <v>0</v>
      </c>
      <c r="C248" s="8"/>
      <c r="D248" s="8"/>
    </row>
    <row r="249" spans="1:6" x14ac:dyDescent="0.3">
      <c r="A249" s="19" t="s">
        <v>125</v>
      </c>
      <c r="B249" s="20">
        <f>C249/670</f>
        <v>2.08955223880597</v>
      </c>
      <c r="C249" s="8">
        <v>1400</v>
      </c>
      <c r="D249" s="8"/>
      <c r="F249" t="s">
        <v>126</v>
      </c>
    </row>
    <row r="250" spans="1:6" x14ac:dyDescent="0.3">
      <c r="A250" s="19" t="s">
        <v>127</v>
      </c>
      <c r="B250" s="20">
        <f>D250/670</f>
        <v>0</v>
      </c>
      <c r="C250" s="8"/>
      <c r="D250" s="8"/>
    </row>
    <row r="251" spans="1:6" x14ac:dyDescent="0.3">
      <c r="A251" s="12" t="s">
        <v>128</v>
      </c>
      <c r="B251" s="22">
        <f>B246+B247+B248+B249+B250</f>
        <v>717.08955223880594</v>
      </c>
      <c r="C251" s="8"/>
      <c r="D251" s="8"/>
    </row>
    <row r="252" spans="1:6" x14ac:dyDescent="0.3">
      <c r="A252" s="19" t="s">
        <v>129</v>
      </c>
      <c r="B252" s="20">
        <f>C252/670</f>
        <v>0</v>
      </c>
      <c r="C252" s="8"/>
      <c r="D252" s="8"/>
    </row>
    <row r="253" spans="1:6" x14ac:dyDescent="0.3">
      <c r="A253" s="12" t="s">
        <v>107</v>
      </c>
      <c r="B253" s="22">
        <f>B252</f>
        <v>0</v>
      </c>
      <c r="C253" s="8"/>
      <c r="D253" s="8"/>
    </row>
    <row r="254" spans="1:6" x14ac:dyDescent="0.3">
      <c r="A254" s="12" t="s">
        <v>130</v>
      </c>
      <c r="B254" s="20">
        <f>B241-B245-B251-B253</f>
        <v>1.1368683772161603E-13</v>
      </c>
      <c r="C254" s="8" t="s">
        <v>126</v>
      </c>
      <c r="D254" s="8"/>
    </row>
    <row r="256" spans="1:6" x14ac:dyDescent="0.3">
      <c r="A256" s="12" t="s">
        <v>131</v>
      </c>
      <c r="B256" s="23" t="s">
        <v>10</v>
      </c>
    </row>
    <row r="257" spans="1:2" x14ac:dyDescent="0.3">
      <c r="A257" s="12" t="s">
        <v>132</v>
      </c>
      <c r="B257" s="7"/>
    </row>
    <row r="258" spans="1:2" x14ac:dyDescent="0.3">
      <c r="A258" s="19" t="s">
        <v>133</v>
      </c>
      <c r="B258" s="7"/>
    </row>
    <row r="259" spans="1:2" x14ac:dyDescent="0.3">
      <c r="A259" s="12" t="s">
        <v>134</v>
      </c>
      <c r="B259" s="17">
        <f>B257-B258</f>
        <v>0</v>
      </c>
    </row>
    <row r="260" spans="1:2" x14ac:dyDescent="0.3">
      <c r="A260" s="12" t="s">
        <v>135</v>
      </c>
      <c r="B260" s="17">
        <f>B261+B262+B263+B264+B265+B266+B267+B268</f>
        <v>0</v>
      </c>
    </row>
    <row r="261" spans="1:2" x14ac:dyDescent="0.3">
      <c r="A261" s="19" t="s">
        <v>136</v>
      </c>
      <c r="B261" s="7"/>
    </row>
    <row r="262" spans="1:2" x14ac:dyDescent="0.3">
      <c r="A262" s="19" t="s">
        <v>137</v>
      </c>
      <c r="B262" s="7"/>
    </row>
    <row r="263" spans="1:2" x14ac:dyDescent="0.3">
      <c r="A263" s="19" t="s">
        <v>138</v>
      </c>
      <c r="B263" s="7"/>
    </row>
    <row r="264" spans="1:2" x14ac:dyDescent="0.3">
      <c r="A264" s="19" t="s">
        <v>139</v>
      </c>
      <c r="B264" s="7"/>
    </row>
    <row r="265" spans="1:2" x14ac:dyDescent="0.3">
      <c r="A265" s="19" t="s">
        <v>140</v>
      </c>
      <c r="B265" s="7"/>
    </row>
    <row r="266" spans="1:2" x14ac:dyDescent="0.3">
      <c r="A266" s="19" t="s">
        <v>141</v>
      </c>
      <c r="B266" s="7"/>
    </row>
    <row r="267" spans="1:2" x14ac:dyDescent="0.3">
      <c r="A267" s="19" t="s">
        <v>142</v>
      </c>
      <c r="B267" s="7"/>
    </row>
    <row r="268" spans="1:2" x14ac:dyDescent="0.3">
      <c r="A268" s="19" t="s">
        <v>143</v>
      </c>
      <c r="B268" s="7"/>
    </row>
    <row r="269" spans="1:2" x14ac:dyDescent="0.3">
      <c r="A269" s="12" t="s">
        <v>144</v>
      </c>
      <c r="B269" s="17">
        <f>B270+B271+B272</f>
        <v>0</v>
      </c>
    </row>
    <row r="270" spans="1:2" x14ac:dyDescent="0.3">
      <c r="A270" s="19" t="s">
        <v>145</v>
      </c>
      <c r="B270" s="7"/>
    </row>
    <row r="271" spans="1:2" x14ac:dyDescent="0.3">
      <c r="A271" s="19" t="s">
        <v>146</v>
      </c>
      <c r="B271" s="7"/>
    </row>
    <row r="272" spans="1:2" x14ac:dyDescent="0.3">
      <c r="A272" s="19" t="s">
        <v>147</v>
      </c>
      <c r="B272" s="7"/>
    </row>
    <row r="273" spans="1:5" x14ac:dyDescent="0.3">
      <c r="A273" s="12" t="s">
        <v>148</v>
      </c>
      <c r="B273" s="17">
        <f>B259-B260-B269</f>
        <v>0</v>
      </c>
    </row>
    <row r="279" spans="1:5" x14ac:dyDescent="0.3">
      <c r="A279" s="24"/>
    </row>
    <row r="280" spans="1:5" x14ac:dyDescent="0.3">
      <c r="A280" s="24"/>
    </row>
    <row r="281" spans="1:5" x14ac:dyDescent="0.3">
      <c r="A281" s="24"/>
    </row>
    <row r="282" spans="1:5" x14ac:dyDescent="0.3">
      <c r="A282" s="24"/>
    </row>
    <row r="283" spans="1:5" x14ac:dyDescent="0.3">
      <c r="A283" s="24"/>
    </row>
    <row r="284" spans="1:5" x14ac:dyDescent="0.3">
      <c r="A284" s="24"/>
    </row>
    <row r="285" spans="1:5" x14ac:dyDescent="0.3">
      <c r="A285" s="24"/>
    </row>
    <row r="286" spans="1:5" x14ac:dyDescent="0.3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D943-72C1-47CC-AFAB-9ACFD90C9FA5}">
  <dimension ref="A1:Y286"/>
  <sheetViews>
    <sheetView zoomScale="80" zoomScaleNormal="80" workbookViewId="0">
      <pane ySplit="1" topLeftCell="A221" activePane="bottomLeft" state="frozen"/>
      <selection pane="bottomLeft" activeCell="G242" sqref="G242"/>
    </sheetView>
  </sheetViews>
  <sheetFormatPr baseColWidth="10" defaultRowHeight="14.4" x14ac:dyDescent="0.3"/>
  <cols>
    <col min="1" max="1" width="54.5546875" customWidth="1"/>
    <col min="3" max="3" width="20" customWidth="1"/>
    <col min="4" max="4" width="11.109375" customWidth="1"/>
    <col min="5" max="6" width="8.33203125" customWidth="1"/>
    <col min="7" max="7" width="12.33203125" customWidth="1"/>
    <col min="8" max="8" width="15" customWidth="1"/>
    <col min="9" max="9" width="12.6640625" customWidth="1"/>
    <col min="10" max="10" width="9.33203125" customWidth="1"/>
    <col min="11" max="11" width="9.109375" customWidth="1"/>
    <col min="12" max="12" width="11.33203125" customWidth="1"/>
    <col min="13" max="13" width="11.109375" customWidth="1"/>
    <col min="14" max="14" width="8.33203125" customWidth="1"/>
    <col min="15" max="15" width="9.6640625" customWidth="1"/>
    <col min="16" max="16" width="18.5546875" customWidth="1"/>
    <col min="18" max="18" width="13" customWidth="1"/>
    <col min="19" max="19" width="15.6640625" customWidth="1"/>
    <col min="21" max="21" width="17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3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3">
      <c r="A3" s="5" t="s">
        <v>270</v>
      </c>
      <c r="B3" s="6">
        <v>93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27.61</v>
      </c>
      <c r="M3" s="7"/>
      <c r="N3" s="7">
        <f>B3+C3-D3-E3-F3</f>
        <v>93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3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3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3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3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500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3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3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3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3">
      <c r="A11" s="5" t="s">
        <v>214</v>
      </c>
      <c r="B11" s="6">
        <v>1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1</v>
      </c>
      <c r="O11" s="7">
        <f t="shared" si="1"/>
        <v>0</v>
      </c>
      <c r="P11" s="7">
        <v>-1</v>
      </c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3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3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3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3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5" t="s">
        <v>263</v>
      </c>
      <c r="B31" s="6">
        <v>1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1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5" t="s">
        <v>294</v>
      </c>
      <c r="B33" s="6">
        <v>10</v>
      </c>
      <c r="C33" s="7"/>
      <c r="D33" s="7"/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10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3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3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3">
      <c r="A36" s="5" t="s">
        <v>287</v>
      </c>
      <c r="B36" s="6">
        <v>12</v>
      </c>
      <c r="C36" s="7"/>
      <c r="D36" s="7"/>
      <c r="E36" s="8"/>
      <c r="F36" s="8"/>
      <c r="G36" s="9"/>
      <c r="H36" s="26"/>
      <c r="I36" s="7"/>
      <c r="J36" s="7"/>
      <c r="K36" s="7"/>
      <c r="L36" s="7">
        <v>20</v>
      </c>
      <c r="M36" s="7"/>
      <c r="N36" s="7">
        <f t="shared" si="2"/>
        <v>12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3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3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3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3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3">
      <c r="A41" s="5" t="s">
        <v>235</v>
      </c>
      <c r="B41" s="6">
        <v>5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5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3">
      <c r="A42" s="5" t="s">
        <v>38</v>
      </c>
      <c r="B42" s="6">
        <v>7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7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3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3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3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3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3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3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3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3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3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3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3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3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3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3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3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3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3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3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3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3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3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3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3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3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3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3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3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3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3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3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3">
      <c r="A73" s="5" t="s">
        <v>211</v>
      </c>
      <c r="B73" s="6">
        <v>2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2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3">
      <c r="A74" s="5" t="s">
        <v>54</v>
      </c>
      <c r="B74" s="6">
        <v>3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3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3">
      <c r="A75" s="5" t="s">
        <v>55</v>
      </c>
      <c r="B75" s="6">
        <v>1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1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3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3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3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3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3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3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3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3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3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3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3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3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3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3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3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3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3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3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3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3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3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3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3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3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3">
      <c r="A100" s="5" t="s">
        <v>212</v>
      </c>
      <c r="B100" s="6">
        <v>11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11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3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3">
      <c r="A102" s="5" t="s">
        <v>191</v>
      </c>
      <c r="B102" s="6">
        <v>2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2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3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3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3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3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3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3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3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3">
      <c r="A110" s="5" t="s">
        <v>68</v>
      </c>
      <c r="B110" s="6">
        <v>2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2</v>
      </c>
      <c r="O110" s="7">
        <f t="shared" si="1"/>
        <v>0</v>
      </c>
      <c r="P110" s="7" t="s">
        <v>321</v>
      </c>
    </row>
    <row r="111" spans="1:21" x14ac:dyDescent="0.3">
      <c r="A111" s="5" t="s">
        <v>311</v>
      </c>
      <c r="B111" s="6">
        <v>2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2</v>
      </c>
      <c r="O111" s="7">
        <f t="shared" ref="O111:O183" si="5">E111*L111+F111*M111</f>
        <v>0</v>
      </c>
      <c r="P111" s="7"/>
    </row>
    <row r="112" spans="1:21" x14ac:dyDescent="0.3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3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3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3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3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3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3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3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3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3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3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3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3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3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3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3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3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x14ac:dyDescent="0.3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3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3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3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3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3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3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3">
      <c r="A136" s="5" t="s">
        <v>81</v>
      </c>
      <c r="B136" s="6">
        <v>3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3</v>
      </c>
      <c r="O136" s="7">
        <f t="shared" si="5"/>
        <v>0</v>
      </c>
      <c r="P136" s="7"/>
    </row>
    <row r="137" spans="1:16" x14ac:dyDescent="0.3">
      <c r="A137" s="5" t="s">
        <v>162</v>
      </c>
      <c r="B137" s="6">
        <v>8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8</v>
      </c>
      <c r="O137" s="7">
        <f t="shared" si="5"/>
        <v>0</v>
      </c>
      <c r="P137" s="7"/>
    </row>
    <row r="138" spans="1:16" x14ac:dyDescent="0.3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3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3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3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3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3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3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3">
      <c r="A145" s="5" t="s">
        <v>273</v>
      </c>
      <c r="B145" s="6">
        <v>4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4</v>
      </c>
      <c r="O145" s="7">
        <f t="shared" si="5"/>
        <v>0</v>
      </c>
      <c r="P145" s="7"/>
    </row>
    <row r="146" spans="1:16" x14ac:dyDescent="0.3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3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3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3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3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3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3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3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3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3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3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3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3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3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3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3">
      <c r="A161" s="5" t="s">
        <v>193</v>
      </c>
      <c r="B161" s="6">
        <v>1</v>
      </c>
      <c r="C161" s="7"/>
      <c r="D161" s="7">
        <v>1</v>
      </c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 t="s">
        <v>316</v>
      </c>
    </row>
    <row r="162" spans="1:16" x14ac:dyDescent="0.3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3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260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3">
      <c r="A164" s="5" t="s">
        <v>292</v>
      </c>
      <c r="B164" s="6">
        <v>23</v>
      </c>
      <c r="C164" s="7"/>
      <c r="D164" s="7"/>
      <c r="E164" s="8">
        <v>1</v>
      </c>
      <c r="F164" s="8"/>
      <c r="G164" s="9">
        <v>1000</v>
      </c>
      <c r="H164" s="26">
        <f t="shared" si="6"/>
        <v>1000</v>
      </c>
      <c r="I164" s="7">
        <v>700</v>
      </c>
      <c r="J164" s="7"/>
      <c r="K164" s="7"/>
      <c r="L164" s="7">
        <v>260</v>
      </c>
      <c r="M164" s="7">
        <v>155</v>
      </c>
      <c r="N164" s="7">
        <f t="shared" si="7"/>
        <v>22</v>
      </c>
      <c r="O164" s="7">
        <f t="shared" si="5"/>
        <v>260</v>
      </c>
      <c r="P164" s="7"/>
    </row>
    <row r="165" spans="1:16" x14ac:dyDescent="0.3">
      <c r="A165" s="5" t="s">
        <v>297</v>
      </c>
      <c r="B165" s="6">
        <v>91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3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3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3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3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3">
      <c r="A170" s="5" t="s">
        <v>234</v>
      </c>
      <c r="B170" s="6">
        <v>2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2</v>
      </c>
      <c r="O170" s="7">
        <f t="shared" si="5"/>
        <v>0</v>
      </c>
      <c r="P170" s="7"/>
    </row>
    <row r="171" spans="1:16" x14ac:dyDescent="0.3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3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3">
      <c r="A173" s="5" t="s">
        <v>93</v>
      </c>
      <c r="B173" s="6">
        <v>2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2</v>
      </c>
      <c r="O173" s="7">
        <f t="shared" si="5"/>
        <v>0</v>
      </c>
      <c r="P173" s="7"/>
    </row>
    <row r="174" spans="1:16" x14ac:dyDescent="0.3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3">
      <c r="A175" s="5" t="s">
        <v>222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3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3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3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3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3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3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3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3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3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3">
      <c r="A185" s="5" t="s">
        <v>98</v>
      </c>
      <c r="B185" s="6">
        <v>0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0</v>
      </c>
      <c r="O185" s="7">
        <f t="shared" si="8"/>
        <v>0</v>
      </c>
      <c r="P185" s="7"/>
    </row>
    <row r="186" spans="1:16" x14ac:dyDescent="0.3">
      <c r="A186" s="5" t="s">
        <v>189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260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3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3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3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3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3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3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3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3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3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3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3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3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3">
      <c r="A199" s="5" t="s">
        <v>262</v>
      </c>
      <c r="B199" s="6">
        <v>3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3</v>
      </c>
      <c r="O199" s="7">
        <f t="shared" si="8"/>
        <v>0</v>
      </c>
      <c r="P199" s="7"/>
    </row>
    <row r="200" spans="1:16" x14ac:dyDescent="0.3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3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3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3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3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3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3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3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3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3">
      <c r="A209" s="5" t="s">
        <v>264</v>
      </c>
      <c r="B209" s="6">
        <v>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2</v>
      </c>
      <c r="O209" s="7">
        <f t="shared" si="8"/>
        <v>0</v>
      </c>
      <c r="P209" s="7"/>
    </row>
    <row r="210" spans="1:16" x14ac:dyDescent="0.3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3">
      <c r="A211" s="5" t="s">
        <v>104</v>
      </c>
      <c r="B211" s="6">
        <v>2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70</v>
      </c>
      <c r="M211" s="7"/>
      <c r="N211" s="7">
        <f t="shared" si="7"/>
        <v>2</v>
      </c>
      <c r="O211" s="7">
        <f t="shared" si="8"/>
        <v>0</v>
      </c>
      <c r="P211" s="7"/>
    </row>
    <row r="212" spans="1:16" x14ac:dyDescent="0.3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3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3">
      <c r="A214" s="5" t="s">
        <v>266</v>
      </c>
      <c r="B214" s="6">
        <v>6</v>
      </c>
      <c r="C214" s="10"/>
      <c r="D214" s="7"/>
      <c r="E214" s="8"/>
      <c r="F214" s="8"/>
      <c r="G214" s="9">
        <v>1000</v>
      </c>
      <c r="H214" s="26">
        <f t="shared" si="6"/>
        <v>0</v>
      </c>
      <c r="I214" s="7"/>
      <c r="J214" s="7"/>
      <c r="K214" s="7"/>
      <c r="L214" s="7">
        <v>75</v>
      </c>
      <c r="M214" s="7"/>
      <c r="N214" s="7">
        <f t="shared" si="7"/>
        <v>6</v>
      </c>
      <c r="O214" s="7">
        <f t="shared" si="8"/>
        <v>0</v>
      </c>
      <c r="P214" s="7"/>
    </row>
    <row r="215" spans="1:16" x14ac:dyDescent="0.3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3">
      <c r="A216" s="5" t="s">
        <v>265</v>
      </c>
      <c r="B216" s="6">
        <v>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5</v>
      </c>
      <c r="O216" s="7">
        <f t="shared" si="8"/>
        <v>0</v>
      </c>
      <c r="P216" s="7"/>
    </row>
    <row r="217" spans="1:16" x14ac:dyDescent="0.3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3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3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3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3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3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3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3">
      <c r="A224" s="5" t="s">
        <v>206</v>
      </c>
      <c r="B224" s="6">
        <v>52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52</v>
      </c>
      <c r="O224" s="7"/>
      <c r="P224" s="7"/>
    </row>
    <row r="225" spans="1:16" x14ac:dyDescent="0.3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3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3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3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3">
      <c r="A229" s="12" t="s">
        <v>107</v>
      </c>
      <c r="B229" s="13">
        <v>944</v>
      </c>
      <c r="C229" s="14"/>
      <c r="D229" s="14"/>
      <c r="E229" s="15"/>
      <c r="F229" s="15"/>
      <c r="G229" s="16"/>
      <c r="H229" s="27">
        <f>SUM(H2:H219)</f>
        <v>1000</v>
      </c>
      <c r="I229" s="17">
        <f>SUM(I2:I218)</f>
        <v>700</v>
      </c>
      <c r="J229" s="17"/>
      <c r="K229" s="17">
        <f>SUM(K2:K218)</f>
        <v>0</v>
      </c>
      <c r="L229" s="17"/>
      <c r="M229" s="17"/>
      <c r="N229" s="17">
        <f>SUM(N2:N228)</f>
        <v>942</v>
      </c>
      <c r="O229" s="17">
        <f>SUM(O2:O228)</f>
        <v>260</v>
      </c>
      <c r="P229" s="17">
        <f>SUM(P2:P228)</f>
        <v>-7</v>
      </c>
    </row>
    <row r="230" spans="1:16" x14ac:dyDescent="0.3">
      <c r="A230" s="18" t="s">
        <v>108</v>
      </c>
      <c r="B230" s="18">
        <f>O229</f>
        <v>260</v>
      </c>
      <c r="C230" s="2" t="s">
        <v>109</v>
      </c>
      <c r="D230" s="2" t="s">
        <v>110</v>
      </c>
      <c r="N230" s="29"/>
    </row>
    <row r="231" spans="1:16" x14ac:dyDescent="0.3">
      <c r="A231" s="19" t="s">
        <v>111</v>
      </c>
      <c r="B231" s="20">
        <f>(C231+D231)/670</f>
        <v>2.08955223880597</v>
      </c>
      <c r="C231" s="8">
        <v>1400</v>
      </c>
      <c r="D231" s="8"/>
    </row>
    <row r="232" spans="1:16" x14ac:dyDescent="0.3">
      <c r="A232" s="19" t="s">
        <v>14</v>
      </c>
      <c r="B232" s="21">
        <v>150</v>
      </c>
      <c r="C232" s="8" t="s">
        <v>126</v>
      </c>
      <c r="D232" s="8"/>
    </row>
    <row r="233" spans="1:16" x14ac:dyDescent="0.3">
      <c r="A233" s="19" t="s">
        <v>112</v>
      </c>
      <c r="B233" s="20">
        <f>D233/670</f>
        <v>0</v>
      </c>
      <c r="C233" s="8"/>
      <c r="D233" s="8"/>
    </row>
    <row r="234" spans="1:16" x14ac:dyDescent="0.3">
      <c r="A234" s="19" t="s">
        <v>113</v>
      </c>
      <c r="B234" s="20"/>
      <c r="C234" s="8"/>
      <c r="D234" s="8"/>
    </row>
    <row r="235" spans="1:16" x14ac:dyDescent="0.3">
      <c r="A235" s="12" t="s">
        <v>114</v>
      </c>
      <c r="B235" s="22">
        <f>B230+B231+B233+B234+B232</f>
        <v>412.08955223880599</v>
      </c>
      <c r="C235" s="8"/>
      <c r="D235" s="8"/>
    </row>
    <row r="236" spans="1:16" x14ac:dyDescent="0.3">
      <c r="A236" s="19" t="s">
        <v>6</v>
      </c>
      <c r="B236" s="20">
        <f>D236/670</f>
        <v>0</v>
      </c>
      <c r="C236" s="8"/>
      <c r="D236" s="8"/>
    </row>
    <row r="237" spans="1:16" x14ac:dyDescent="0.3">
      <c r="A237" s="19" t="s">
        <v>115</v>
      </c>
      <c r="B237" s="20">
        <f>C237/670</f>
        <v>0</v>
      </c>
      <c r="C237" s="8"/>
      <c r="D237" s="8"/>
    </row>
    <row r="238" spans="1:16" x14ac:dyDescent="0.3">
      <c r="A238" s="19" t="s">
        <v>64</v>
      </c>
      <c r="B238" s="20">
        <f>C238/670</f>
        <v>1.4925373134328359</v>
      </c>
      <c r="C238" s="8">
        <v>1000</v>
      </c>
      <c r="D238" s="8"/>
    </row>
    <row r="239" spans="1:16" x14ac:dyDescent="0.3">
      <c r="A239" s="19" t="s">
        <v>116</v>
      </c>
      <c r="B239" s="20"/>
      <c r="C239" s="8"/>
      <c r="D239" s="8"/>
    </row>
    <row r="240" spans="1:16" x14ac:dyDescent="0.3">
      <c r="A240" s="12" t="s">
        <v>117</v>
      </c>
      <c r="B240" s="20">
        <f>B236+B237+B238+B239</f>
        <v>1.4925373134328359</v>
      </c>
      <c r="C240" s="8"/>
      <c r="D240" s="8"/>
    </row>
    <row r="241" spans="1:6" x14ac:dyDescent="0.3">
      <c r="A241" s="12" t="s">
        <v>118</v>
      </c>
      <c r="B241" s="22">
        <f>B235-B240</f>
        <v>410.59701492537317</v>
      </c>
      <c r="C241" s="8"/>
      <c r="D241" s="8"/>
    </row>
    <row r="242" spans="1:6" x14ac:dyDescent="0.3">
      <c r="A242" s="19" t="s">
        <v>119</v>
      </c>
      <c r="B242" s="20">
        <f>C242/670</f>
        <v>0</v>
      </c>
      <c r="C242" s="8"/>
      <c r="D242" s="8"/>
    </row>
    <row r="243" spans="1:6" x14ac:dyDescent="0.3">
      <c r="A243" s="19" t="s">
        <v>120</v>
      </c>
      <c r="B243" s="20"/>
      <c r="C243" s="8"/>
      <c r="D243" s="8"/>
    </row>
    <row r="244" spans="1:6" x14ac:dyDescent="0.3">
      <c r="A244" s="19" t="s">
        <v>121</v>
      </c>
      <c r="B244" s="20">
        <f>C244/2</f>
        <v>0</v>
      </c>
      <c r="C244" s="8"/>
      <c r="D244" s="8"/>
    </row>
    <row r="245" spans="1:6" x14ac:dyDescent="0.3">
      <c r="A245" s="12" t="s">
        <v>122</v>
      </c>
      <c r="B245" s="22">
        <f>B242+B243+B244</f>
        <v>0</v>
      </c>
      <c r="C245" s="8"/>
      <c r="D245" s="8"/>
    </row>
    <row r="246" spans="1:6" x14ac:dyDescent="0.3">
      <c r="A246" s="19" t="s">
        <v>123</v>
      </c>
      <c r="B246" s="20">
        <v>410</v>
      </c>
      <c r="C246" s="8"/>
      <c r="D246" s="8"/>
    </row>
    <row r="247" spans="1:6" x14ac:dyDescent="0.3">
      <c r="A247" s="19" t="s">
        <v>36</v>
      </c>
      <c r="B247" s="20"/>
      <c r="C247" s="8"/>
      <c r="D247" s="8"/>
    </row>
    <row r="248" spans="1:6" x14ac:dyDescent="0.3">
      <c r="A248" s="19" t="s">
        <v>124</v>
      </c>
      <c r="B248" s="20">
        <f>C248/2.3</f>
        <v>0</v>
      </c>
      <c r="C248" s="8"/>
      <c r="D248" s="8"/>
    </row>
    <row r="249" spans="1:6" x14ac:dyDescent="0.3">
      <c r="A249" s="19" t="s">
        <v>125</v>
      </c>
      <c r="B249" s="20">
        <f>C249/670</f>
        <v>0.59701492537313428</v>
      </c>
      <c r="C249" s="8">
        <v>400</v>
      </c>
      <c r="D249" s="8"/>
      <c r="F249" t="s">
        <v>126</v>
      </c>
    </row>
    <row r="250" spans="1:6" x14ac:dyDescent="0.3">
      <c r="A250" s="19" t="s">
        <v>127</v>
      </c>
      <c r="B250" s="20">
        <f>D250/670</f>
        <v>0</v>
      </c>
      <c r="C250" s="8"/>
      <c r="D250" s="8"/>
    </row>
    <row r="251" spans="1:6" x14ac:dyDescent="0.3">
      <c r="A251" s="12" t="s">
        <v>128</v>
      </c>
      <c r="B251" s="22">
        <f>B246+B247+B248+B249+B250</f>
        <v>410.59701492537312</v>
      </c>
      <c r="C251" s="8"/>
      <c r="D251" s="8"/>
    </row>
    <row r="252" spans="1:6" x14ac:dyDescent="0.3">
      <c r="A252" s="19" t="s">
        <v>129</v>
      </c>
      <c r="B252" s="20">
        <f>C252/670</f>
        <v>0</v>
      </c>
      <c r="C252" s="8"/>
      <c r="D252" s="8"/>
    </row>
    <row r="253" spans="1:6" x14ac:dyDescent="0.3">
      <c r="A253" s="12" t="s">
        <v>107</v>
      </c>
      <c r="B253" s="22">
        <f>B252</f>
        <v>0</v>
      </c>
      <c r="C253" s="8"/>
      <c r="D253" s="8"/>
    </row>
    <row r="254" spans="1:6" x14ac:dyDescent="0.3">
      <c r="A254" s="12" t="s">
        <v>130</v>
      </c>
      <c r="B254" s="20">
        <f>B241-B245-B251-B253</f>
        <v>5.6843418860808015E-14</v>
      </c>
      <c r="C254" s="8" t="s">
        <v>126</v>
      </c>
      <c r="D254" s="8"/>
    </row>
    <row r="256" spans="1:6" x14ac:dyDescent="0.3">
      <c r="A256" s="12" t="s">
        <v>131</v>
      </c>
      <c r="B256" s="23" t="s">
        <v>10</v>
      </c>
    </row>
    <row r="257" spans="1:2" x14ac:dyDescent="0.3">
      <c r="A257" s="12" t="s">
        <v>132</v>
      </c>
      <c r="B257" s="7"/>
    </row>
    <row r="258" spans="1:2" x14ac:dyDescent="0.3">
      <c r="A258" s="19" t="s">
        <v>133</v>
      </c>
      <c r="B258" s="7"/>
    </row>
    <row r="259" spans="1:2" x14ac:dyDescent="0.3">
      <c r="A259" s="12" t="s">
        <v>134</v>
      </c>
      <c r="B259" s="17">
        <f>B257-B258</f>
        <v>0</v>
      </c>
    </row>
    <row r="260" spans="1:2" x14ac:dyDescent="0.3">
      <c r="A260" s="12" t="s">
        <v>135</v>
      </c>
      <c r="B260" s="17">
        <f>B261+B262+B263+B264+B265+B266+B267+B268</f>
        <v>0</v>
      </c>
    </row>
    <row r="261" spans="1:2" x14ac:dyDescent="0.3">
      <c r="A261" s="19" t="s">
        <v>136</v>
      </c>
      <c r="B261" s="7"/>
    </row>
    <row r="262" spans="1:2" x14ac:dyDescent="0.3">
      <c r="A262" s="19" t="s">
        <v>137</v>
      </c>
      <c r="B262" s="7"/>
    </row>
    <row r="263" spans="1:2" x14ac:dyDescent="0.3">
      <c r="A263" s="19" t="s">
        <v>138</v>
      </c>
      <c r="B263" s="7"/>
    </row>
    <row r="264" spans="1:2" x14ac:dyDescent="0.3">
      <c r="A264" s="19" t="s">
        <v>139</v>
      </c>
      <c r="B264" s="7"/>
    </row>
    <row r="265" spans="1:2" x14ac:dyDescent="0.3">
      <c r="A265" s="19" t="s">
        <v>140</v>
      </c>
      <c r="B265" s="7"/>
    </row>
    <row r="266" spans="1:2" x14ac:dyDescent="0.3">
      <c r="A266" s="19" t="s">
        <v>141</v>
      </c>
      <c r="B266" s="7"/>
    </row>
    <row r="267" spans="1:2" x14ac:dyDescent="0.3">
      <c r="A267" s="19" t="s">
        <v>142</v>
      </c>
      <c r="B267" s="7"/>
    </row>
    <row r="268" spans="1:2" x14ac:dyDescent="0.3">
      <c r="A268" s="19" t="s">
        <v>143</v>
      </c>
      <c r="B268" s="7"/>
    </row>
    <row r="269" spans="1:2" x14ac:dyDescent="0.3">
      <c r="A269" s="12" t="s">
        <v>144</v>
      </c>
      <c r="B269" s="17">
        <f>B270+B271+B272</f>
        <v>0</v>
      </c>
    </row>
    <row r="270" spans="1:2" x14ac:dyDescent="0.3">
      <c r="A270" s="19" t="s">
        <v>145</v>
      </c>
      <c r="B270" s="7"/>
    </row>
    <row r="271" spans="1:2" x14ac:dyDescent="0.3">
      <c r="A271" s="19" t="s">
        <v>146</v>
      </c>
      <c r="B271" s="7"/>
    </row>
    <row r="272" spans="1:2" x14ac:dyDescent="0.3">
      <c r="A272" s="19" t="s">
        <v>147</v>
      </c>
      <c r="B272" s="7"/>
    </row>
    <row r="273" spans="1:5" x14ac:dyDescent="0.3">
      <c r="A273" s="12" t="s">
        <v>148</v>
      </c>
      <c r="B273" s="17">
        <f>B259-B260-B269</f>
        <v>0</v>
      </c>
    </row>
    <row r="279" spans="1:5" x14ac:dyDescent="0.3">
      <c r="A279" s="24"/>
    </row>
    <row r="280" spans="1:5" x14ac:dyDescent="0.3">
      <c r="A280" s="24"/>
    </row>
    <row r="281" spans="1:5" x14ac:dyDescent="0.3">
      <c r="A281" s="24"/>
    </row>
    <row r="282" spans="1:5" x14ac:dyDescent="0.3">
      <c r="A282" s="24"/>
    </row>
    <row r="283" spans="1:5" x14ac:dyDescent="0.3">
      <c r="A283" s="24"/>
    </row>
    <row r="284" spans="1:5" x14ac:dyDescent="0.3">
      <c r="A284" s="24"/>
    </row>
    <row r="285" spans="1:5" x14ac:dyDescent="0.3">
      <c r="A285" s="24"/>
    </row>
    <row r="286" spans="1:5" x14ac:dyDescent="0.3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A8AE-7305-4972-A293-080951BD6A91}">
  <sheetPr filterMode="1"/>
  <dimension ref="A1:Y285"/>
  <sheetViews>
    <sheetView zoomScale="80" zoomScaleNormal="80" workbookViewId="0">
      <pane ySplit="1" topLeftCell="A75" activePane="bottomLeft" state="frozen"/>
      <selection pane="bottomLeft" activeCell="P97" sqref="P97"/>
    </sheetView>
  </sheetViews>
  <sheetFormatPr baseColWidth="10" defaultRowHeight="14.4" x14ac:dyDescent="0.3"/>
  <cols>
    <col min="1" max="1" width="54.5546875" customWidth="1"/>
    <col min="3" max="3" width="20" customWidth="1"/>
    <col min="4" max="4" width="11.109375" customWidth="1"/>
    <col min="5" max="6" width="8.33203125" customWidth="1"/>
    <col min="7" max="7" width="12.33203125" customWidth="1"/>
    <col min="8" max="8" width="15" customWidth="1"/>
    <col min="9" max="9" width="12.6640625" customWidth="1"/>
    <col min="10" max="10" width="9.33203125" customWidth="1"/>
    <col min="11" max="11" width="9.109375" customWidth="1"/>
    <col min="12" max="12" width="11.33203125" customWidth="1"/>
    <col min="13" max="13" width="11.109375" customWidth="1"/>
    <col min="14" max="14" width="8.33203125" customWidth="1"/>
    <col min="15" max="15" width="9.6640625" customWidth="1"/>
    <col min="16" max="16" width="18.5546875" customWidth="1"/>
    <col min="18" max="18" width="13" customWidth="1"/>
    <col min="19" max="19" width="15.6640625" customWidth="1"/>
    <col min="21" max="21" width="17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hidden="1" x14ac:dyDescent="0.3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3">
      <c r="A3" s="5" t="s">
        <v>270</v>
      </c>
      <c r="B3" s="6">
        <v>93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27.61</v>
      </c>
      <c r="M3" s="7"/>
      <c r="N3" s="7">
        <f>B3+C3-D3-E3-F3</f>
        <v>93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hidden="1" x14ac:dyDescent="0.3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3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3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3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500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3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3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hidden="1" x14ac:dyDescent="0.3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3">
      <c r="A11" s="5" t="s">
        <v>214</v>
      </c>
      <c r="B11" s="6">
        <v>1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1</v>
      </c>
      <c r="O11" s="7">
        <f t="shared" si="1"/>
        <v>0</v>
      </c>
      <c r="P11" s="7">
        <v>-1</v>
      </c>
      <c r="R11" s="4"/>
      <c r="S11" s="4"/>
      <c r="T11" s="4"/>
      <c r="U11" s="4"/>
      <c r="V11" s="4" t="s">
        <v>23</v>
      </c>
      <c r="W11" s="4"/>
      <c r="X11" s="4"/>
      <c r="Y11" s="4"/>
    </row>
    <row r="12" spans="1:25" hidden="1" x14ac:dyDescent="0.3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hidden="1" x14ac:dyDescent="0.3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hidden="1" x14ac:dyDescent="0.3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3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hidden="1" x14ac:dyDescent="0.3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hidden="1" x14ac:dyDescent="0.3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hidden="1" x14ac:dyDescent="0.3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hidden="1" x14ac:dyDescent="0.3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hidden="1" x14ac:dyDescent="0.3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5" t="s">
        <v>263</v>
      </c>
      <c r="B31" s="6">
        <v>1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1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5" t="s">
        <v>294</v>
      </c>
      <c r="B33" s="6">
        <v>10</v>
      </c>
      <c r="C33" s="7"/>
      <c r="D33" s="7"/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10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3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hidden="1" x14ac:dyDescent="0.3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3">
      <c r="A36" s="5" t="s">
        <v>287</v>
      </c>
      <c r="B36" s="6">
        <v>12</v>
      </c>
      <c r="C36" s="7"/>
      <c r="D36" s="7"/>
      <c r="E36" s="8"/>
      <c r="F36" s="8"/>
      <c r="G36" s="9"/>
      <c r="H36" s="26"/>
      <c r="I36" s="7"/>
      <c r="J36" s="7"/>
      <c r="K36" s="7"/>
      <c r="L36" s="7">
        <v>20</v>
      </c>
      <c r="M36" s="7"/>
      <c r="N36" s="7">
        <f t="shared" si="2"/>
        <v>12</v>
      </c>
      <c r="O36" s="7">
        <f t="shared" si="1"/>
        <v>0</v>
      </c>
      <c r="P36" s="7"/>
      <c r="R36" s="11"/>
      <c r="S36" s="11"/>
      <c r="T36" s="11"/>
      <c r="U36" s="11"/>
    </row>
    <row r="37" spans="1:25" hidden="1" x14ac:dyDescent="0.3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3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3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3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3">
      <c r="A41" s="5" t="s">
        <v>235</v>
      </c>
      <c r="B41" s="6">
        <v>5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5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3">
      <c r="A42" s="5" t="s">
        <v>38</v>
      </c>
      <c r="B42" s="6">
        <v>7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7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3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hidden="1" x14ac:dyDescent="0.3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hidden="1" x14ac:dyDescent="0.3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hidden="1" x14ac:dyDescent="0.3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hidden="1" x14ac:dyDescent="0.3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hidden="1" x14ac:dyDescent="0.3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3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hidden="1" x14ac:dyDescent="0.3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hidden="1" x14ac:dyDescent="0.3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3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hidden="1" x14ac:dyDescent="0.3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hidden="1" x14ac:dyDescent="0.3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3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hidden="1" x14ac:dyDescent="0.3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hidden="1" x14ac:dyDescent="0.3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3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320</v>
      </c>
      <c r="R58" s="4"/>
      <c r="S58" s="4"/>
      <c r="T58" s="4"/>
      <c r="U58" s="4"/>
    </row>
    <row r="59" spans="1:21" hidden="1" x14ac:dyDescent="0.3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hidden="1" x14ac:dyDescent="0.3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hidden="1" x14ac:dyDescent="0.3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3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hidden="1" x14ac:dyDescent="0.3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3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3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3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hidden="1" x14ac:dyDescent="0.3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hidden="1" x14ac:dyDescent="0.3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3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3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hidden="1" x14ac:dyDescent="0.3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3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3">
      <c r="A73" s="5" t="s">
        <v>211</v>
      </c>
      <c r="B73" s="6">
        <v>2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2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3">
      <c r="A74" s="5" t="s">
        <v>54</v>
      </c>
      <c r="B74" s="6">
        <v>3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3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3">
      <c r="A75" s="5" t="s">
        <v>55</v>
      </c>
      <c r="B75" s="6">
        <v>1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1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hidden="1" x14ac:dyDescent="0.3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3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3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3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hidden="1" x14ac:dyDescent="0.3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hidden="1" x14ac:dyDescent="0.3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hidden="1" x14ac:dyDescent="0.3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3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hidden="1" x14ac:dyDescent="0.3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3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3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1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hidden="1" x14ac:dyDescent="0.3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3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hidden="1" x14ac:dyDescent="0.3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hidden="1" x14ac:dyDescent="0.3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hidden="1" x14ac:dyDescent="0.3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hidden="1" x14ac:dyDescent="0.3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3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3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3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3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3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3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hidden="1" x14ac:dyDescent="0.3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3">
      <c r="A100" s="5" t="s">
        <v>212</v>
      </c>
      <c r="B100" s="6">
        <v>11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11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3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3">
      <c r="A102" s="5" t="s">
        <v>191</v>
      </c>
      <c r="B102" s="6">
        <v>2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2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3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3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/>
    </row>
    <row r="105" spans="1:21" x14ac:dyDescent="0.3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/>
    </row>
    <row r="106" spans="1:21" x14ac:dyDescent="0.3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3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hidden="1" x14ac:dyDescent="0.3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hidden="1" x14ac:dyDescent="0.3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3">
      <c r="A110" s="5" t="s">
        <v>68</v>
      </c>
      <c r="B110" s="6">
        <v>2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2</v>
      </c>
      <c r="O110" s="7">
        <f t="shared" si="1"/>
        <v>0</v>
      </c>
      <c r="P110" s="7" t="s">
        <v>321</v>
      </c>
    </row>
    <row r="111" spans="1:21" x14ac:dyDescent="0.3">
      <c r="A111" s="5" t="s">
        <v>311</v>
      </c>
      <c r="B111" s="6">
        <v>2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2</v>
      </c>
      <c r="O111" s="7">
        <f t="shared" ref="O111:O182" si="5">E111*L111+F111*M111</f>
        <v>0</v>
      </c>
      <c r="P111" s="7"/>
    </row>
    <row r="112" spans="1:21" hidden="1" x14ac:dyDescent="0.3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hidden="1" x14ac:dyDescent="0.3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hidden="1" x14ac:dyDescent="0.3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hidden="1" x14ac:dyDescent="0.3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hidden="1" x14ac:dyDescent="0.3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hidden="1" x14ac:dyDescent="0.3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3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3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hidden="1" x14ac:dyDescent="0.3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hidden="1" x14ac:dyDescent="0.3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3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hidden="1" x14ac:dyDescent="0.3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hidden="1" x14ac:dyDescent="0.3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hidden="1" x14ac:dyDescent="0.3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hidden="1" x14ac:dyDescent="0.3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hidden="1" x14ac:dyDescent="0.3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hidden="1" x14ac:dyDescent="0.3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hidden="1" x14ac:dyDescent="0.3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hidden="1" x14ac:dyDescent="0.3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hidden="1" x14ac:dyDescent="0.3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hidden="1" x14ac:dyDescent="0.3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hidden="1" x14ac:dyDescent="0.3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3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3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3">
      <c r="A136" s="5" t="s">
        <v>81</v>
      </c>
      <c r="B136" s="6">
        <v>3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3</v>
      </c>
      <c r="O136" s="7">
        <f t="shared" si="5"/>
        <v>0</v>
      </c>
      <c r="P136" s="7"/>
    </row>
    <row r="137" spans="1:16" x14ac:dyDescent="0.3">
      <c r="A137" s="5" t="s">
        <v>162</v>
      </c>
      <c r="B137" s="6">
        <v>8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8</v>
      </c>
      <c r="O137" s="7">
        <f t="shared" si="5"/>
        <v>0</v>
      </c>
      <c r="P137" s="7">
        <v>-1</v>
      </c>
    </row>
    <row r="138" spans="1:16" hidden="1" x14ac:dyDescent="0.3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8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hidden="1" x14ac:dyDescent="0.3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hidden="1" x14ac:dyDescent="0.3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hidden="1" x14ac:dyDescent="0.3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hidden="1" x14ac:dyDescent="0.3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3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hidden="1" x14ac:dyDescent="0.3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3">
      <c r="A145" s="5" t="s">
        <v>273</v>
      </c>
      <c r="B145" s="6">
        <v>4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4</v>
      </c>
      <c r="O145" s="7">
        <f t="shared" si="5"/>
        <v>0</v>
      </c>
      <c r="P145" s="7">
        <v>-1</v>
      </c>
    </row>
    <row r="146" spans="1:16" hidden="1" x14ac:dyDescent="0.3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hidden="1" x14ac:dyDescent="0.3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hidden="1" x14ac:dyDescent="0.3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hidden="1" x14ac:dyDescent="0.3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3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hidden="1" x14ac:dyDescent="0.3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3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3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3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3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hidden="1" x14ac:dyDescent="0.3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3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3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3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3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hidden="1" x14ac:dyDescent="0.3">
      <c r="A161" s="5" t="s">
        <v>280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/>
      <c r="K161" s="7"/>
      <c r="L161" s="7">
        <v>300</v>
      </c>
      <c r="M161" s="7"/>
      <c r="N161" s="7">
        <f t="shared" si="4"/>
        <v>0</v>
      </c>
      <c r="O161" s="7">
        <f t="shared" si="5"/>
        <v>0</v>
      </c>
      <c r="P161" s="7"/>
    </row>
    <row r="162" spans="1:16" x14ac:dyDescent="0.3">
      <c r="A162" s="5" t="s">
        <v>90</v>
      </c>
      <c r="B162" s="6">
        <v>12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260</v>
      </c>
      <c r="M162" s="7"/>
      <c r="N162" s="7">
        <f t="shared" ref="N162:N227" si="7">B162+C162-D162-E162-F162</f>
        <v>12</v>
      </c>
      <c r="O162" s="7">
        <f t="shared" si="5"/>
        <v>0</v>
      </c>
      <c r="P162" s="7"/>
    </row>
    <row r="163" spans="1:16" x14ac:dyDescent="0.3">
      <c r="A163" s="5" t="s">
        <v>292</v>
      </c>
      <c r="B163" s="6">
        <v>22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260</v>
      </c>
      <c r="M163" s="7">
        <v>155</v>
      </c>
      <c r="N163" s="7">
        <f t="shared" si="7"/>
        <v>22</v>
      </c>
      <c r="O163" s="7">
        <f t="shared" si="5"/>
        <v>0</v>
      </c>
      <c r="P163" s="7"/>
    </row>
    <row r="164" spans="1:16" x14ac:dyDescent="0.3">
      <c r="A164" s="5" t="s">
        <v>297</v>
      </c>
      <c r="B164" s="6">
        <v>91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>
        <v>140</v>
      </c>
      <c r="K164" s="7"/>
      <c r="L164" s="7">
        <v>250</v>
      </c>
      <c r="M164" s="7"/>
      <c r="N164" s="7">
        <f t="shared" si="7"/>
        <v>91</v>
      </c>
      <c r="O164" s="7">
        <f t="shared" si="5"/>
        <v>0</v>
      </c>
      <c r="P164" s="7"/>
    </row>
    <row r="165" spans="1:16" x14ac:dyDescent="0.3">
      <c r="A165" s="5" t="s">
        <v>275</v>
      </c>
      <c r="B165" s="6">
        <v>2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/>
      <c r="K165" s="7"/>
      <c r="L165" s="7">
        <v>65</v>
      </c>
      <c r="M165" s="7"/>
      <c r="N165" s="7">
        <f t="shared" si="7"/>
        <v>2</v>
      </c>
      <c r="O165" s="7">
        <f t="shared" si="5"/>
        <v>0</v>
      </c>
      <c r="P165" s="7"/>
    </row>
    <row r="166" spans="1:16" hidden="1" x14ac:dyDescent="0.3">
      <c r="A166" s="5" t="s">
        <v>91</v>
      </c>
      <c r="B166" s="6">
        <v>0</v>
      </c>
      <c r="C166" s="7"/>
      <c r="D166" s="7"/>
      <c r="E166" s="8"/>
      <c r="F166" s="8"/>
      <c r="G166" s="9">
        <v>50</v>
      </c>
      <c r="H166" s="26">
        <f t="shared" si="6"/>
        <v>0</v>
      </c>
      <c r="I166" s="7"/>
      <c r="J166" s="7"/>
      <c r="K166" s="7"/>
      <c r="L166" s="7">
        <v>3</v>
      </c>
      <c r="M166" s="7"/>
      <c r="N166" s="7">
        <f t="shared" si="7"/>
        <v>0</v>
      </c>
      <c r="O166" s="7">
        <f t="shared" si="5"/>
        <v>0</v>
      </c>
      <c r="P166" s="7"/>
    </row>
    <row r="167" spans="1:16" hidden="1" x14ac:dyDescent="0.3">
      <c r="A167" s="5" t="s">
        <v>92</v>
      </c>
      <c r="B167" s="6">
        <v>0</v>
      </c>
      <c r="C167" s="7"/>
      <c r="D167" s="7"/>
      <c r="E167" s="8"/>
      <c r="F167" s="8"/>
      <c r="G167" s="9">
        <v>50</v>
      </c>
      <c r="H167" s="26"/>
      <c r="I167" s="7"/>
      <c r="J167" s="7"/>
      <c r="K167" s="7"/>
      <c r="L167" s="7">
        <v>2</v>
      </c>
      <c r="M167" s="7"/>
      <c r="N167" s="7">
        <f t="shared" si="7"/>
        <v>0</v>
      </c>
      <c r="O167" s="7">
        <f t="shared" si="5"/>
        <v>0</v>
      </c>
      <c r="P167" s="7"/>
    </row>
    <row r="168" spans="1:16" hidden="1" x14ac:dyDescent="0.3">
      <c r="A168" s="5" t="s">
        <v>210</v>
      </c>
      <c r="B168" s="6">
        <v>0</v>
      </c>
      <c r="C168" s="7"/>
      <c r="D168" s="7"/>
      <c r="E168" s="8"/>
      <c r="F168" s="8"/>
      <c r="G168" s="9">
        <v>4000</v>
      </c>
      <c r="H168" s="26">
        <f t="shared" si="6"/>
        <v>0</v>
      </c>
      <c r="I168" s="7"/>
      <c r="J168" s="7">
        <v>365</v>
      </c>
      <c r="K168" s="7"/>
      <c r="L168" s="7">
        <v>395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3">
      <c r="A169" s="5" t="s">
        <v>234</v>
      </c>
      <c r="B169" s="6">
        <v>2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385</v>
      </c>
      <c r="K169" s="7"/>
      <c r="L169" s="7">
        <v>400</v>
      </c>
      <c r="M169" s="7"/>
      <c r="N169" s="7">
        <f t="shared" si="7"/>
        <v>2</v>
      </c>
      <c r="O169" s="7">
        <f t="shared" si="5"/>
        <v>0</v>
      </c>
      <c r="P169" s="7"/>
    </row>
    <row r="170" spans="1:16" hidden="1" x14ac:dyDescent="0.3">
      <c r="A170" s="5" t="s">
        <v>237</v>
      </c>
      <c r="B170" s="6">
        <v>0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410</v>
      </c>
      <c r="K170" s="7"/>
      <c r="L170" s="7">
        <v>550</v>
      </c>
      <c r="M170" s="7"/>
      <c r="N170" s="7">
        <f t="shared" si="7"/>
        <v>0</v>
      </c>
      <c r="O170" s="7">
        <f t="shared" si="5"/>
        <v>0</v>
      </c>
      <c r="P170" s="7"/>
    </row>
    <row r="171" spans="1:16" hidden="1" x14ac:dyDescent="0.3">
      <c r="A171" s="5" t="s">
        <v>251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/>
      <c r="K171" s="7"/>
      <c r="L171" s="7">
        <v>920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3">
      <c r="A172" s="5" t="s">
        <v>93</v>
      </c>
      <c r="B172" s="6">
        <v>2</v>
      </c>
      <c r="C172" s="10"/>
      <c r="D172" s="7"/>
      <c r="E172" s="8"/>
      <c r="F172" s="8"/>
      <c r="G172" s="9">
        <v>4000</v>
      </c>
      <c r="H172" s="26">
        <f t="shared" si="6"/>
        <v>0</v>
      </c>
      <c r="I172" s="7"/>
      <c r="J172" s="7">
        <v>680</v>
      </c>
      <c r="K172" s="7"/>
      <c r="L172" s="7">
        <v>850</v>
      </c>
      <c r="M172" s="7"/>
      <c r="N172" s="7">
        <f t="shared" si="7"/>
        <v>2</v>
      </c>
      <c r="O172" s="7">
        <f t="shared" si="5"/>
        <v>0</v>
      </c>
      <c r="P172" s="7"/>
    </row>
    <row r="173" spans="1:16" x14ac:dyDescent="0.3">
      <c r="A173" s="5" t="s">
        <v>314</v>
      </c>
      <c r="B173" s="6">
        <v>1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/>
      <c r="K173" s="7"/>
      <c r="L173" s="7">
        <v>550</v>
      </c>
      <c r="M173" s="7"/>
      <c r="N173" s="7">
        <f t="shared" si="7"/>
        <v>1</v>
      </c>
      <c r="O173" s="7">
        <f t="shared" si="5"/>
        <v>0</v>
      </c>
      <c r="P173" s="7"/>
    </row>
    <row r="174" spans="1:16" hidden="1" x14ac:dyDescent="0.3">
      <c r="A174" s="5" t="s">
        <v>222</v>
      </c>
      <c r="B174" s="6">
        <v>0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500</v>
      </c>
      <c r="M174" s="7"/>
      <c r="N174" s="7">
        <f t="shared" si="7"/>
        <v>0</v>
      </c>
      <c r="O174" s="7">
        <f t="shared" si="5"/>
        <v>0</v>
      </c>
      <c r="P174" s="7"/>
    </row>
    <row r="175" spans="1:16" x14ac:dyDescent="0.3">
      <c r="A175" s="5" t="s">
        <v>322</v>
      </c>
      <c r="B175" s="6">
        <v>2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850</v>
      </c>
      <c r="M175" s="7"/>
      <c r="N175" s="7">
        <f t="shared" si="7"/>
        <v>2</v>
      </c>
      <c r="O175" s="7">
        <f t="shared" si="5"/>
        <v>0</v>
      </c>
      <c r="P175" s="7"/>
    </row>
    <row r="176" spans="1:16" hidden="1" x14ac:dyDescent="0.3">
      <c r="A176" s="5" t="s">
        <v>95</v>
      </c>
      <c r="B176" s="6">
        <v>0</v>
      </c>
      <c r="C176" s="10"/>
      <c r="D176" s="7"/>
      <c r="E176" s="8"/>
      <c r="F176" s="8"/>
      <c r="G176" s="9">
        <v>500</v>
      </c>
      <c r="H176" s="26">
        <f t="shared" si="6"/>
        <v>0</v>
      </c>
      <c r="I176" s="7"/>
      <c r="J176" s="7"/>
      <c r="K176" s="7"/>
      <c r="L176" s="7">
        <v>18</v>
      </c>
      <c r="M176" s="7"/>
      <c r="N176" s="7">
        <f t="shared" si="7"/>
        <v>0</v>
      </c>
      <c r="O176" s="7">
        <f t="shared" si="5"/>
        <v>0</v>
      </c>
      <c r="P176" s="7"/>
    </row>
    <row r="177" spans="1:16" hidden="1" x14ac:dyDescent="0.3">
      <c r="A177" s="5" t="s">
        <v>184</v>
      </c>
      <c r="B177" s="6">
        <v>0</v>
      </c>
      <c r="C177" s="10"/>
      <c r="D177" s="7"/>
      <c r="E177" s="8"/>
      <c r="F177" s="8"/>
      <c r="G177" s="9">
        <v>18000</v>
      </c>
      <c r="H177" s="26">
        <f t="shared" si="6"/>
        <v>0</v>
      </c>
      <c r="I177" s="7"/>
      <c r="J177" s="7">
        <v>8</v>
      </c>
      <c r="K177" s="7"/>
      <c r="L177" s="7">
        <v>3150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3">
      <c r="A178" s="5" t="s">
        <v>96</v>
      </c>
      <c r="B178" s="6">
        <v>3</v>
      </c>
      <c r="C178" s="10"/>
      <c r="D178" s="7"/>
      <c r="E178" s="8"/>
      <c r="F178" s="8"/>
      <c r="G178" s="9">
        <v>1000</v>
      </c>
      <c r="H178" s="26">
        <f t="shared" si="6"/>
        <v>0</v>
      </c>
      <c r="I178" s="7"/>
      <c r="J178" s="7"/>
      <c r="K178" s="7"/>
      <c r="L178" s="7">
        <v>30</v>
      </c>
      <c r="M178" s="7"/>
      <c r="N178" s="7">
        <f t="shared" si="7"/>
        <v>3</v>
      </c>
      <c r="O178" s="7">
        <f t="shared" si="5"/>
        <v>0</v>
      </c>
      <c r="P178" s="7"/>
    </row>
    <row r="179" spans="1:16" x14ac:dyDescent="0.3">
      <c r="A179" s="5" t="s">
        <v>163</v>
      </c>
      <c r="B179" s="6">
        <v>5</v>
      </c>
      <c r="C179" s="10"/>
      <c r="D179" s="7"/>
      <c r="E179" s="8"/>
      <c r="F179" s="8"/>
      <c r="G179" s="9">
        <v>3000</v>
      </c>
      <c r="H179" s="26">
        <f t="shared" si="6"/>
        <v>0</v>
      </c>
      <c r="I179" s="7"/>
      <c r="J179" s="7">
        <v>260</v>
      </c>
      <c r="K179" s="7"/>
      <c r="L179" s="7">
        <v>295</v>
      </c>
      <c r="M179" s="7"/>
      <c r="N179" s="7">
        <f t="shared" si="7"/>
        <v>5</v>
      </c>
      <c r="O179" s="7">
        <f t="shared" si="5"/>
        <v>0</v>
      </c>
      <c r="P179" s="7"/>
    </row>
    <row r="180" spans="1:16" hidden="1" x14ac:dyDescent="0.3">
      <c r="A180" s="5" t="s">
        <v>97</v>
      </c>
      <c r="B180" s="6">
        <v>0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/>
      <c r="K180" s="7"/>
      <c r="L180" s="7">
        <v>530</v>
      </c>
      <c r="M180" s="7"/>
      <c r="N180" s="7">
        <f t="shared" si="7"/>
        <v>0</v>
      </c>
      <c r="O180" s="7">
        <f t="shared" si="5"/>
        <v>0</v>
      </c>
      <c r="P180" s="7"/>
    </row>
    <row r="181" spans="1:16" x14ac:dyDescent="0.3">
      <c r="A181" s="5" t="s">
        <v>199</v>
      </c>
      <c r="B181" s="6">
        <v>1</v>
      </c>
      <c r="C181" s="10"/>
      <c r="D181" s="7"/>
      <c r="E181" s="8"/>
      <c r="F181" s="8"/>
      <c r="G181" s="9"/>
      <c r="H181" s="26"/>
      <c r="I181" s="7"/>
      <c r="J181" s="7"/>
      <c r="K181" s="7"/>
      <c r="L181" s="7"/>
      <c r="M181" s="7"/>
      <c r="N181" s="7">
        <f t="shared" si="7"/>
        <v>1</v>
      </c>
      <c r="O181" s="7">
        <f t="shared" si="5"/>
        <v>0</v>
      </c>
      <c r="P181" s="7"/>
    </row>
    <row r="182" spans="1:16" x14ac:dyDescent="0.3">
      <c r="A182" s="5" t="s">
        <v>183</v>
      </c>
      <c r="B182" s="6">
        <v>1</v>
      </c>
      <c r="C182" s="10"/>
      <c r="D182" s="7"/>
      <c r="E182" s="8"/>
      <c r="F182" s="8"/>
      <c r="G182" s="9">
        <v>3000</v>
      </c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hidden="1" x14ac:dyDescent="0.3">
      <c r="A183" s="5" t="s">
        <v>240</v>
      </c>
      <c r="B183" s="6">
        <v>0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0</v>
      </c>
      <c r="O183" s="7">
        <f t="shared" ref="O183:O218" si="8">E183*L183+F183*M183</f>
        <v>0</v>
      </c>
      <c r="P183" s="7"/>
    </row>
    <row r="184" spans="1:16" hidden="1" x14ac:dyDescent="0.3">
      <c r="A184" s="5" t="s">
        <v>98</v>
      </c>
      <c r="B184" s="6">
        <v>0</v>
      </c>
      <c r="C184" s="10"/>
      <c r="D184" s="7"/>
      <c r="E184" s="8"/>
      <c r="F184" s="8"/>
      <c r="G184" s="9">
        <v>3000</v>
      </c>
      <c r="H184" s="26">
        <f t="shared" ref="H184:H192" si="9">(E184+F184)*G184</f>
        <v>0</v>
      </c>
      <c r="I184" s="7"/>
      <c r="J184" s="7">
        <v>250</v>
      </c>
      <c r="K184" s="7"/>
      <c r="L184" s="7">
        <v>310</v>
      </c>
      <c r="M184" s="7"/>
      <c r="N184" s="7">
        <f t="shared" si="7"/>
        <v>0</v>
      </c>
      <c r="O184" s="7">
        <f t="shared" si="8"/>
        <v>0</v>
      </c>
      <c r="P184" s="7"/>
    </row>
    <row r="185" spans="1:16" hidden="1" x14ac:dyDescent="0.3">
      <c r="A185" s="5" t="s">
        <v>189</v>
      </c>
      <c r="B185" s="6">
        <v>0</v>
      </c>
      <c r="C185" s="10"/>
      <c r="D185" s="7"/>
      <c r="E185" s="8"/>
      <c r="F185" s="8"/>
      <c r="G185" s="9">
        <v>3000</v>
      </c>
      <c r="H185" s="26">
        <f t="shared" si="9"/>
        <v>0</v>
      </c>
      <c r="I185" s="7"/>
      <c r="J185" s="7"/>
      <c r="K185" s="7"/>
      <c r="L185" s="7">
        <v>260</v>
      </c>
      <c r="M185" s="7"/>
      <c r="N185" s="7">
        <f t="shared" si="7"/>
        <v>0</v>
      </c>
      <c r="O185" s="7">
        <f t="shared" si="8"/>
        <v>0</v>
      </c>
      <c r="P185" s="7"/>
    </row>
    <row r="186" spans="1:16" hidden="1" x14ac:dyDescent="0.3">
      <c r="A186" s="5" t="s">
        <v>190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300</v>
      </c>
      <c r="M186" s="7"/>
      <c r="N186" s="7">
        <f t="shared" si="7"/>
        <v>0</v>
      </c>
      <c r="O186" s="7">
        <f t="shared" si="8"/>
        <v>0</v>
      </c>
      <c r="P186" s="7"/>
    </row>
    <row r="187" spans="1:16" hidden="1" x14ac:dyDescent="0.3">
      <c r="A187" s="5" t="s">
        <v>153</v>
      </c>
      <c r="B187" s="6">
        <v>0</v>
      </c>
      <c r="C187" s="10"/>
      <c r="D187" s="7"/>
      <c r="E187" s="8"/>
      <c r="F187" s="8"/>
      <c r="G187" s="9">
        <v>1000</v>
      </c>
      <c r="H187" s="26">
        <f t="shared" si="9"/>
        <v>0</v>
      </c>
      <c r="I187" s="7"/>
      <c r="J187" s="7"/>
      <c r="K187" s="7"/>
      <c r="L187" s="7">
        <v>100</v>
      </c>
      <c r="M187" s="7"/>
      <c r="N187" s="7">
        <f t="shared" si="7"/>
        <v>0</v>
      </c>
      <c r="O187" s="7">
        <f t="shared" si="8"/>
        <v>0</v>
      </c>
      <c r="P187" s="7"/>
    </row>
    <row r="188" spans="1:16" hidden="1" x14ac:dyDescent="0.3">
      <c r="A188" s="5" t="s">
        <v>150</v>
      </c>
      <c r="B188" s="6">
        <v>0</v>
      </c>
      <c r="C188" s="10"/>
      <c r="D188" s="7"/>
      <c r="E188" s="8"/>
      <c r="F188" s="8"/>
      <c r="G188" s="9">
        <v>3000</v>
      </c>
      <c r="H188" s="26">
        <f t="shared" si="9"/>
        <v>0</v>
      </c>
      <c r="I188" s="7"/>
      <c r="J188" s="7">
        <v>220</v>
      </c>
      <c r="K188" s="7"/>
      <c r="L188" s="7">
        <v>310</v>
      </c>
      <c r="M188" s="7"/>
      <c r="N188" s="7">
        <f t="shared" si="7"/>
        <v>0</v>
      </c>
      <c r="O188" s="7">
        <f t="shared" si="8"/>
        <v>0</v>
      </c>
      <c r="P188" s="7"/>
    </row>
    <row r="189" spans="1:16" hidden="1" x14ac:dyDescent="0.3">
      <c r="A189" s="5" t="s">
        <v>99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/>
      <c r="K189" s="7"/>
      <c r="L189" s="7">
        <v>425</v>
      </c>
      <c r="M189" s="7"/>
      <c r="N189" s="7">
        <f t="shared" si="7"/>
        <v>0</v>
      </c>
      <c r="O189" s="7">
        <f t="shared" si="8"/>
        <v>0</v>
      </c>
      <c r="P189" s="7"/>
    </row>
    <row r="190" spans="1:16" hidden="1" x14ac:dyDescent="0.3">
      <c r="A190" s="5" t="s">
        <v>213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430</v>
      </c>
      <c r="M190" s="7"/>
      <c r="N190" s="7">
        <f t="shared" si="7"/>
        <v>0</v>
      </c>
      <c r="O190" s="7">
        <f t="shared" si="8"/>
        <v>0</v>
      </c>
      <c r="P190" s="7"/>
    </row>
    <row r="191" spans="1:16" hidden="1" x14ac:dyDescent="0.3">
      <c r="A191" s="5" t="s">
        <v>165</v>
      </c>
      <c r="B191" s="6">
        <v>0</v>
      </c>
      <c r="C191" s="10"/>
      <c r="D191" s="7"/>
      <c r="E191" s="8"/>
      <c r="F191" s="8"/>
      <c r="G191" s="9">
        <v>3000</v>
      </c>
      <c r="H191" s="26"/>
      <c r="I191" s="7"/>
      <c r="J191" s="7"/>
      <c r="K191" s="7"/>
      <c r="L191" s="7"/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3">
      <c r="A192" s="5" t="s">
        <v>296</v>
      </c>
      <c r="B192" s="6">
        <v>1</v>
      </c>
      <c r="C192" s="10"/>
      <c r="D192" s="7"/>
      <c r="E192" s="8"/>
      <c r="F192" s="8"/>
      <c r="G192" s="9">
        <v>3000</v>
      </c>
      <c r="H192" s="26">
        <f t="shared" si="9"/>
        <v>0</v>
      </c>
      <c r="I192" s="7"/>
      <c r="J192" s="7">
        <v>190</v>
      </c>
      <c r="K192" s="7"/>
      <c r="L192" s="7">
        <v>260</v>
      </c>
      <c r="M192" s="7"/>
      <c r="N192" s="7">
        <f t="shared" si="7"/>
        <v>1</v>
      </c>
      <c r="O192" s="7">
        <f t="shared" si="8"/>
        <v>0</v>
      </c>
      <c r="P192" s="7"/>
    </row>
    <row r="193" spans="1:16" hidden="1" x14ac:dyDescent="0.3">
      <c r="A193" s="5" t="s">
        <v>252</v>
      </c>
      <c r="B193" s="6">
        <v>0</v>
      </c>
      <c r="C193" s="10"/>
      <c r="D193" s="7"/>
      <c r="E193" s="8"/>
      <c r="F193" s="8"/>
      <c r="G193" s="9">
        <v>3000</v>
      </c>
      <c r="H193" s="26">
        <f t="shared" si="6"/>
        <v>0</v>
      </c>
      <c r="I193" s="7"/>
      <c r="J193" s="7"/>
      <c r="K193" s="7"/>
      <c r="L193" s="7">
        <v>255</v>
      </c>
      <c r="M193" s="7"/>
      <c r="N193" s="7">
        <f t="shared" si="7"/>
        <v>0</v>
      </c>
      <c r="O193" s="7">
        <f t="shared" si="8"/>
        <v>0</v>
      </c>
      <c r="P193" s="7"/>
    </row>
    <row r="194" spans="1:16" hidden="1" x14ac:dyDescent="0.3">
      <c r="A194" s="5" t="s">
        <v>156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360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3">
      <c r="A195" s="5" t="s">
        <v>100</v>
      </c>
      <c r="B195" s="6">
        <v>3</v>
      </c>
      <c r="C195" s="10"/>
      <c r="D195" s="7"/>
      <c r="E195" s="8"/>
      <c r="F195" s="8"/>
      <c r="G195" s="9">
        <v>1000</v>
      </c>
      <c r="H195" s="26">
        <f t="shared" si="6"/>
        <v>0</v>
      </c>
      <c r="I195" s="7"/>
      <c r="J195" s="7"/>
      <c r="K195" s="7"/>
      <c r="L195" s="7">
        <v>80</v>
      </c>
      <c r="M195" s="7"/>
      <c r="N195" s="7">
        <f t="shared" si="7"/>
        <v>3</v>
      </c>
      <c r="O195" s="7">
        <f t="shared" si="8"/>
        <v>0</v>
      </c>
      <c r="P195" s="7"/>
    </row>
    <row r="196" spans="1:16" x14ac:dyDescent="0.3">
      <c r="A196" s="5" t="s">
        <v>101</v>
      </c>
      <c r="B196" s="6">
        <v>2</v>
      </c>
      <c r="C196" s="10"/>
      <c r="D196" s="7"/>
      <c r="E196" s="8"/>
      <c r="F196" s="8"/>
      <c r="G196" s="9">
        <v>3000</v>
      </c>
      <c r="H196" s="26">
        <f t="shared" si="6"/>
        <v>0</v>
      </c>
      <c r="I196" s="7"/>
      <c r="J196" s="7">
        <v>160</v>
      </c>
      <c r="K196" s="7"/>
      <c r="L196" s="7">
        <v>175</v>
      </c>
      <c r="M196" s="7"/>
      <c r="N196" s="7">
        <f t="shared" si="7"/>
        <v>2</v>
      </c>
      <c r="O196" s="7">
        <f t="shared" si="8"/>
        <v>0</v>
      </c>
      <c r="P196" s="7"/>
    </row>
    <row r="197" spans="1:16" hidden="1" x14ac:dyDescent="0.3">
      <c r="A197" s="5" t="s">
        <v>174</v>
      </c>
      <c r="B197" s="6">
        <v>0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/>
      <c r="K197" s="7"/>
      <c r="L197" s="7">
        <v>250</v>
      </c>
      <c r="M197" s="7"/>
      <c r="N197" s="7">
        <f t="shared" si="7"/>
        <v>0</v>
      </c>
      <c r="O197" s="7">
        <f t="shared" si="8"/>
        <v>0</v>
      </c>
      <c r="P197" s="7"/>
    </row>
    <row r="198" spans="1:16" x14ac:dyDescent="0.3">
      <c r="A198" s="5" t="s">
        <v>262</v>
      </c>
      <c r="B198" s="6">
        <v>3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175</v>
      </c>
      <c r="M198" s="7">
        <v>0</v>
      </c>
      <c r="N198" s="7">
        <f t="shared" si="7"/>
        <v>3</v>
      </c>
      <c r="O198" s="7">
        <f t="shared" si="8"/>
        <v>0</v>
      </c>
      <c r="P198" s="7"/>
    </row>
    <row r="199" spans="1:16" x14ac:dyDescent="0.3">
      <c r="A199" s="5" t="s">
        <v>166</v>
      </c>
      <c r="B199" s="6">
        <v>9</v>
      </c>
      <c r="C199" s="10"/>
      <c r="D199" s="7"/>
      <c r="E199" s="8"/>
      <c r="F199" s="8"/>
      <c r="G199" s="9">
        <v>500</v>
      </c>
      <c r="H199" s="26">
        <f t="shared" si="6"/>
        <v>0</v>
      </c>
      <c r="I199" s="7"/>
      <c r="J199" s="7"/>
      <c r="K199" s="7"/>
      <c r="L199" s="7">
        <v>5</v>
      </c>
      <c r="M199" s="7"/>
      <c r="N199" s="7">
        <f t="shared" si="7"/>
        <v>9</v>
      </c>
      <c r="O199" s="7">
        <f t="shared" si="8"/>
        <v>0</v>
      </c>
      <c r="P199" s="7"/>
    </row>
    <row r="200" spans="1:16" x14ac:dyDescent="0.3">
      <c r="A200" s="5" t="s">
        <v>248</v>
      </c>
      <c r="B200" s="6">
        <v>2</v>
      </c>
      <c r="C200" s="10"/>
      <c r="D200" s="7"/>
      <c r="E200" s="8"/>
      <c r="F200" s="8"/>
      <c r="G200" s="9">
        <v>2000</v>
      </c>
      <c r="H200" s="26">
        <f t="shared" si="6"/>
        <v>0</v>
      </c>
      <c r="I200" s="7"/>
      <c r="J200" s="7"/>
      <c r="K200" s="7"/>
      <c r="L200" s="7">
        <v>280</v>
      </c>
      <c r="M200" s="7"/>
      <c r="N200" s="7">
        <f t="shared" si="7"/>
        <v>2</v>
      </c>
      <c r="O200" s="7">
        <f t="shared" si="8"/>
        <v>0</v>
      </c>
      <c r="P200" s="7"/>
    </row>
    <row r="201" spans="1:16" x14ac:dyDescent="0.3">
      <c r="A201" s="5" t="s">
        <v>249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240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3">
      <c r="A202" s="5" t="s">
        <v>250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220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3">
      <c r="A203" s="5" t="s">
        <v>102</v>
      </c>
      <c r="B203" s="6">
        <v>8</v>
      </c>
      <c r="C203" s="10"/>
      <c r="D203" s="7"/>
      <c r="E203" s="8"/>
      <c r="F203" s="8"/>
      <c r="G203" s="9">
        <v>500</v>
      </c>
      <c r="H203" s="26">
        <f t="shared" si="6"/>
        <v>0</v>
      </c>
      <c r="I203" s="7"/>
      <c r="J203" s="7"/>
      <c r="K203" s="7"/>
      <c r="L203" s="7">
        <v>20</v>
      </c>
      <c r="M203" s="7"/>
      <c r="N203" s="7">
        <f t="shared" si="7"/>
        <v>8</v>
      </c>
      <c r="O203" s="7">
        <f t="shared" si="8"/>
        <v>0</v>
      </c>
      <c r="P203" s="7"/>
    </row>
    <row r="204" spans="1:16" x14ac:dyDescent="0.3">
      <c r="A204" s="5" t="s">
        <v>282</v>
      </c>
      <c r="B204" s="6">
        <v>24</v>
      </c>
      <c r="C204" s="10"/>
      <c r="D204" s="7"/>
      <c r="E204" s="8"/>
      <c r="F204" s="8"/>
      <c r="G204" s="9">
        <v>200</v>
      </c>
      <c r="H204" s="26">
        <f t="shared" si="6"/>
        <v>0</v>
      </c>
      <c r="I204" s="7"/>
      <c r="J204" s="7"/>
      <c r="K204" s="7"/>
      <c r="L204" s="7">
        <v>5</v>
      </c>
      <c r="M204" s="7"/>
      <c r="N204" s="7">
        <f t="shared" si="7"/>
        <v>24</v>
      </c>
      <c r="O204" s="7">
        <f t="shared" si="8"/>
        <v>0</v>
      </c>
      <c r="P204" s="7"/>
    </row>
    <row r="205" spans="1:16" hidden="1" x14ac:dyDescent="0.3">
      <c r="A205" s="5" t="s">
        <v>253</v>
      </c>
      <c r="B205" s="6">
        <v>0</v>
      </c>
      <c r="C205" s="10"/>
      <c r="D205" s="7"/>
      <c r="E205" s="8"/>
      <c r="F205" s="8"/>
      <c r="G205" s="9">
        <v>1000</v>
      </c>
      <c r="H205" s="26">
        <f t="shared" si="6"/>
        <v>0</v>
      </c>
      <c r="I205" s="7"/>
      <c r="J205" s="7">
        <v>30</v>
      </c>
      <c r="K205" s="7"/>
      <c r="L205" s="7">
        <v>45</v>
      </c>
      <c r="M205" s="7"/>
      <c r="N205" s="7">
        <f t="shared" si="7"/>
        <v>0</v>
      </c>
      <c r="O205" s="7">
        <f t="shared" si="8"/>
        <v>0</v>
      </c>
      <c r="P205" s="7"/>
    </row>
    <row r="206" spans="1:16" hidden="1" x14ac:dyDescent="0.3">
      <c r="A206" s="5" t="s">
        <v>152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/>
      <c r="K206" s="7"/>
      <c r="L206" s="7">
        <v>50</v>
      </c>
      <c r="M206" s="7"/>
      <c r="N206" s="7">
        <f t="shared" si="7"/>
        <v>0</v>
      </c>
      <c r="O206" s="7">
        <f t="shared" si="8"/>
        <v>0</v>
      </c>
      <c r="P206" s="7"/>
    </row>
    <row r="207" spans="1:16" hidden="1" x14ac:dyDescent="0.3">
      <c r="A207" s="5" t="s">
        <v>103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65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3">
      <c r="A208" s="5" t="s">
        <v>264</v>
      </c>
      <c r="B208" s="6">
        <v>2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>
        <v>26</v>
      </c>
      <c r="K208" s="7"/>
      <c r="L208" s="7">
        <v>45</v>
      </c>
      <c r="M208" s="7"/>
      <c r="N208" s="7">
        <f t="shared" si="7"/>
        <v>2</v>
      </c>
      <c r="O208" s="7">
        <f t="shared" si="8"/>
        <v>0</v>
      </c>
      <c r="P208" s="7"/>
    </row>
    <row r="209" spans="1:16" x14ac:dyDescent="0.3">
      <c r="A209" s="5" t="s">
        <v>245</v>
      </c>
      <c r="B209" s="6">
        <v>2</v>
      </c>
      <c r="C209" s="10"/>
      <c r="D209" s="7"/>
      <c r="E209" s="8"/>
      <c r="F209" s="8"/>
      <c r="G209" s="9">
        <v>3000</v>
      </c>
      <c r="H209" s="26">
        <f t="shared" si="6"/>
        <v>0</v>
      </c>
      <c r="I209" s="7"/>
      <c r="J209" s="7">
        <v>60</v>
      </c>
      <c r="K209" s="7"/>
      <c r="L209" s="7">
        <v>140</v>
      </c>
      <c r="M209" s="7"/>
      <c r="N209" s="7">
        <f t="shared" si="7"/>
        <v>2</v>
      </c>
      <c r="O209" s="7">
        <f t="shared" si="8"/>
        <v>0</v>
      </c>
      <c r="P209" s="7"/>
    </row>
    <row r="210" spans="1:16" x14ac:dyDescent="0.3">
      <c r="A210" s="5" t="s">
        <v>104</v>
      </c>
      <c r="B210" s="6">
        <v>2</v>
      </c>
      <c r="C210" s="10"/>
      <c r="D210" s="7"/>
      <c r="E210" s="8"/>
      <c r="F210" s="8"/>
      <c r="G210" s="9">
        <v>1000</v>
      </c>
      <c r="H210" s="26">
        <f t="shared" si="6"/>
        <v>0</v>
      </c>
      <c r="I210" s="7"/>
      <c r="J210" s="7">
        <v>42</v>
      </c>
      <c r="K210" s="7"/>
      <c r="L210" s="7">
        <v>70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3">
      <c r="A211" s="5" t="s">
        <v>293</v>
      </c>
      <c r="B211" s="6">
        <v>20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/>
      <c r="K211" s="7"/>
      <c r="L211" s="7">
        <v>110</v>
      </c>
      <c r="M211" s="7"/>
      <c r="N211" s="7">
        <f t="shared" si="7"/>
        <v>20</v>
      </c>
      <c r="O211" s="7">
        <f t="shared" si="8"/>
        <v>0</v>
      </c>
      <c r="P211" s="7"/>
    </row>
    <row r="212" spans="1:16" x14ac:dyDescent="0.3">
      <c r="A212" s="5" t="s">
        <v>313</v>
      </c>
      <c r="B212" s="6">
        <v>10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100</v>
      </c>
      <c r="M212" s="7"/>
      <c r="N212" s="7">
        <f t="shared" si="7"/>
        <v>10</v>
      </c>
      <c r="O212" s="7">
        <f t="shared" si="8"/>
        <v>0</v>
      </c>
      <c r="P212" s="7"/>
    </row>
    <row r="213" spans="1:16" x14ac:dyDescent="0.3">
      <c r="A213" s="5" t="s">
        <v>266</v>
      </c>
      <c r="B213" s="6">
        <v>6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75</v>
      </c>
      <c r="M213" s="7"/>
      <c r="N213" s="7">
        <f t="shared" si="7"/>
        <v>6</v>
      </c>
      <c r="O213" s="7">
        <f t="shared" si="8"/>
        <v>0</v>
      </c>
      <c r="P213" s="7"/>
    </row>
    <row r="214" spans="1:16" hidden="1" x14ac:dyDescent="0.3">
      <c r="A214" s="5" t="s">
        <v>105</v>
      </c>
      <c r="B214" s="6">
        <v>0</v>
      </c>
      <c r="C214" s="10"/>
      <c r="D214" s="7"/>
      <c r="E214" s="8"/>
      <c r="F214" s="8"/>
      <c r="G214" s="9">
        <v>1000</v>
      </c>
      <c r="H214" s="26">
        <f t="shared" si="6"/>
        <v>0</v>
      </c>
      <c r="I214" s="7"/>
      <c r="J214" s="7"/>
      <c r="K214" s="7"/>
      <c r="L214" s="7">
        <v>90</v>
      </c>
      <c r="M214" s="7"/>
      <c r="N214" s="7">
        <f t="shared" si="7"/>
        <v>0</v>
      </c>
      <c r="O214" s="7">
        <f t="shared" si="8"/>
        <v>0</v>
      </c>
      <c r="P214" s="7"/>
    </row>
    <row r="215" spans="1:16" x14ac:dyDescent="0.3">
      <c r="A215" s="5" t="s">
        <v>265</v>
      </c>
      <c r="B215" s="6">
        <v>5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45</v>
      </c>
      <c r="M215" s="7"/>
      <c r="N215" s="7">
        <f t="shared" si="7"/>
        <v>5</v>
      </c>
      <c r="O215" s="7">
        <f t="shared" si="8"/>
        <v>0</v>
      </c>
      <c r="P215" s="7"/>
    </row>
    <row r="216" spans="1:16" x14ac:dyDescent="0.3">
      <c r="A216" s="5" t="s">
        <v>195</v>
      </c>
      <c r="B216" s="6">
        <v>1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</v>
      </c>
      <c r="O216" s="7">
        <f t="shared" si="8"/>
        <v>0</v>
      </c>
      <c r="P216" s="7"/>
    </row>
    <row r="217" spans="1:16" x14ac:dyDescent="0.3">
      <c r="A217" s="5" t="s">
        <v>106</v>
      </c>
      <c r="B217" s="6">
        <v>2</v>
      </c>
      <c r="C217" s="7"/>
      <c r="D217" s="7"/>
      <c r="E217" s="8"/>
      <c r="F217" s="8"/>
      <c r="G217" s="9">
        <v>2000</v>
      </c>
      <c r="H217" s="26">
        <f t="shared" si="6"/>
        <v>0</v>
      </c>
      <c r="I217" s="7"/>
      <c r="J217" s="7">
        <v>40</v>
      </c>
      <c r="K217" s="7"/>
      <c r="L217" s="7">
        <v>50</v>
      </c>
      <c r="M217" s="7"/>
      <c r="N217" s="7">
        <f t="shared" si="7"/>
        <v>2</v>
      </c>
      <c r="O217" s="7">
        <f t="shared" si="8"/>
        <v>0</v>
      </c>
      <c r="P217" s="7"/>
    </row>
    <row r="218" spans="1:16" hidden="1" x14ac:dyDescent="0.3">
      <c r="A218" s="5" t="s">
        <v>192</v>
      </c>
      <c r="B218" s="6">
        <v>0</v>
      </c>
      <c r="C218" s="7"/>
      <c r="D218" s="7"/>
      <c r="E218" s="8"/>
      <c r="F218" s="8"/>
      <c r="G218" s="9">
        <v>3000</v>
      </c>
      <c r="H218" s="26">
        <f t="shared" si="6"/>
        <v>0</v>
      </c>
      <c r="I218" s="7"/>
      <c r="J218" s="7"/>
      <c r="K218" s="7"/>
      <c r="L218" s="7">
        <v>500</v>
      </c>
      <c r="M218" s="7"/>
      <c r="N218" s="7">
        <f t="shared" si="7"/>
        <v>0</v>
      </c>
      <c r="O218" s="7">
        <f t="shared" si="8"/>
        <v>0</v>
      </c>
      <c r="P218" s="7"/>
    </row>
    <row r="219" spans="1:16" x14ac:dyDescent="0.3">
      <c r="A219" s="5" t="s">
        <v>202</v>
      </c>
      <c r="B219" s="6">
        <v>7</v>
      </c>
      <c r="C219" s="7"/>
      <c r="D219" s="7"/>
      <c r="E219" s="8"/>
      <c r="F219" s="8"/>
      <c r="G219" s="9"/>
      <c r="H219" s="26"/>
      <c r="I219" s="7"/>
      <c r="J219" s="7"/>
      <c r="K219" s="7"/>
      <c r="L219" s="7"/>
      <c r="M219" s="7"/>
      <c r="N219" s="7">
        <f t="shared" si="7"/>
        <v>7</v>
      </c>
      <c r="O219" s="7"/>
      <c r="P219" s="7"/>
    </row>
    <row r="220" spans="1:16" hidden="1" x14ac:dyDescent="0.3">
      <c r="A220" s="5" t="s">
        <v>205</v>
      </c>
      <c r="B220" s="6">
        <v>0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0</v>
      </c>
      <c r="O220" s="7"/>
      <c r="P220" s="7"/>
    </row>
    <row r="221" spans="1:16" x14ac:dyDescent="0.3">
      <c r="A221" s="5" t="s">
        <v>169</v>
      </c>
      <c r="B221" s="6">
        <v>102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102</v>
      </c>
      <c r="O221" s="7"/>
      <c r="P221" s="7"/>
    </row>
    <row r="222" spans="1:16" hidden="1" x14ac:dyDescent="0.3">
      <c r="A222" s="5" t="s">
        <v>170</v>
      </c>
      <c r="B222" s="6">
        <v>0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0</v>
      </c>
      <c r="O222" s="7"/>
      <c r="P222" s="7"/>
    </row>
    <row r="223" spans="1:16" x14ac:dyDescent="0.3">
      <c r="A223" s="5" t="s">
        <v>206</v>
      </c>
      <c r="B223" s="6">
        <v>52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52</v>
      </c>
      <c r="O223" s="7"/>
      <c r="P223" s="7"/>
    </row>
    <row r="224" spans="1:16" x14ac:dyDescent="0.3">
      <c r="A224" s="5" t="s">
        <v>171</v>
      </c>
      <c r="B224" s="6">
        <v>7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7</v>
      </c>
      <c r="O224" s="7"/>
      <c r="P224" s="7"/>
    </row>
    <row r="225" spans="1:16" x14ac:dyDescent="0.3">
      <c r="A225" s="5" t="s">
        <v>204</v>
      </c>
      <c r="B225" s="6">
        <v>38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38</v>
      </c>
      <c r="O225" s="7"/>
      <c r="P225" s="7"/>
    </row>
    <row r="226" spans="1:16" x14ac:dyDescent="0.3">
      <c r="A226" s="5" t="s">
        <v>203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hidden="1" x14ac:dyDescent="0.3">
      <c r="A227" s="5" t="s">
        <v>207</v>
      </c>
      <c r="B227" s="6">
        <v>0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0</v>
      </c>
      <c r="O227" s="7"/>
      <c r="P227" s="7"/>
    </row>
    <row r="228" spans="1:16" x14ac:dyDescent="0.3">
      <c r="A228" s="12" t="s">
        <v>107</v>
      </c>
      <c r="B228" s="13">
        <v>943</v>
      </c>
      <c r="C228" s="14"/>
      <c r="D228" s="14"/>
      <c r="E228" s="15"/>
      <c r="F228" s="15"/>
      <c r="G228" s="16"/>
      <c r="H228" s="27">
        <f>SUM(H2:H218)</f>
        <v>0</v>
      </c>
      <c r="I228" s="17">
        <f>SUM(I2:I217)</f>
        <v>0</v>
      </c>
      <c r="J228" s="17"/>
      <c r="K228" s="17">
        <f>SUM(K2:K217)</f>
        <v>0</v>
      </c>
      <c r="L228" s="17"/>
      <c r="M228" s="17"/>
      <c r="N228" s="17">
        <f>SUM(N2:N227)</f>
        <v>942</v>
      </c>
      <c r="O228" s="17">
        <f>SUM(O2:O227)</f>
        <v>0</v>
      </c>
      <c r="P228" s="17">
        <f>SUM(P2:P227)</f>
        <v>-9</v>
      </c>
    </row>
    <row r="229" spans="1:16" hidden="1" x14ac:dyDescent="0.3">
      <c r="A229" s="18" t="s">
        <v>108</v>
      </c>
      <c r="B229" s="18">
        <f>O228</f>
        <v>0</v>
      </c>
      <c r="C229" s="2" t="s">
        <v>109</v>
      </c>
      <c r="D229" s="2" t="s">
        <v>110</v>
      </c>
      <c r="N229" s="29"/>
    </row>
    <row r="230" spans="1:16" hidden="1" x14ac:dyDescent="0.3">
      <c r="A230" s="19" t="s">
        <v>111</v>
      </c>
      <c r="B230" s="20">
        <f>(C230+D230)/670</f>
        <v>0</v>
      </c>
      <c r="C230" s="8"/>
      <c r="D230" s="8"/>
    </row>
    <row r="231" spans="1:16" x14ac:dyDescent="0.3">
      <c r="A231" s="19" t="s">
        <v>14</v>
      </c>
      <c r="B231" s="21">
        <v>150</v>
      </c>
      <c r="C231" s="8" t="s">
        <v>126</v>
      </c>
      <c r="D231" s="8"/>
    </row>
    <row r="232" spans="1:16" hidden="1" x14ac:dyDescent="0.3">
      <c r="A232" s="19" t="s">
        <v>112</v>
      </c>
      <c r="B232" s="20">
        <f>D232/670</f>
        <v>0</v>
      </c>
      <c r="C232" s="8"/>
      <c r="D232" s="8"/>
    </row>
    <row r="233" spans="1:16" hidden="1" x14ac:dyDescent="0.3">
      <c r="A233" s="19" t="s">
        <v>113</v>
      </c>
      <c r="B233" s="20"/>
      <c r="C233" s="8"/>
      <c r="D233" s="8"/>
    </row>
    <row r="234" spans="1:16" x14ac:dyDescent="0.3">
      <c r="A234" s="12" t="s">
        <v>114</v>
      </c>
      <c r="B234" s="22">
        <f>B229+B230+B232+B233+B231</f>
        <v>150</v>
      </c>
      <c r="C234" s="8"/>
      <c r="D234" s="8"/>
    </row>
    <row r="235" spans="1:16" hidden="1" x14ac:dyDescent="0.3">
      <c r="A235" s="19" t="s">
        <v>6</v>
      </c>
      <c r="B235" s="20">
        <f>D235/670</f>
        <v>0</v>
      </c>
      <c r="C235" s="8"/>
      <c r="D235" s="8"/>
    </row>
    <row r="236" spans="1:16" hidden="1" x14ac:dyDescent="0.3">
      <c r="A236" s="19" t="s">
        <v>115</v>
      </c>
      <c r="B236" s="20">
        <f>C236/670</f>
        <v>0</v>
      </c>
      <c r="C236" s="8"/>
      <c r="D236" s="8"/>
    </row>
    <row r="237" spans="1:16" hidden="1" x14ac:dyDescent="0.3">
      <c r="A237" s="19" t="s">
        <v>64</v>
      </c>
      <c r="B237" s="20">
        <f>C237/670</f>
        <v>0</v>
      </c>
      <c r="C237" s="8"/>
      <c r="D237" s="8"/>
    </row>
    <row r="238" spans="1:16" hidden="1" x14ac:dyDescent="0.3">
      <c r="A238" s="19" t="s">
        <v>116</v>
      </c>
      <c r="B238" s="20"/>
      <c r="C238" s="8"/>
      <c r="D238" s="8"/>
    </row>
    <row r="239" spans="1:16" hidden="1" x14ac:dyDescent="0.3">
      <c r="A239" s="12" t="s">
        <v>117</v>
      </c>
      <c r="B239" s="20">
        <f>B235+B236+B237+B238</f>
        <v>0</v>
      </c>
      <c r="C239" s="8"/>
      <c r="D239" s="8"/>
    </row>
    <row r="240" spans="1:16" x14ac:dyDescent="0.3">
      <c r="A240" s="12" t="s">
        <v>118</v>
      </c>
      <c r="B240" s="22">
        <f>B234-B239</f>
        <v>150</v>
      </c>
      <c r="C240" s="8"/>
      <c r="D240" s="8"/>
    </row>
    <row r="241" spans="1:6" hidden="1" x14ac:dyDescent="0.3">
      <c r="A241" s="19" t="s">
        <v>119</v>
      </c>
      <c r="B241" s="20">
        <f>C241/670</f>
        <v>0</v>
      </c>
      <c r="C241" s="8"/>
      <c r="D241" s="8"/>
    </row>
    <row r="242" spans="1:6" hidden="1" x14ac:dyDescent="0.3">
      <c r="A242" s="19" t="s">
        <v>120</v>
      </c>
      <c r="B242" s="20"/>
      <c r="C242" s="8"/>
      <c r="D242" s="8"/>
    </row>
    <row r="243" spans="1:6" hidden="1" x14ac:dyDescent="0.3">
      <c r="A243" s="19" t="s">
        <v>121</v>
      </c>
      <c r="B243" s="20">
        <f>C243/2</f>
        <v>0</v>
      </c>
      <c r="C243" s="8"/>
      <c r="D243" s="8"/>
    </row>
    <row r="244" spans="1:6" hidden="1" x14ac:dyDescent="0.3">
      <c r="A244" s="12" t="s">
        <v>122</v>
      </c>
      <c r="B244" s="22">
        <f>B241+B242+B243</f>
        <v>0</v>
      </c>
      <c r="C244" s="8"/>
      <c r="D244" s="8"/>
    </row>
    <row r="245" spans="1:6" hidden="1" x14ac:dyDescent="0.3">
      <c r="A245" s="19" t="s">
        <v>123</v>
      </c>
      <c r="B245" s="20"/>
      <c r="C245" s="8"/>
      <c r="D245" s="8"/>
    </row>
    <row r="246" spans="1:6" hidden="1" x14ac:dyDescent="0.3">
      <c r="A246" s="19" t="s">
        <v>36</v>
      </c>
      <c r="B246" s="20"/>
      <c r="C246" s="8"/>
      <c r="D246" s="8"/>
    </row>
    <row r="247" spans="1:6" hidden="1" x14ac:dyDescent="0.3">
      <c r="A247" s="19" t="s">
        <v>124</v>
      </c>
      <c r="B247" s="20">
        <f>C247/2.3</f>
        <v>0</v>
      </c>
      <c r="C247" s="8"/>
      <c r="D247" s="8"/>
    </row>
    <row r="248" spans="1:6" hidden="1" x14ac:dyDescent="0.3">
      <c r="A248" s="19" t="s">
        <v>125</v>
      </c>
      <c r="B248" s="20">
        <f>C248/670</f>
        <v>0</v>
      </c>
      <c r="C248" s="8"/>
      <c r="D248" s="8"/>
      <c r="F248" t="s">
        <v>126</v>
      </c>
    </row>
    <row r="249" spans="1:6" hidden="1" x14ac:dyDescent="0.3">
      <c r="A249" s="19" t="s">
        <v>127</v>
      </c>
      <c r="B249" s="20">
        <f>D249/670</f>
        <v>0</v>
      </c>
      <c r="C249" s="8"/>
      <c r="D249" s="8"/>
    </row>
    <row r="250" spans="1:6" hidden="1" x14ac:dyDescent="0.3">
      <c r="A250" s="12" t="s">
        <v>128</v>
      </c>
      <c r="B250" s="22">
        <f>B245+B246+B247+B248+B249</f>
        <v>0</v>
      </c>
      <c r="C250" s="8"/>
      <c r="D250" s="8"/>
    </row>
    <row r="251" spans="1:6" hidden="1" x14ac:dyDescent="0.3">
      <c r="A251" s="19" t="s">
        <v>129</v>
      </c>
      <c r="B251" s="20">
        <f>C251/670</f>
        <v>0</v>
      </c>
      <c r="C251" s="8"/>
      <c r="D251" s="8"/>
    </row>
    <row r="252" spans="1:6" hidden="1" x14ac:dyDescent="0.3">
      <c r="A252" s="12" t="s">
        <v>107</v>
      </c>
      <c r="B252" s="22">
        <f>B251</f>
        <v>0</v>
      </c>
      <c r="C252" s="8"/>
      <c r="D252" s="8"/>
    </row>
    <row r="253" spans="1:6" x14ac:dyDescent="0.3">
      <c r="A253" s="12" t="s">
        <v>130</v>
      </c>
      <c r="B253" s="20">
        <f>B240-B244-B250-B252</f>
        <v>150</v>
      </c>
      <c r="C253" s="8" t="s">
        <v>126</v>
      </c>
      <c r="D253" s="8"/>
    </row>
    <row r="255" spans="1:6" x14ac:dyDescent="0.3">
      <c r="A255" s="12" t="s">
        <v>131</v>
      </c>
      <c r="B255" s="23" t="s">
        <v>10</v>
      </c>
    </row>
    <row r="256" spans="1:6" x14ac:dyDescent="0.3">
      <c r="A256" s="12" t="s">
        <v>132</v>
      </c>
      <c r="B256" s="7"/>
    </row>
    <row r="257" spans="1:2" x14ac:dyDescent="0.3">
      <c r="A257" s="19" t="s">
        <v>133</v>
      </c>
      <c r="B257" s="7"/>
    </row>
    <row r="258" spans="1:2" x14ac:dyDescent="0.3">
      <c r="A258" s="12" t="s">
        <v>134</v>
      </c>
      <c r="B258" s="17">
        <f>B256-B257</f>
        <v>0</v>
      </c>
    </row>
    <row r="259" spans="1:2" x14ac:dyDescent="0.3">
      <c r="A259" s="12" t="s">
        <v>135</v>
      </c>
      <c r="B259" s="17">
        <f>B260+B261+B262+B263+B264+B265+B266+B267</f>
        <v>0</v>
      </c>
    </row>
    <row r="260" spans="1:2" x14ac:dyDescent="0.3">
      <c r="A260" s="19" t="s">
        <v>136</v>
      </c>
      <c r="B260" s="7"/>
    </row>
    <row r="261" spans="1:2" x14ac:dyDescent="0.3">
      <c r="A261" s="19" t="s">
        <v>137</v>
      </c>
      <c r="B261" s="7"/>
    </row>
    <row r="262" spans="1:2" x14ac:dyDescent="0.3">
      <c r="A262" s="19" t="s">
        <v>138</v>
      </c>
      <c r="B262" s="7"/>
    </row>
    <row r="263" spans="1:2" x14ac:dyDescent="0.3">
      <c r="A263" s="19" t="s">
        <v>139</v>
      </c>
      <c r="B263" s="7"/>
    </row>
    <row r="264" spans="1:2" x14ac:dyDescent="0.3">
      <c r="A264" s="19" t="s">
        <v>140</v>
      </c>
      <c r="B264" s="7"/>
    </row>
    <row r="265" spans="1:2" x14ac:dyDescent="0.3">
      <c r="A265" s="19" t="s">
        <v>141</v>
      </c>
      <c r="B265" s="7"/>
    </row>
    <row r="266" spans="1:2" x14ac:dyDescent="0.3">
      <c r="A266" s="19" t="s">
        <v>142</v>
      </c>
      <c r="B266" s="7"/>
    </row>
    <row r="267" spans="1:2" x14ac:dyDescent="0.3">
      <c r="A267" s="19" t="s">
        <v>143</v>
      </c>
      <c r="B267" s="7"/>
    </row>
    <row r="268" spans="1:2" x14ac:dyDescent="0.3">
      <c r="A268" s="12" t="s">
        <v>144</v>
      </c>
      <c r="B268" s="17">
        <f>B269+B270+B271</f>
        <v>0</v>
      </c>
    </row>
    <row r="269" spans="1:2" x14ac:dyDescent="0.3">
      <c r="A269" s="19" t="s">
        <v>145</v>
      </c>
      <c r="B269" s="7"/>
    </row>
    <row r="270" spans="1:2" x14ac:dyDescent="0.3">
      <c r="A270" s="19" t="s">
        <v>146</v>
      </c>
      <c r="B270" s="7"/>
    </row>
    <row r="271" spans="1:2" x14ac:dyDescent="0.3">
      <c r="A271" s="19" t="s">
        <v>147</v>
      </c>
      <c r="B271" s="7"/>
    </row>
    <row r="272" spans="1:2" x14ac:dyDescent="0.3">
      <c r="A272" s="12" t="s">
        <v>148</v>
      </c>
      <c r="B272" s="17">
        <f>B258-B259-B268</f>
        <v>0</v>
      </c>
    </row>
    <row r="278" spans="1:5" x14ac:dyDescent="0.3">
      <c r="A278" s="24"/>
    </row>
    <row r="279" spans="1:5" x14ac:dyDescent="0.3">
      <c r="A279" s="24"/>
    </row>
    <row r="280" spans="1:5" x14ac:dyDescent="0.3">
      <c r="A280" s="24"/>
    </row>
    <row r="281" spans="1:5" x14ac:dyDescent="0.3">
      <c r="A281" s="24"/>
    </row>
    <row r="282" spans="1:5" x14ac:dyDescent="0.3">
      <c r="A282" s="24"/>
    </row>
    <row r="283" spans="1:5" x14ac:dyDescent="0.3">
      <c r="A283" s="24"/>
    </row>
    <row r="284" spans="1:5" x14ac:dyDescent="0.3">
      <c r="A284" s="24"/>
    </row>
    <row r="285" spans="1:5" x14ac:dyDescent="0.3">
      <c r="A285" s="25"/>
      <c r="B285" s="25"/>
      <c r="C285" s="25"/>
      <c r="D285" s="25"/>
      <c r="E285" s="25"/>
    </row>
  </sheetData>
  <autoFilter ref="A1:P253" xr:uid="{62EDA8AE-7305-4972-A293-080951BD6A91}">
    <filterColumn colId="1">
      <filters>
        <filter val="1"/>
        <filter val="10"/>
        <filter val="102"/>
        <filter val="11"/>
        <filter val="12"/>
        <filter val="150.00"/>
        <filter val="16"/>
        <filter val="2"/>
        <filter val="20"/>
        <filter val="22"/>
        <filter val="24"/>
        <filter val="3"/>
        <filter val="38"/>
        <filter val="4"/>
        <filter val="49"/>
        <filter val="5"/>
        <filter val="52"/>
        <filter val="6"/>
        <filter val="7"/>
        <filter val="8"/>
        <filter val="9"/>
        <filter val="91"/>
        <filter val="93"/>
        <filter val="943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E8CAE-A3D9-46B1-8167-A93859F01CDF}">
  <dimension ref="A1:Y286"/>
  <sheetViews>
    <sheetView zoomScale="80" zoomScaleNormal="80" workbookViewId="0">
      <pane ySplit="1" topLeftCell="A233" activePane="bottomLeft" state="frozen"/>
      <selection pane="bottomLeft" activeCell="I136" sqref="I136"/>
    </sheetView>
  </sheetViews>
  <sheetFormatPr baseColWidth="10" defaultRowHeight="14.4" x14ac:dyDescent="0.3"/>
  <cols>
    <col min="1" max="1" width="54.5546875" customWidth="1"/>
    <col min="3" max="3" width="20" customWidth="1"/>
    <col min="4" max="4" width="11.109375" customWidth="1"/>
    <col min="5" max="6" width="8.33203125" customWidth="1"/>
    <col min="7" max="7" width="12.33203125" customWidth="1"/>
    <col min="8" max="8" width="15" customWidth="1"/>
    <col min="9" max="9" width="12.6640625" customWidth="1"/>
    <col min="10" max="10" width="9.33203125" customWidth="1"/>
    <col min="11" max="11" width="9.109375" customWidth="1"/>
    <col min="12" max="12" width="11.33203125" customWidth="1"/>
    <col min="13" max="13" width="11.109375" customWidth="1"/>
    <col min="14" max="14" width="8.33203125" customWidth="1"/>
    <col min="15" max="15" width="9.6640625" customWidth="1"/>
    <col min="16" max="16" width="18.5546875" customWidth="1"/>
    <col min="18" max="18" width="13" customWidth="1"/>
    <col min="19" max="19" width="15.6640625" customWidth="1"/>
    <col min="21" max="21" width="17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3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3">
      <c r="A3" s="5" t="s">
        <v>270</v>
      </c>
      <c r="B3" s="6">
        <v>93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27.61</v>
      </c>
      <c r="M3" s="7"/>
      <c r="N3" s="7">
        <f>B3+C3-D3-E3-F3</f>
        <v>93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3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3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3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3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500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3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3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3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3">
      <c r="A11" s="5" t="s">
        <v>214</v>
      </c>
      <c r="B11" s="6">
        <v>1</v>
      </c>
      <c r="C11" s="7"/>
      <c r="D11" s="7"/>
      <c r="E11" s="8">
        <v>1</v>
      </c>
      <c r="F11" s="8"/>
      <c r="G11" s="9">
        <v>500</v>
      </c>
      <c r="H11" s="26">
        <f t="shared" si="0"/>
        <v>500</v>
      </c>
      <c r="I11" s="7">
        <v>700</v>
      </c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20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3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3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3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3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5" t="s">
        <v>263</v>
      </c>
      <c r="B31" s="6">
        <v>1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1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5" t="s">
        <v>294</v>
      </c>
      <c r="B33" s="6">
        <v>10</v>
      </c>
      <c r="C33" s="7"/>
      <c r="D33" s="7"/>
      <c r="E33" s="8">
        <v>1</v>
      </c>
      <c r="F33" s="8"/>
      <c r="G33" s="9">
        <v>1000</v>
      </c>
      <c r="H33" s="26"/>
      <c r="I33" s="7"/>
      <c r="J33" s="7">
        <v>25</v>
      </c>
      <c r="K33" s="7"/>
      <c r="L33" s="7">
        <v>45</v>
      </c>
      <c r="M33" s="7"/>
      <c r="N33" s="7">
        <f t="shared" si="2"/>
        <v>9</v>
      </c>
      <c r="O33" s="7">
        <f t="shared" si="1"/>
        <v>45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3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3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3">
      <c r="A36" s="5" t="s">
        <v>287</v>
      </c>
      <c r="B36" s="6">
        <v>12</v>
      </c>
      <c r="C36" s="7"/>
      <c r="D36" s="7"/>
      <c r="E36" s="8"/>
      <c r="F36" s="8"/>
      <c r="G36" s="9"/>
      <c r="H36" s="26"/>
      <c r="I36" s="7"/>
      <c r="J36" s="7"/>
      <c r="K36" s="7"/>
      <c r="L36" s="7">
        <v>20</v>
      </c>
      <c r="M36" s="7"/>
      <c r="N36" s="7">
        <f t="shared" si="2"/>
        <v>12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3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3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3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3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3">
      <c r="A41" s="5" t="s">
        <v>235</v>
      </c>
      <c r="B41" s="6">
        <v>5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5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3">
      <c r="A42" s="5" t="s">
        <v>38</v>
      </c>
      <c r="B42" s="6">
        <v>7</v>
      </c>
      <c r="C42" s="7"/>
      <c r="D42" s="7"/>
      <c r="E42" s="8">
        <v>1</v>
      </c>
      <c r="F42" s="8"/>
      <c r="G42" s="9">
        <v>1000</v>
      </c>
      <c r="H42" s="26">
        <f t="shared" si="0"/>
        <v>1000</v>
      </c>
      <c r="I42" s="7"/>
      <c r="J42" s="7">
        <v>21</v>
      </c>
      <c r="K42" s="7"/>
      <c r="L42" s="7">
        <v>40</v>
      </c>
      <c r="M42" s="7"/>
      <c r="N42" s="7">
        <f t="shared" si="2"/>
        <v>6</v>
      </c>
      <c r="O42" s="7">
        <f t="shared" si="1"/>
        <v>40</v>
      </c>
      <c r="P42" s="7">
        <v>-1</v>
      </c>
      <c r="R42" s="4"/>
      <c r="S42" s="4"/>
      <c r="T42" s="4"/>
      <c r="U42" s="4"/>
    </row>
    <row r="43" spans="1:25" x14ac:dyDescent="0.3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3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3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3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3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3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3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3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3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3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3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3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3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3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3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3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3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3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3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3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3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3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3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3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3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3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3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3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3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3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3">
      <c r="A73" s="5" t="s">
        <v>211</v>
      </c>
      <c r="B73" s="6">
        <v>2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2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3">
      <c r="A74" s="5" t="s">
        <v>54</v>
      </c>
      <c r="B74" s="6">
        <v>3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3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3">
      <c r="A75" s="5" t="s">
        <v>55</v>
      </c>
      <c r="B75" s="6">
        <v>1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1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3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3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3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3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3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3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3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3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3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3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3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3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3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3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3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3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3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3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3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3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3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3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3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3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3">
      <c r="A100" s="5" t="s">
        <v>212</v>
      </c>
      <c r="B100" s="6">
        <v>11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11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3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3">
      <c r="A102" s="5" t="s">
        <v>191</v>
      </c>
      <c r="B102" s="6">
        <v>2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2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3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3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3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3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3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3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3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3">
      <c r="A110" s="5" t="s">
        <v>68</v>
      </c>
      <c r="B110" s="6">
        <v>2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2</v>
      </c>
      <c r="O110" s="7">
        <f t="shared" si="1"/>
        <v>0</v>
      </c>
      <c r="P110" s="7" t="s">
        <v>321</v>
      </c>
    </row>
    <row r="111" spans="1:21" x14ac:dyDescent="0.3">
      <c r="A111" s="5" t="s">
        <v>311</v>
      </c>
      <c r="B111" s="6">
        <v>2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2</v>
      </c>
      <c r="O111" s="7">
        <f t="shared" ref="O111:O183" si="5">E111*L111+F111*M111</f>
        <v>0</v>
      </c>
      <c r="P111" s="7"/>
    </row>
    <row r="112" spans="1:21" x14ac:dyDescent="0.3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3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3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3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3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3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3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3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3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3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3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3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3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3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3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3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3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x14ac:dyDescent="0.3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3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3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3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3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3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3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3">
      <c r="A136" s="5" t="s">
        <v>81</v>
      </c>
      <c r="B136" s="6">
        <v>3</v>
      </c>
      <c r="C136" s="10"/>
      <c r="D136" s="7"/>
      <c r="E136" s="8">
        <v>1</v>
      </c>
      <c r="F136" s="8"/>
      <c r="G136" s="9">
        <v>1000</v>
      </c>
      <c r="H136" s="26">
        <f t="shared" si="3"/>
        <v>1000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45</v>
      </c>
      <c r="P136" s="7"/>
    </row>
    <row r="137" spans="1:16" x14ac:dyDescent="0.3">
      <c r="A137" s="5" t="s">
        <v>162</v>
      </c>
      <c r="B137" s="6">
        <v>8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8</v>
      </c>
      <c r="O137" s="7">
        <f t="shared" si="5"/>
        <v>0</v>
      </c>
      <c r="P137" s="7"/>
    </row>
    <row r="138" spans="1:16" x14ac:dyDescent="0.3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3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3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3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3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3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3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3">
      <c r="A145" s="5" t="s">
        <v>273</v>
      </c>
      <c r="B145" s="6">
        <v>4</v>
      </c>
      <c r="C145" s="10"/>
      <c r="D145" s="7"/>
      <c r="E145" s="8">
        <v>1</v>
      </c>
      <c r="F145" s="8"/>
      <c r="G145" s="9">
        <v>1000</v>
      </c>
      <c r="H145" s="26">
        <f t="shared" si="6"/>
        <v>1000</v>
      </c>
      <c r="I145" s="7">
        <v>1500</v>
      </c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65</v>
      </c>
      <c r="P145" s="7"/>
    </row>
    <row r="146" spans="1:16" x14ac:dyDescent="0.3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3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3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3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3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3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3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3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3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3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3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3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3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3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3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3">
      <c r="A161" s="5" t="s">
        <v>193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3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3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260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3">
      <c r="A164" s="5" t="s">
        <v>292</v>
      </c>
      <c r="B164" s="6">
        <v>22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/>
      <c r="K164" s="7"/>
      <c r="L164" s="7">
        <v>260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3">
      <c r="A165" s="5" t="s">
        <v>297</v>
      </c>
      <c r="B165" s="6">
        <v>91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3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3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3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3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3">
      <c r="A170" s="5" t="s">
        <v>234</v>
      </c>
      <c r="B170" s="6">
        <v>2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2</v>
      </c>
      <c r="O170" s="7">
        <f t="shared" si="5"/>
        <v>0</v>
      </c>
      <c r="P170" s="7"/>
    </row>
    <row r="171" spans="1:16" x14ac:dyDescent="0.3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3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3">
      <c r="A173" s="5" t="s">
        <v>93</v>
      </c>
      <c r="B173" s="6">
        <v>2</v>
      </c>
      <c r="C173" s="10"/>
      <c r="D173" s="7"/>
      <c r="E173" s="8">
        <v>2</v>
      </c>
      <c r="F173" s="8"/>
      <c r="G173" s="9">
        <v>4000</v>
      </c>
      <c r="H173" s="26">
        <f t="shared" si="6"/>
        <v>8000</v>
      </c>
      <c r="I173" s="7">
        <v>700</v>
      </c>
      <c r="J173" s="7">
        <v>680</v>
      </c>
      <c r="K173" s="7"/>
      <c r="L173" s="7">
        <v>850</v>
      </c>
      <c r="M173" s="7"/>
      <c r="N173" s="7">
        <f t="shared" si="7"/>
        <v>0</v>
      </c>
      <c r="O173" s="7">
        <f t="shared" si="5"/>
        <v>1700</v>
      </c>
      <c r="P173" s="7"/>
    </row>
    <row r="174" spans="1:16" x14ac:dyDescent="0.3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3">
      <c r="A175" s="5" t="s">
        <v>222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3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3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3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3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3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3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3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3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3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3">
      <c r="A185" s="5" t="s">
        <v>98</v>
      </c>
      <c r="B185" s="6">
        <v>0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0</v>
      </c>
      <c r="O185" s="7">
        <f t="shared" si="8"/>
        <v>0</v>
      </c>
      <c r="P185" s="7"/>
    </row>
    <row r="186" spans="1:16" x14ac:dyDescent="0.3">
      <c r="A186" s="5" t="s">
        <v>189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260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3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3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3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3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3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3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3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3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3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3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3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3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3">
      <c r="A199" s="5" t="s">
        <v>262</v>
      </c>
      <c r="B199" s="6">
        <v>3</v>
      </c>
      <c r="C199" s="10"/>
      <c r="D199" s="7"/>
      <c r="E199" s="8">
        <v>1</v>
      </c>
      <c r="F199" s="8"/>
      <c r="G199" s="9">
        <v>3000</v>
      </c>
      <c r="H199" s="26">
        <f t="shared" si="6"/>
        <v>3000</v>
      </c>
      <c r="I199" s="7">
        <v>700</v>
      </c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175</v>
      </c>
      <c r="P199" s="7"/>
    </row>
    <row r="200" spans="1:16" x14ac:dyDescent="0.3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3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3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3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3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3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3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3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3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3">
      <c r="A209" s="5" t="s">
        <v>264</v>
      </c>
      <c r="B209" s="6">
        <v>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2</v>
      </c>
      <c r="O209" s="7">
        <f t="shared" si="8"/>
        <v>0</v>
      </c>
      <c r="P209" s="7"/>
    </row>
    <row r="210" spans="1:16" x14ac:dyDescent="0.3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3">
      <c r="A211" s="5" t="s">
        <v>104</v>
      </c>
      <c r="B211" s="6">
        <v>2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70</v>
      </c>
      <c r="M211" s="7"/>
      <c r="N211" s="7">
        <f t="shared" si="7"/>
        <v>2</v>
      </c>
      <c r="O211" s="7">
        <f t="shared" si="8"/>
        <v>0</v>
      </c>
      <c r="P211" s="7"/>
    </row>
    <row r="212" spans="1:16" x14ac:dyDescent="0.3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3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3">
      <c r="A214" s="5" t="s">
        <v>266</v>
      </c>
      <c r="B214" s="6">
        <v>6</v>
      </c>
      <c r="C214" s="10"/>
      <c r="D214" s="7"/>
      <c r="E214" s="8"/>
      <c r="F214" s="8"/>
      <c r="G214" s="9">
        <v>1000</v>
      </c>
      <c r="H214" s="26">
        <f t="shared" si="6"/>
        <v>0</v>
      </c>
      <c r="I214" s="7"/>
      <c r="J214" s="7"/>
      <c r="K214" s="7"/>
      <c r="L214" s="7">
        <v>75</v>
      </c>
      <c r="M214" s="7"/>
      <c r="N214" s="7">
        <f t="shared" si="7"/>
        <v>6</v>
      </c>
      <c r="O214" s="7">
        <f t="shared" si="8"/>
        <v>0</v>
      </c>
      <c r="P214" s="7"/>
    </row>
    <row r="215" spans="1:16" x14ac:dyDescent="0.3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3">
      <c r="A216" s="5" t="s">
        <v>265</v>
      </c>
      <c r="B216" s="6">
        <v>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5</v>
      </c>
      <c r="O216" s="7">
        <f t="shared" si="8"/>
        <v>0</v>
      </c>
      <c r="P216" s="7"/>
    </row>
    <row r="217" spans="1:16" x14ac:dyDescent="0.3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3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3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3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3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3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3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3">
      <c r="A224" s="5" t="s">
        <v>206</v>
      </c>
      <c r="B224" s="6">
        <v>52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52</v>
      </c>
      <c r="O224" s="7"/>
      <c r="P224" s="7"/>
    </row>
    <row r="225" spans="1:16" x14ac:dyDescent="0.3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3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3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3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3">
      <c r="A229" s="12" t="s">
        <v>107</v>
      </c>
      <c r="B229" s="13">
        <v>942</v>
      </c>
      <c r="C229" s="14"/>
      <c r="D229" s="14"/>
      <c r="E229" s="15"/>
      <c r="F229" s="15"/>
      <c r="G229" s="16"/>
      <c r="H229" s="27">
        <f>SUM(H2:H219)</f>
        <v>14500</v>
      </c>
      <c r="I229" s="17">
        <f>SUM(I2:I218)</f>
        <v>3600</v>
      </c>
      <c r="J229" s="17"/>
      <c r="K229" s="17">
        <f>SUM(K2:K218)</f>
        <v>0</v>
      </c>
      <c r="L229" s="17"/>
      <c r="M229" s="17"/>
      <c r="N229" s="17">
        <f>SUM(N2:N228)</f>
        <v>934</v>
      </c>
      <c r="O229" s="17">
        <f>SUM(O2:O228)</f>
        <v>2090</v>
      </c>
      <c r="P229" s="17">
        <f>SUM(P2:P228)</f>
        <v>-6</v>
      </c>
    </row>
    <row r="230" spans="1:16" x14ac:dyDescent="0.3">
      <c r="A230" s="18" t="s">
        <v>108</v>
      </c>
      <c r="B230" s="18">
        <f>O229</f>
        <v>2090</v>
      </c>
      <c r="C230" s="2" t="s">
        <v>109</v>
      </c>
      <c r="D230" s="2" t="s">
        <v>110</v>
      </c>
      <c r="N230" s="29"/>
    </row>
    <row r="231" spans="1:16" x14ac:dyDescent="0.3">
      <c r="A231" s="19" t="s">
        <v>111</v>
      </c>
      <c r="B231" s="20">
        <f>(C231+D231)/670</f>
        <v>73.364014925373127</v>
      </c>
      <c r="C231" s="8">
        <v>400</v>
      </c>
      <c r="D231" s="8">
        <v>48753.89</v>
      </c>
    </row>
    <row r="232" spans="1:16" x14ac:dyDescent="0.3">
      <c r="A232" s="19" t="s">
        <v>14</v>
      </c>
      <c r="B232" s="21">
        <v>150</v>
      </c>
      <c r="C232" s="8" t="s">
        <v>126</v>
      </c>
      <c r="D232" s="8"/>
    </row>
    <row r="233" spans="1:16" x14ac:dyDescent="0.3">
      <c r="A233" s="19" t="s">
        <v>112</v>
      </c>
      <c r="B233" s="20">
        <f>D233/670</f>
        <v>0</v>
      </c>
      <c r="C233" s="8"/>
      <c r="D233" s="8"/>
    </row>
    <row r="234" spans="1:16" x14ac:dyDescent="0.3">
      <c r="A234" s="19" t="s">
        <v>113</v>
      </c>
      <c r="B234" s="20"/>
      <c r="C234" s="8"/>
      <c r="D234" s="8"/>
    </row>
    <row r="235" spans="1:16" x14ac:dyDescent="0.3">
      <c r="A235" s="12" t="s">
        <v>114</v>
      </c>
      <c r="B235" s="22">
        <f>B230+B231+B233+B234+B232</f>
        <v>2313.3640149253733</v>
      </c>
      <c r="C235" s="8"/>
      <c r="D235" s="8"/>
    </row>
    <row r="236" spans="1:16" x14ac:dyDescent="0.3">
      <c r="A236" s="19" t="s">
        <v>6</v>
      </c>
      <c r="B236" s="20">
        <f>D236/670</f>
        <v>60.447761194029852</v>
      </c>
      <c r="C236" s="8"/>
      <c r="D236" s="8">
        <v>40500</v>
      </c>
    </row>
    <row r="237" spans="1:16" x14ac:dyDescent="0.3">
      <c r="A237" s="19" t="s">
        <v>115</v>
      </c>
      <c r="B237" s="20">
        <f>C237/670</f>
        <v>0</v>
      </c>
      <c r="C237" s="8"/>
      <c r="D237" s="8"/>
    </row>
    <row r="238" spans="1:16" x14ac:dyDescent="0.3">
      <c r="A238" s="19" t="s">
        <v>64</v>
      </c>
      <c r="B238" s="20">
        <f>C238/670</f>
        <v>0</v>
      </c>
      <c r="C238" s="8"/>
      <c r="D238" s="8"/>
    </row>
    <row r="239" spans="1:16" x14ac:dyDescent="0.3">
      <c r="A239" s="19" t="s">
        <v>116</v>
      </c>
      <c r="B239" s="20">
        <v>15</v>
      </c>
      <c r="C239" s="8"/>
      <c r="D239" s="8"/>
    </row>
    <row r="240" spans="1:16" x14ac:dyDescent="0.3">
      <c r="A240" s="12" t="s">
        <v>117</v>
      </c>
      <c r="B240" s="20">
        <f>B236+B237+B238+B239</f>
        <v>75.447761194029852</v>
      </c>
      <c r="C240" s="8"/>
      <c r="D240" s="8"/>
    </row>
    <row r="241" spans="1:6" x14ac:dyDescent="0.3">
      <c r="A241" s="12" t="s">
        <v>118</v>
      </c>
      <c r="B241" s="22">
        <f>B235-B240</f>
        <v>2237.9162537313437</v>
      </c>
      <c r="C241" s="8"/>
      <c r="D241" s="8"/>
    </row>
    <row r="242" spans="1:6" x14ac:dyDescent="0.3">
      <c r="A242" s="19" t="s">
        <v>119</v>
      </c>
      <c r="B242" s="20">
        <f>C242/670</f>
        <v>0</v>
      </c>
      <c r="C242" s="8"/>
      <c r="D242" s="8"/>
    </row>
    <row r="243" spans="1:6" x14ac:dyDescent="0.3">
      <c r="A243" s="19" t="s">
        <v>120</v>
      </c>
      <c r="B243" s="20"/>
      <c r="C243" s="8"/>
      <c r="D243" s="8"/>
    </row>
    <row r="244" spans="1:6" x14ac:dyDescent="0.3">
      <c r="A244" s="19" t="s">
        <v>121</v>
      </c>
      <c r="B244" s="20">
        <f>C244/2</f>
        <v>0</v>
      </c>
      <c r="C244" s="8"/>
      <c r="D244" s="8"/>
    </row>
    <row r="245" spans="1:6" x14ac:dyDescent="0.3">
      <c r="A245" s="12" t="s">
        <v>122</v>
      </c>
      <c r="B245" s="22">
        <f>B242+B243+B244</f>
        <v>0</v>
      </c>
      <c r="C245" s="8"/>
      <c r="D245" s="8"/>
    </row>
    <row r="246" spans="1:6" x14ac:dyDescent="0.3">
      <c r="A246" s="19" t="s">
        <v>123</v>
      </c>
      <c r="B246" s="20">
        <v>320</v>
      </c>
      <c r="C246" s="8"/>
      <c r="D246" s="8"/>
    </row>
    <row r="247" spans="1:6" x14ac:dyDescent="0.3">
      <c r="A247" s="19" t="s">
        <v>36</v>
      </c>
      <c r="B247" s="20">
        <v>1905</v>
      </c>
      <c r="C247" s="8"/>
      <c r="D247" s="8"/>
    </row>
    <row r="248" spans="1:6" x14ac:dyDescent="0.3">
      <c r="A248" s="19" t="s">
        <v>124</v>
      </c>
      <c r="B248" s="20">
        <f>C248/2.3</f>
        <v>0</v>
      </c>
      <c r="C248" s="8"/>
      <c r="D248" s="8"/>
    </row>
    <row r="249" spans="1:6" x14ac:dyDescent="0.3">
      <c r="A249" s="19" t="s">
        <v>125</v>
      </c>
      <c r="B249" s="20">
        <f>C249/670</f>
        <v>0.59701492537313428</v>
      </c>
      <c r="C249" s="8">
        <v>400</v>
      </c>
      <c r="D249" s="8"/>
      <c r="F249" t="s">
        <v>126</v>
      </c>
    </row>
    <row r="250" spans="1:6" x14ac:dyDescent="0.3">
      <c r="A250" s="19" t="s">
        <v>127</v>
      </c>
      <c r="B250" s="20">
        <f>D250/670</f>
        <v>12.319238805970148</v>
      </c>
      <c r="C250" s="8"/>
      <c r="D250" s="8">
        <v>8253.89</v>
      </c>
    </row>
    <row r="251" spans="1:6" x14ac:dyDescent="0.3">
      <c r="A251" s="12" t="s">
        <v>128</v>
      </c>
      <c r="B251" s="22">
        <f>B246+B247+B248+B249+B250</f>
        <v>2237.9162537313432</v>
      </c>
      <c r="C251" s="8"/>
      <c r="D251" s="8"/>
    </row>
    <row r="252" spans="1:6" x14ac:dyDescent="0.3">
      <c r="A252" s="19" t="s">
        <v>129</v>
      </c>
      <c r="B252" s="20">
        <f>C252/670</f>
        <v>0</v>
      </c>
      <c r="C252" s="8"/>
      <c r="D252" s="8"/>
    </row>
    <row r="253" spans="1:6" x14ac:dyDescent="0.3">
      <c r="A253" s="12" t="s">
        <v>107</v>
      </c>
      <c r="B253" s="22">
        <f>B252</f>
        <v>0</v>
      </c>
      <c r="C253" s="8"/>
      <c r="D253" s="8"/>
    </row>
    <row r="254" spans="1:6" x14ac:dyDescent="0.3">
      <c r="A254" s="12" t="s">
        <v>130</v>
      </c>
      <c r="B254" s="20">
        <f>B241-B245-B251-B253</f>
        <v>4.5474735088646412E-13</v>
      </c>
      <c r="C254" s="8" t="s">
        <v>126</v>
      </c>
      <c r="D254" s="8"/>
    </row>
    <row r="256" spans="1:6" x14ac:dyDescent="0.3">
      <c r="A256" s="12" t="s">
        <v>131</v>
      </c>
      <c r="B256" s="23" t="s">
        <v>10</v>
      </c>
    </row>
    <row r="257" spans="1:2" x14ac:dyDescent="0.3">
      <c r="A257" s="12" t="s">
        <v>132</v>
      </c>
      <c r="B257" s="7"/>
    </row>
    <row r="258" spans="1:2" x14ac:dyDescent="0.3">
      <c r="A258" s="19" t="s">
        <v>133</v>
      </c>
      <c r="B258" s="7"/>
    </row>
    <row r="259" spans="1:2" x14ac:dyDescent="0.3">
      <c r="A259" s="12" t="s">
        <v>134</v>
      </c>
      <c r="B259" s="17">
        <f>B257-B258</f>
        <v>0</v>
      </c>
    </row>
    <row r="260" spans="1:2" x14ac:dyDescent="0.3">
      <c r="A260" s="12" t="s">
        <v>135</v>
      </c>
      <c r="B260" s="17">
        <f>B261+B262+B263+B264+B265+B266+B267+B268</f>
        <v>0</v>
      </c>
    </row>
    <row r="261" spans="1:2" x14ac:dyDescent="0.3">
      <c r="A261" s="19" t="s">
        <v>136</v>
      </c>
      <c r="B261" s="7"/>
    </row>
    <row r="262" spans="1:2" x14ac:dyDescent="0.3">
      <c r="A262" s="19" t="s">
        <v>137</v>
      </c>
      <c r="B262" s="7"/>
    </row>
    <row r="263" spans="1:2" x14ac:dyDescent="0.3">
      <c r="A263" s="19" t="s">
        <v>138</v>
      </c>
      <c r="B263" s="7"/>
    </row>
    <row r="264" spans="1:2" x14ac:dyDescent="0.3">
      <c r="A264" s="19" t="s">
        <v>139</v>
      </c>
      <c r="B264" s="7"/>
    </row>
    <row r="265" spans="1:2" x14ac:dyDescent="0.3">
      <c r="A265" s="19" t="s">
        <v>140</v>
      </c>
      <c r="B265" s="7"/>
    </row>
    <row r="266" spans="1:2" x14ac:dyDescent="0.3">
      <c r="A266" s="19" t="s">
        <v>141</v>
      </c>
      <c r="B266" s="7"/>
    </row>
    <row r="267" spans="1:2" x14ac:dyDescent="0.3">
      <c r="A267" s="19" t="s">
        <v>142</v>
      </c>
      <c r="B267" s="7"/>
    </row>
    <row r="268" spans="1:2" x14ac:dyDescent="0.3">
      <c r="A268" s="19" t="s">
        <v>143</v>
      </c>
      <c r="B268" s="7"/>
    </row>
    <row r="269" spans="1:2" x14ac:dyDescent="0.3">
      <c r="A269" s="12" t="s">
        <v>144</v>
      </c>
      <c r="B269" s="17">
        <f>B270+B271+B272</f>
        <v>0</v>
      </c>
    </row>
    <row r="270" spans="1:2" x14ac:dyDescent="0.3">
      <c r="A270" s="19" t="s">
        <v>145</v>
      </c>
      <c r="B270" s="7"/>
    </row>
    <row r="271" spans="1:2" x14ac:dyDescent="0.3">
      <c r="A271" s="19" t="s">
        <v>146</v>
      </c>
      <c r="B271" s="7"/>
    </row>
    <row r="272" spans="1:2" x14ac:dyDescent="0.3">
      <c r="A272" s="19" t="s">
        <v>147</v>
      </c>
      <c r="B272" s="7"/>
    </row>
    <row r="273" spans="1:5" x14ac:dyDescent="0.3">
      <c r="A273" s="12" t="s">
        <v>148</v>
      </c>
      <c r="B273" s="17">
        <f>B259-B260-B269</f>
        <v>0</v>
      </c>
    </row>
    <row r="279" spans="1:5" x14ac:dyDescent="0.3">
      <c r="A279" s="24"/>
    </row>
    <row r="280" spans="1:5" x14ac:dyDescent="0.3">
      <c r="A280" s="24"/>
    </row>
    <row r="281" spans="1:5" x14ac:dyDescent="0.3">
      <c r="A281" s="24"/>
    </row>
    <row r="282" spans="1:5" x14ac:dyDescent="0.3">
      <c r="A282" s="24"/>
    </row>
    <row r="283" spans="1:5" x14ac:dyDescent="0.3">
      <c r="A283" s="24"/>
    </row>
    <row r="284" spans="1:5" x14ac:dyDescent="0.3">
      <c r="A284" s="24"/>
    </row>
    <row r="285" spans="1:5" x14ac:dyDescent="0.3">
      <c r="A285" s="24"/>
    </row>
    <row r="286" spans="1:5" x14ac:dyDescent="0.3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C0C71-34E9-402A-A61A-3AD688F24BDD}">
  <dimension ref="A1:Y286"/>
  <sheetViews>
    <sheetView zoomScale="80" zoomScaleNormal="80" workbookViewId="0">
      <pane ySplit="1" topLeftCell="A224" activePane="bottomLeft" state="frozen"/>
      <selection pane="bottomLeft" activeCell="H243" sqref="H243"/>
    </sheetView>
  </sheetViews>
  <sheetFormatPr baseColWidth="10" defaultRowHeight="14.4" x14ac:dyDescent="0.3"/>
  <cols>
    <col min="1" max="1" width="54.5546875" customWidth="1"/>
    <col min="3" max="3" width="20" customWidth="1"/>
    <col min="4" max="4" width="11.109375" customWidth="1"/>
    <col min="5" max="6" width="8.33203125" customWidth="1"/>
    <col min="7" max="7" width="12.33203125" customWidth="1"/>
    <col min="8" max="8" width="15" customWidth="1"/>
    <col min="9" max="9" width="12.6640625" customWidth="1"/>
    <col min="10" max="10" width="9.33203125" customWidth="1"/>
    <col min="11" max="11" width="9.109375" customWidth="1"/>
    <col min="12" max="12" width="11.33203125" customWidth="1"/>
    <col min="13" max="13" width="11.109375" customWidth="1"/>
    <col min="14" max="14" width="8.33203125" customWidth="1"/>
    <col min="15" max="15" width="9.6640625" customWidth="1"/>
    <col min="16" max="16" width="18.5546875" customWidth="1"/>
    <col min="18" max="18" width="13" customWidth="1"/>
    <col min="19" max="19" width="15.6640625" customWidth="1"/>
    <col min="21" max="21" width="17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3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3">
      <c r="A3" s="5" t="s">
        <v>270</v>
      </c>
      <c r="B3" s="6">
        <v>93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27.61</v>
      </c>
      <c r="M3" s="7"/>
      <c r="N3" s="7">
        <f>B3+C3-D3-E3-F3</f>
        <v>93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3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3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3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3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500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3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3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3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3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3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3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3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3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5" t="s">
        <v>263</v>
      </c>
      <c r="B31" s="6">
        <v>1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1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5" t="s">
        <v>294</v>
      </c>
      <c r="B33" s="6">
        <v>9</v>
      </c>
      <c r="C33" s="7"/>
      <c r="D33" s="7"/>
      <c r="E33" s="8"/>
      <c r="F33" s="8"/>
      <c r="G33" s="9">
        <v>1000</v>
      </c>
      <c r="H33" s="26"/>
      <c r="I33" s="7"/>
      <c r="J33" s="7">
        <v>25</v>
      </c>
      <c r="K33" s="7"/>
      <c r="L33" s="7">
        <v>45</v>
      </c>
      <c r="M33" s="7"/>
      <c r="N33" s="7">
        <f t="shared" si="2"/>
        <v>9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3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3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3">
      <c r="A36" s="5" t="s">
        <v>287</v>
      </c>
      <c r="B36" s="6">
        <v>12</v>
      </c>
      <c r="C36" s="7"/>
      <c r="D36" s="7"/>
      <c r="E36" s="8">
        <v>1</v>
      </c>
      <c r="F36" s="8"/>
      <c r="G36" s="9">
        <v>200</v>
      </c>
      <c r="H36" s="26">
        <f t="shared" si="0"/>
        <v>200</v>
      </c>
      <c r="I36" s="7"/>
      <c r="J36" s="7"/>
      <c r="K36" s="7"/>
      <c r="L36" s="7">
        <v>20</v>
      </c>
      <c r="M36" s="7"/>
      <c r="N36" s="7">
        <f t="shared" si="2"/>
        <v>11</v>
      </c>
      <c r="O36" s="7">
        <f t="shared" si="1"/>
        <v>20</v>
      </c>
      <c r="P36" s="7"/>
      <c r="R36" s="11"/>
      <c r="S36" s="11"/>
      <c r="T36" s="11"/>
      <c r="U36" s="11"/>
    </row>
    <row r="37" spans="1:25" x14ac:dyDescent="0.3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3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3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3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3">
      <c r="A41" s="5" t="s">
        <v>235</v>
      </c>
      <c r="B41" s="6">
        <v>5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5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3">
      <c r="A42" s="5" t="s">
        <v>38</v>
      </c>
      <c r="B42" s="6">
        <v>6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6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3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3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3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3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3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3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3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3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3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3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3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3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3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3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3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3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3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3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3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3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3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3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3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3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3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3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3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3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3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3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3">
      <c r="A73" s="5" t="s">
        <v>211</v>
      </c>
      <c r="B73" s="6">
        <v>2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2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3">
      <c r="A74" s="5" t="s">
        <v>54</v>
      </c>
      <c r="B74" s="6">
        <v>3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3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3">
      <c r="A75" s="5" t="s">
        <v>55</v>
      </c>
      <c r="B75" s="6">
        <v>1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1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3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3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3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3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3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3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3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3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3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3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3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3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3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3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3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3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3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3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3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3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3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3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3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3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3">
      <c r="A100" s="5" t="s">
        <v>212</v>
      </c>
      <c r="B100" s="6">
        <v>11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11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3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3">
      <c r="A102" s="5" t="s">
        <v>191</v>
      </c>
      <c r="B102" s="6">
        <v>2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2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3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3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3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3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3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3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3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3">
      <c r="A110" s="5" t="s">
        <v>68</v>
      </c>
      <c r="B110" s="6">
        <v>2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2</v>
      </c>
      <c r="O110" s="7">
        <f t="shared" si="1"/>
        <v>0</v>
      </c>
      <c r="P110" s="7" t="s">
        <v>321</v>
      </c>
    </row>
    <row r="111" spans="1:21" x14ac:dyDescent="0.3">
      <c r="A111" s="5" t="s">
        <v>311</v>
      </c>
      <c r="B111" s="6">
        <v>2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2</v>
      </c>
      <c r="O111" s="7">
        <f t="shared" ref="O111:O183" si="5">E111*L111+F111*M111</f>
        <v>0</v>
      </c>
      <c r="P111" s="7"/>
    </row>
    <row r="112" spans="1:21" x14ac:dyDescent="0.3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3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3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3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3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3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3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3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3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3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3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3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3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3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3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3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3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x14ac:dyDescent="0.3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3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3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3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3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3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3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3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3">
      <c r="A137" s="5" t="s">
        <v>162</v>
      </c>
      <c r="B137" s="6">
        <v>8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8</v>
      </c>
      <c r="O137" s="7">
        <f t="shared" si="5"/>
        <v>0</v>
      </c>
      <c r="P137" s="7"/>
    </row>
    <row r="138" spans="1:16" x14ac:dyDescent="0.3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3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3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3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3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3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3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3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3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3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3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3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3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3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3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3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3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3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3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3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3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3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3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3">
      <c r="A161" s="5" t="s">
        <v>193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3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3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260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3">
      <c r="A164" s="5" t="s">
        <v>292</v>
      </c>
      <c r="B164" s="6">
        <v>22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/>
      <c r="K164" s="7"/>
      <c r="L164" s="7">
        <v>260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3">
      <c r="A165" s="5" t="s">
        <v>297</v>
      </c>
      <c r="B165" s="6">
        <v>91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3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3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3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3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3">
      <c r="A170" s="5" t="s">
        <v>234</v>
      </c>
      <c r="B170" s="6">
        <v>2</v>
      </c>
      <c r="C170" s="7"/>
      <c r="D170" s="7"/>
      <c r="E170" s="8">
        <v>1</v>
      </c>
      <c r="F170" s="8"/>
      <c r="G170" s="9">
        <v>4000</v>
      </c>
      <c r="H170" s="26">
        <f t="shared" si="6"/>
        <v>4000</v>
      </c>
      <c r="I170" s="7">
        <v>3500</v>
      </c>
      <c r="J170" s="7">
        <v>385</v>
      </c>
      <c r="K170" s="7"/>
      <c r="L170" s="7">
        <v>400</v>
      </c>
      <c r="M170" s="7"/>
      <c r="N170" s="7">
        <f t="shared" si="7"/>
        <v>1</v>
      </c>
      <c r="O170" s="7">
        <f t="shared" si="5"/>
        <v>400</v>
      </c>
      <c r="P170" s="7"/>
    </row>
    <row r="171" spans="1:16" x14ac:dyDescent="0.3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3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3">
      <c r="A173" s="5" t="s">
        <v>93</v>
      </c>
      <c r="B173" s="6">
        <v>0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0</v>
      </c>
      <c r="O173" s="7">
        <f t="shared" si="5"/>
        <v>0</v>
      </c>
      <c r="P173" s="7"/>
    </row>
    <row r="174" spans="1:16" x14ac:dyDescent="0.3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3">
      <c r="A175" s="5" t="s">
        <v>222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3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3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3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3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3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3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3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3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3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3">
      <c r="A185" s="5" t="s">
        <v>98</v>
      </c>
      <c r="B185" s="6">
        <v>0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0</v>
      </c>
      <c r="O185" s="7">
        <f t="shared" si="8"/>
        <v>0</v>
      </c>
      <c r="P185" s="7"/>
    </row>
    <row r="186" spans="1:16" x14ac:dyDescent="0.3">
      <c r="A186" s="5" t="s">
        <v>189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260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3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3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3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3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3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3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3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3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3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3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3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3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3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3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3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3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3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3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3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3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3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3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3">
      <c r="A209" s="5" t="s">
        <v>264</v>
      </c>
      <c r="B209" s="6">
        <v>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2</v>
      </c>
      <c r="O209" s="7">
        <f t="shared" si="8"/>
        <v>0</v>
      </c>
      <c r="P209" s="7"/>
    </row>
    <row r="210" spans="1:16" x14ac:dyDescent="0.3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3">
      <c r="A211" s="5" t="s">
        <v>104</v>
      </c>
      <c r="B211" s="6">
        <v>2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70</v>
      </c>
      <c r="M211" s="7"/>
      <c r="N211" s="7">
        <f t="shared" si="7"/>
        <v>2</v>
      </c>
      <c r="O211" s="7">
        <f t="shared" si="8"/>
        <v>0</v>
      </c>
      <c r="P211" s="7"/>
    </row>
    <row r="212" spans="1:16" x14ac:dyDescent="0.3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3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3">
      <c r="A214" s="5" t="s">
        <v>266</v>
      </c>
      <c r="B214" s="6">
        <v>6</v>
      </c>
      <c r="C214" s="10"/>
      <c r="D214" s="7"/>
      <c r="E214" s="8"/>
      <c r="F214" s="8"/>
      <c r="G214" s="9">
        <v>1000</v>
      </c>
      <c r="H214" s="26">
        <f t="shared" si="6"/>
        <v>0</v>
      </c>
      <c r="I214" s="7"/>
      <c r="J214" s="7"/>
      <c r="K214" s="7"/>
      <c r="L214" s="7">
        <v>75</v>
      </c>
      <c r="M214" s="7"/>
      <c r="N214" s="7">
        <f t="shared" si="7"/>
        <v>6</v>
      </c>
      <c r="O214" s="7">
        <f t="shared" si="8"/>
        <v>0</v>
      </c>
      <c r="P214" s="7"/>
    </row>
    <row r="215" spans="1:16" x14ac:dyDescent="0.3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3">
      <c r="A216" s="5" t="s">
        <v>265</v>
      </c>
      <c r="B216" s="6">
        <v>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5</v>
      </c>
      <c r="O216" s="7">
        <f t="shared" si="8"/>
        <v>0</v>
      </c>
      <c r="P216" s="7"/>
    </row>
    <row r="217" spans="1:16" x14ac:dyDescent="0.3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3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3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3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3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3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3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3">
      <c r="A224" s="5" t="s">
        <v>206</v>
      </c>
      <c r="B224" s="6">
        <v>52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52</v>
      </c>
      <c r="O224" s="7"/>
      <c r="P224" s="7"/>
    </row>
    <row r="225" spans="1:16" x14ac:dyDescent="0.3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3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3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3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3">
      <c r="A229" s="12" t="s">
        <v>107</v>
      </c>
      <c r="B229" s="13">
        <v>934</v>
      </c>
      <c r="C229" s="14"/>
      <c r="D229" s="14"/>
      <c r="E229" s="15"/>
      <c r="F229" s="15"/>
      <c r="G229" s="16"/>
      <c r="H229" s="27">
        <f>SUM(H2:H219)</f>
        <v>4200</v>
      </c>
      <c r="I229" s="17">
        <f>SUM(I2:I218)</f>
        <v>3500</v>
      </c>
      <c r="J229" s="17"/>
      <c r="K229" s="17">
        <f>SUM(K2:K218)</f>
        <v>0</v>
      </c>
      <c r="L229" s="17"/>
      <c r="M229" s="17"/>
      <c r="N229" s="17">
        <f>SUM(N2:N228)</f>
        <v>932</v>
      </c>
      <c r="O229" s="17">
        <f>SUM(O2:O228)</f>
        <v>420</v>
      </c>
      <c r="P229" s="17">
        <f>SUM(P2:P228)</f>
        <v>-6</v>
      </c>
    </row>
    <row r="230" spans="1:16" x14ac:dyDescent="0.3">
      <c r="A230" s="18" t="s">
        <v>108</v>
      </c>
      <c r="B230" s="18">
        <f>O229</f>
        <v>420</v>
      </c>
      <c r="C230" s="2" t="s">
        <v>109</v>
      </c>
      <c r="D230" s="2" t="s">
        <v>110</v>
      </c>
      <c r="N230" s="29"/>
    </row>
    <row r="231" spans="1:16" x14ac:dyDescent="0.3">
      <c r="A231" s="19" t="s">
        <v>111</v>
      </c>
      <c r="B231" s="20">
        <f>(C231+D231)/690</f>
        <v>144.92753623188406</v>
      </c>
      <c r="C231" s="8">
        <v>100000</v>
      </c>
      <c r="D231" s="8"/>
    </row>
    <row r="232" spans="1:16" x14ac:dyDescent="0.3">
      <c r="A232" s="19" t="s">
        <v>14</v>
      </c>
      <c r="B232" s="21">
        <v>150</v>
      </c>
      <c r="C232" s="8" t="s">
        <v>126</v>
      </c>
      <c r="D232" s="8"/>
    </row>
    <row r="233" spans="1:16" x14ac:dyDescent="0.3">
      <c r="A233" s="19" t="s">
        <v>112</v>
      </c>
      <c r="B233" s="20">
        <f>D233/690</f>
        <v>0</v>
      </c>
      <c r="C233" s="8"/>
      <c r="D233" s="8"/>
    </row>
    <row r="234" spans="1:16" x14ac:dyDescent="0.3">
      <c r="A234" s="19" t="s">
        <v>113</v>
      </c>
      <c r="B234" s="20"/>
      <c r="C234" s="8"/>
      <c r="D234" s="8"/>
    </row>
    <row r="235" spans="1:16" x14ac:dyDescent="0.3">
      <c r="A235" s="12" t="s">
        <v>114</v>
      </c>
      <c r="B235" s="22">
        <f>B230+B231+B233+B234+B232</f>
        <v>714.92753623188401</v>
      </c>
      <c r="C235" s="8"/>
      <c r="D235" s="8"/>
    </row>
    <row r="236" spans="1:16" x14ac:dyDescent="0.3">
      <c r="A236" s="19" t="s">
        <v>6</v>
      </c>
      <c r="B236" s="20">
        <f>D236/690</f>
        <v>0</v>
      </c>
      <c r="C236" s="8"/>
      <c r="D236" s="8"/>
    </row>
    <row r="237" spans="1:16" x14ac:dyDescent="0.3">
      <c r="A237" s="19" t="s">
        <v>115</v>
      </c>
      <c r="B237" s="20">
        <f>C237/690</f>
        <v>5.0724637681159424</v>
      </c>
      <c r="C237" s="8">
        <v>3500</v>
      </c>
      <c r="D237" s="8"/>
    </row>
    <row r="238" spans="1:16" x14ac:dyDescent="0.3">
      <c r="A238" s="19" t="s">
        <v>64</v>
      </c>
      <c r="B238" s="20">
        <f>C238/690</f>
        <v>36.376811594202898</v>
      </c>
      <c r="C238" s="8">
        <v>25100</v>
      </c>
      <c r="D238" s="8"/>
    </row>
    <row r="239" spans="1:16" x14ac:dyDescent="0.3">
      <c r="A239" s="19" t="s">
        <v>116</v>
      </c>
      <c r="B239" s="20"/>
      <c r="C239" s="8"/>
      <c r="D239" s="8"/>
    </row>
    <row r="240" spans="1:16" x14ac:dyDescent="0.3">
      <c r="A240" s="12" t="s">
        <v>117</v>
      </c>
      <c r="B240" s="20">
        <f>B236+B237+B238+B239</f>
        <v>41.449275362318843</v>
      </c>
      <c r="C240" s="8"/>
      <c r="D240" s="8"/>
    </row>
    <row r="241" spans="1:6" x14ac:dyDescent="0.3">
      <c r="A241" s="12" t="s">
        <v>118</v>
      </c>
      <c r="B241" s="22">
        <f>B235-B240</f>
        <v>673.47826086956513</v>
      </c>
      <c r="C241" s="8"/>
      <c r="D241" s="8"/>
    </row>
    <row r="242" spans="1:6" x14ac:dyDescent="0.3">
      <c r="A242" s="19" t="s">
        <v>119</v>
      </c>
      <c r="B242" s="20">
        <f>C242/690</f>
        <v>0</v>
      </c>
      <c r="C242" s="8"/>
      <c r="D242" s="8"/>
    </row>
    <row r="243" spans="1:6" x14ac:dyDescent="0.3">
      <c r="A243" s="19" t="s">
        <v>120</v>
      </c>
      <c r="B243" s="20"/>
      <c r="C243" s="8"/>
      <c r="D243" s="8"/>
    </row>
    <row r="244" spans="1:6" x14ac:dyDescent="0.3">
      <c r="A244" s="19" t="s">
        <v>121</v>
      </c>
      <c r="B244" s="20">
        <f>C244/2</f>
        <v>0</v>
      </c>
      <c r="C244" s="8"/>
      <c r="D244" s="8"/>
    </row>
    <row r="245" spans="1:6" x14ac:dyDescent="0.3">
      <c r="A245" s="12" t="s">
        <v>122</v>
      </c>
      <c r="B245" s="22">
        <f>B242+B243+B244</f>
        <v>0</v>
      </c>
      <c r="C245" s="8"/>
      <c r="D245" s="8"/>
    </row>
    <row r="246" spans="1:6" x14ac:dyDescent="0.3">
      <c r="A246" s="19" t="s">
        <v>123</v>
      </c>
      <c r="B246" s="20">
        <v>490</v>
      </c>
      <c r="C246" s="8"/>
      <c r="D246" s="8"/>
    </row>
    <row r="247" spans="1:6" x14ac:dyDescent="0.3">
      <c r="A247" s="19" t="s">
        <v>36</v>
      </c>
      <c r="B247" s="20"/>
      <c r="C247" s="8"/>
      <c r="D247" s="8"/>
    </row>
    <row r="248" spans="1:6" x14ac:dyDescent="0.3">
      <c r="A248" s="19" t="s">
        <v>124</v>
      </c>
      <c r="B248" s="20">
        <f>C248/2.3</f>
        <v>0</v>
      </c>
      <c r="C248" s="8"/>
      <c r="D248" s="8"/>
    </row>
    <row r="249" spans="1:6" x14ac:dyDescent="0.3">
      <c r="A249" s="19" t="s">
        <v>125</v>
      </c>
      <c r="B249" s="20">
        <f>C249/690</f>
        <v>183.47826086956522</v>
      </c>
      <c r="C249" s="8">
        <v>126600</v>
      </c>
      <c r="D249" s="8"/>
      <c r="F249" t="s">
        <v>126</v>
      </c>
    </row>
    <row r="250" spans="1:6" x14ac:dyDescent="0.3">
      <c r="A250" s="19" t="s">
        <v>127</v>
      </c>
      <c r="B250" s="20">
        <f>D250/690</f>
        <v>0</v>
      </c>
      <c r="C250" s="8"/>
      <c r="D250" s="8"/>
    </row>
    <row r="251" spans="1:6" x14ac:dyDescent="0.3">
      <c r="A251" s="12" t="s">
        <v>128</v>
      </c>
      <c r="B251" s="22">
        <f>B246+B247+B248+B249+B250</f>
        <v>673.47826086956525</v>
      </c>
      <c r="C251" s="8"/>
      <c r="D251" s="8"/>
    </row>
    <row r="252" spans="1:6" x14ac:dyDescent="0.3">
      <c r="A252" s="19" t="s">
        <v>129</v>
      </c>
      <c r="B252" s="20">
        <f>C252/690</f>
        <v>0</v>
      </c>
      <c r="C252" s="8"/>
      <c r="D252" s="8"/>
    </row>
    <row r="253" spans="1:6" x14ac:dyDescent="0.3">
      <c r="A253" s="12" t="s">
        <v>107</v>
      </c>
      <c r="B253" s="22">
        <f>B252</f>
        <v>0</v>
      </c>
      <c r="C253" s="8"/>
      <c r="D253" s="8"/>
    </row>
    <row r="254" spans="1:6" x14ac:dyDescent="0.3">
      <c r="A254" s="12" t="s">
        <v>130</v>
      </c>
      <c r="B254" s="20">
        <f>B241-B245-B251-B253</f>
        <v>-1.1368683772161603E-13</v>
      </c>
      <c r="C254" s="8" t="s">
        <v>126</v>
      </c>
      <c r="D254" s="8"/>
    </row>
    <row r="256" spans="1:6" x14ac:dyDescent="0.3">
      <c r="A256" s="12" t="s">
        <v>131</v>
      </c>
      <c r="B256" s="23" t="s">
        <v>10</v>
      </c>
    </row>
    <row r="257" spans="1:2" x14ac:dyDescent="0.3">
      <c r="A257" s="12" t="s">
        <v>132</v>
      </c>
      <c r="B257" s="7"/>
    </row>
    <row r="258" spans="1:2" x14ac:dyDescent="0.3">
      <c r="A258" s="19" t="s">
        <v>133</v>
      </c>
      <c r="B258" s="7"/>
    </row>
    <row r="259" spans="1:2" x14ac:dyDescent="0.3">
      <c r="A259" s="12" t="s">
        <v>134</v>
      </c>
      <c r="B259" s="17">
        <f>B257-B258</f>
        <v>0</v>
      </c>
    </row>
    <row r="260" spans="1:2" x14ac:dyDescent="0.3">
      <c r="A260" s="12" t="s">
        <v>135</v>
      </c>
      <c r="B260" s="17">
        <f>B261+B262+B263+B264+B265+B266+B267+B268</f>
        <v>0</v>
      </c>
    </row>
    <row r="261" spans="1:2" x14ac:dyDescent="0.3">
      <c r="A261" s="19" t="s">
        <v>136</v>
      </c>
      <c r="B261" s="7"/>
    </row>
    <row r="262" spans="1:2" x14ac:dyDescent="0.3">
      <c r="A262" s="19" t="s">
        <v>137</v>
      </c>
      <c r="B262" s="7"/>
    </row>
    <row r="263" spans="1:2" x14ac:dyDescent="0.3">
      <c r="A263" s="19" t="s">
        <v>138</v>
      </c>
      <c r="B263" s="7"/>
    </row>
    <row r="264" spans="1:2" x14ac:dyDescent="0.3">
      <c r="A264" s="19" t="s">
        <v>139</v>
      </c>
      <c r="B264" s="7"/>
    </row>
    <row r="265" spans="1:2" x14ac:dyDescent="0.3">
      <c r="A265" s="19" t="s">
        <v>140</v>
      </c>
      <c r="B265" s="7"/>
    </row>
    <row r="266" spans="1:2" x14ac:dyDescent="0.3">
      <c r="A266" s="19" t="s">
        <v>141</v>
      </c>
      <c r="B266" s="7"/>
    </row>
    <row r="267" spans="1:2" x14ac:dyDescent="0.3">
      <c r="A267" s="19" t="s">
        <v>142</v>
      </c>
      <c r="B267" s="7"/>
    </row>
    <row r="268" spans="1:2" x14ac:dyDescent="0.3">
      <c r="A268" s="19" t="s">
        <v>143</v>
      </c>
      <c r="B268" s="7"/>
    </row>
    <row r="269" spans="1:2" x14ac:dyDescent="0.3">
      <c r="A269" s="12" t="s">
        <v>144</v>
      </c>
      <c r="B269" s="17">
        <f>B270+B271+B272</f>
        <v>0</v>
      </c>
    </row>
    <row r="270" spans="1:2" x14ac:dyDescent="0.3">
      <c r="A270" s="19" t="s">
        <v>145</v>
      </c>
      <c r="B270" s="7"/>
    </row>
    <row r="271" spans="1:2" x14ac:dyDescent="0.3">
      <c r="A271" s="19" t="s">
        <v>146</v>
      </c>
      <c r="B271" s="7"/>
    </row>
    <row r="272" spans="1:2" x14ac:dyDescent="0.3">
      <c r="A272" s="19" t="s">
        <v>147</v>
      </c>
      <c r="B272" s="7"/>
    </row>
    <row r="273" spans="1:5" x14ac:dyDescent="0.3">
      <c r="A273" s="12" t="s">
        <v>148</v>
      </c>
      <c r="B273" s="17">
        <f>B259-B260-B269</f>
        <v>0</v>
      </c>
    </row>
    <row r="279" spans="1:5" x14ac:dyDescent="0.3">
      <c r="A279" s="24"/>
    </row>
    <row r="280" spans="1:5" x14ac:dyDescent="0.3">
      <c r="A280" s="24"/>
    </row>
    <row r="281" spans="1:5" x14ac:dyDescent="0.3">
      <c r="A281" s="24"/>
    </row>
    <row r="282" spans="1:5" x14ac:dyDescent="0.3">
      <c r="A282" s="24"/>
    </row>
    <row r="283" spans="1:5" x14ac:dyDescent="0.3">
      <c r="A283" s="24"/>
    </row>
    <row r="284" spans="1:5" x14ac:dyDescent="0.3">
      <c r="A284" s="24"/>
    </row>
    <row r="285" spans="1:5" x14ac:dyDescent="0.3">
      <c r="A285" s="24"/>
    </row>
    <row r="286" spans="1:5" x14ac:dyDescent="0.3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0D19-E95F-4077-B708-1B7E611AEC63}">
  <dimension ref="A1:Y286"/>
  <sheetViews>
    <sheetView zoomScale="80" zoomScaleNormal="80" workbookViewId="0">
      <pane ySplit="1" topLeftCell="A229" activePane="bottomLeft" state="frozen"/>
      <selection pane="bottomLeft" activeCell="H244" sqref="H244"/>
    </sheetView>
  </sheetViews>
  <sheetFormatPr baseColWidth="10" defaultRowHeight="14.4" x14ac:dyDescent="0.3"/>
  <cols>
    <col min="1" max="1" width="54.5546875" customWidth="1"/>
    <col min="3" max="3" width="20" customWidth="1"/>
    <col min="4" max="4" width="11.109375" customWidth="1"/>
    <col min="5" max="6" width="8.33203125" customWidth="1"/>
    <col min="7" max="7" width="12.33203125" customWidth="1"/>
    <col min="8" max="8" width="15" customWidth="1"/>
    <col min="9" max="9" width="12.6640625" customWidth="1"/>
    <col min="10" max="10" width="9.33203125" customWidth="1"/>
    <col min="11" max="11" width="9.109375" customWidth="1"/>
    <col min="12" max="12" width="11.33203125" customWidth="1"/>
    <col min="13" max="13" width="11.109375" customWidth="1"/>
    <col min="14" max="14" width="8.33203125" customWidth="1"/>
    <col min="15" max="15" width="9.6640625" customWidth="1"/>
    <col min="16" max="16" width="18.5546875" customWidth="1"/>
    <col min="18" max="18" width="13" customWidth="1"/>
    <col min="19" max="19" width="15.6640625" customWidth="1"/>
    <col min="21" max="21" width="17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3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3">
      <c r="A3" s="5" t="s">
        <v>270</v>
      </c>
      <c r="B3" s="6">
        <v>93</v>
      </c>
      <c r="C3" s="7"/>
      <c r="D3" s="7"/>
      <c r="E3" s="8">
        <v>5</v>
      </c>
      <c r="F3" s="8"/>
      <c r="G3" s="9">
        <v>500</v>
      </c>
      <c r="H3" s="26">
        <f t="shared" si="0"/>
        <v>2500</v>
      </c>
      <c r="I3" s="7">
        <v>1500</v>
      </c>
      <c r="J3" s="7"/>
      <c r="K3" s="7"/>
      <c r="L3" s="7">
        <v>30</v>
      </c>
      <c r="M3" s="7"/>
      <c r="N3" s="7">
        <f>B3+C3-D3-E3-F3</f>
        <v>88</v>
      </c>
      <c r="O3" s="7">
        <f t="shared" si="1"/>
        <v>150</v>
      </c>
      <c r="P3" s="7"/>
      <c r="R3" s="4"/>
      <c r="T3" s="4"/>
      <c r="U3" s="4"/>
      <c r="V3" s="4"/>
      <c r="W3" s="4"/>
      <c r="X3" s="4"/>
      <c r="Y3" s="4"/>
    </row>
    <row r="4" spans="1:25" x14ac:dyDescent="0.3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3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3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3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500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3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3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3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3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3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3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3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3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5" t="s">
        <v>263</v>
      </c>
      <c r="B31" s="6">
        <v>1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1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5" t="s">
        <v>294</v>
      </c>
      <c r="B33" s="6">
        <v>9</v>
      </c>
      <c r="C33" s="7"/>
      <c r="D33" s="7"/>
      <c r="E33" s="8"/>
      <c r="F33" s="8"/>
      <c r="G33" s="9">
        <v>1000</v>
      </c>
      <c r="H33" s="26"/>
      <c r="I33" s="7"/>
      <c r="J33" s="7">
        <v>25</v>
      </c>
      <c r="K33" s="7"/>
      <c r="L33" s="7">
        <v>45</v>
      </c>
      <c r="M33" s="7"/>
      <c r="N33" s="7">
        <f t="shared" si="2"/>
        <v>9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3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3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3">
      <c r="A36" s="5" t="s">
        <v>287</v>
      </c>
      <c r="B36" s="6">
        <v>11</v>
      </c>
      <c r="C36" s="7"/>
      <c r="D36" s="7"/>
      <c r="E36" s="8">
        <v>1</v>
      </c>
      <c r="F36" s="8"/>
      <c r="G36" s="9">
        <v>200</v>
      </c>
      <c r="H36" s="26">
        <f t="shared" si="0"/>
        <v>200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20</v>
      </c>
      <c r="P36" s="7"/>
      <c r="R36" s="11"/>
      <c r="S36" s="11"/>
      <c r="T36" s="11"/>
      <c r="U36" s="11"/>
    </row>
    <row r="37" spans="1:25" x14ac:dyDescent="0.3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3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3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3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3">
      <c r="A41" s="5" t="s">
        <v>235</v>
      </c>
      <c r="B41" s="6">
        <v>5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5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3">
      <c r="A42" s="5" t="s">
        <v>38</v>
      </c>
      <c r="B42" s="6">
        <v>6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6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3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3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3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3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3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3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3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3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3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3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3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3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3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3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3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3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3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3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3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3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3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3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3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3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3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3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3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3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3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3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3">
      <c r="A73" s="5" t="s">
        <v>211</v>
      </c>
      <c r="B73" s="6">
        <v>2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2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3">
      <c r="A74" s="5" t="s">
        <v>54</v>
      </c>
      <c r="B74" s="6">
        <v>3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3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3">
      <c r="A75" s="5" t="s">
        <v>55</v>
      </c>
      <c r="B75" s="6">
        <v>1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1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3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3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3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3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3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3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3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3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3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3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3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3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3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3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3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3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3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3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3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3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3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3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3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3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3">
      <c r="A100" s="5" t="s">
        <v>212</v>
      </c>
      <c r="B100" s="6">
        <v>11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11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3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3">
      <c r="A102" s="5" t="s">
        <v>191</v>
      </c>
      <c r="B102" s="6">
        <v>2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2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3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3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3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3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3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3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3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3">
      <c r="A110" s="5" t="s">
        <v>68</v>
      </c>
      <c r="B110" s="6">
        <v>2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2</v>
      </c>
      <c r="O110" s="7">
        <f t="shared" si="1"/>
        <v>0</v>
      </c>
      <c r="P110" s="7" t="s">
        <v>321</v>
      </c>
    </row>
    <row r="111" spans="1:21" x14ac:dyDescent="0.3">
      <c r="A111" s="5" t="s">
        <v>311</v>
      </c>
      <c r="B111" s="6">
        <v>2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2</v>
      </c>
      <c r="O111" s="7">
        <f t="shared" ref="O111:O183" si="5">E111*L111+F111*M111</f>
        <v>0</v>
      </c>
      <c r="P111" s="7"/>
    </row>
    <row r="112" spans="1:21" x14ac:dyDescent="0.3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3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3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3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3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3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3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3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3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3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3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3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3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3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3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3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3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x14ac:dyDescent="0.3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3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3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3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3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3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3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3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3">
      <c r="A137" s="5" t="s">
        <v>162</v>
      </c>
      <c r="B137" s="6">
        <v>8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8</v>
      </c>
      <c r="O137" s="7">
        <f t="shared" si="5"/>
        <v>0</v>
      </c>
      <c r="P137" s="7"/>
    </row>
    <row r="138" spans="1:16" x14ac:dyDescent="0.3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3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3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3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3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3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3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3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3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3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3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3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3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3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3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3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3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3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3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3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3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3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3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3">
      <c r="A161" s="5" t="s">
        <v>193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3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3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260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3">
      <c r="A164" s="5" t="s">
        <v>292</v>
      </c>
      <c r="B164" s="6">
        <v>22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/>
      <c r="K164" s="7"/>
      <c r="L164" s="7">
        <v>260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3">
      <c r="A165" s="5" t="s">
        <v>297</v>
      </c>
      <c r="B165" s="6">
        <v>91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3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3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3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3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3">
      <c r="A170" s="5" t="s">
        <v>234</v>
      </c>
      <c r="B170" s="6">
        <v>1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1</v>
      </c>
      <c r="O170" s="7">
        <f t="shared" si="5"/>
        <v>0</v>
      </c>
      <c r="P170" s="7"/>
    </row>
    <row r="171" spans="1:16" x14ac:dyDescent="0.3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3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3">
      <c r="A173" s="5" t="s">
        <v>93</v>
      </c>
      <c r="B173" s="6">
        <v>0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0</v>
      </c>
      <c r="O173" s="7">
        <f t="shared" si="5"/>
        <v>0</v>
      </c>
      <c r="P173" s="7"/>
    </row>
    <row r="174" spans="1:16" x14ac:dyDescent="0.3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3">
      <c r="A175" s="5" t="s">
        <v>222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3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3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3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3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3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3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3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3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3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3">
      <c r="A185" s="5" t="s">
        <v>98</v>
      </c>
      <c r="B185" s="6">
        <v>0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0</v>
      </c>
      <c r="O185" s="7">
        <f t="shared" si="8"/>
        <v>0</v>
      </c>
      <c r="P185" s="7"/>
    </row>
    <row r="186" spans="1:16" x14ac:dyDescent="0.3">
      <c r="A186" s="5" t="s">
        <v>189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260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3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3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3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3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3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3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3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3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3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3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3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3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3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3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3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3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3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3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3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3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3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3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3">
      <c r="A209" s="5" t="s">
        <v>264</v>
      </c>
      <c r="B209" s="6">
        <v>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2</v>
      </c>
      <c r="O209" s="7">
        <f t="shared" si="8"/>
        <v>0</v>
      </c>
      <c r="P209" s="7"/>
    </row>
    <row r="210" spans="1:16" x14ac:dyDescent="0.3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3">
      <c r="A211" s="5" t="s">
        <v>104</v>
      </c>
      <c r="B211" s="6">
        <v>2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70</v>
      </c>
      <c r="M211" s="7"/>
      <c r="N211" s="7">
        <f t="shared" si="7"/>
        <v>2</v>
      </c>
      <c r="O211" s="7">
        <f t="shared" si="8"/>
        <v>0</v>
      </c>
      <c r="P211" s="7"/>
    </row>
    <row r="212" spans="1:16" x14ac:dyDescent="0.3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3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3">
      <c r="A214" s="5" t="s">
        <v>266</v>
      </c>
      <c r="B214" s="6">
        <v>6</v>
      </c>
      <c r="C214" s="10"/>
      <c r="D214" s="7"/>
      <c r="E214" s="8">
        <v>3</v>
      </c>
      <c r="F214" s="8"/>
      <c r="G214" s="9">
        <v>1000</v>
      </c>
      <c r="H214" s="26">
        <f t="shared" si="6"/>
        <v>3000</v>
      </c>
      <c r="I214" s="7"/>
      <c r="J214" s="7"/>
      <c r="K214" s="7"/>
      <c r="L214" s="7">
        <v>75</v>
      </c>
      <c r="M214" s="7"/>
      <c r="N214" s="7">
        <f t="shared" si="7"/>
        <v>3</v>
      </c>
      <c r="O214" s="7">
        <f t="shared" si="8"/>
        <v>225</v>
      </c>
      <c r="P214" s="7"/>
    </row>
    <row r="215" spans="1:16" x14ac:dyDescent="0.3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3">
      <c r="A216" s="5" t="s">
        <v>265</v>
      </c>
      <c r="B216" s="6">
        <v>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5</v>
      </c>
      <c r="O216" s="7">
        <f t="shared" si="8"/>
        <v>0</v>
      </c>
      <c r="P216" s="7"/>
    </row>
    <row r="217" spans="1:16" x14ac:dyDescent="0.3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3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3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3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3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3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3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3">
      <c r="A224" s="5" t="s">
        <v>206</v>
      </c>
      <c r="B224" s="6">
        <v>52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52</v>
      </c>
      <c r="O224" s="7"/>
      <c r="P224" s="7"/>
    </row>
    <row r="225" spans="1:16" x14ac:dyDescent="0.3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3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3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3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3">
      <c r="A229" s="12" t="s">
        <v>107</v>
      </c>
      <c r="B229" s="13">
        <v>932</v>
      </c>
      <c r="C229" s="14"/>
      <c r="D229" s="14"/>
      <c r="E229" s="15"/>
      <c r="F229" s="15"/>
      <c r="G229" s="16"/>
      <c r="H229" s="27">
        <f>SUM(H2:H219)</f>
        <v>5700</v>
      </c>
      <c r="I229" s="17">
        <f>SUM(I2:I218)</f>
        <v>1500</v>
      </c>
      <c r="J229" s="17"/>
      <c r="K229" s="17">
        <f>SUM(K2:K218)</f>
        <v>0</v>
      </c>
      <c r="L229" s="17"/>
      <c r="M229" s="17"/>
      <c r="N229" s="30">
        <f>SUM(N2:N228)</f>
        <v>923</v>
      </c>
      <c r="O229" s="17">
        <f>SUM(O2:O228)</f>
        <v>395</v>
      </c>
      <c r="P229" s="17">
        <f>SUM(P2:P228)</f>
        <v>-6</v>
      </c>
    </row>
    <row r="230" spans="1:16" x14ac:dyDescent="0.3">
      <c r="A230" s="18" t="s">
        <v>108</v>
      </c>
      <c r="B230" s="18">
        <f>O229</f>
        <v>395</v>
      </c>
      <c r="C230" s="2" t="s">
        <v>109</v>
      </c>
      <c r="D230" s="2" t="s">
        <v>110</v>
      </c>
      <c r="N230" s="31"/>
    </row>
    <row r="231" spans="1:16" x14ac:dyDescent="0.3">
      <c r="A231" s="19" t="s">
        <v>111</v>
      </c>
      <c r="B231" s="20">
        <f>(C231+D231)/690</f>
        <v>103.47826086956522</v>
      </c>
      <c r="C231" s="8">
        <v>71400</v>
      </c>
      <c r="D231" s="8"/>
    </row>
    <row r="232" spans="1:16" x14ac:dyDescent="0.3">
      <c r="A232" s="19" t="s">
        <v>14</v>
      </c>
      <c r="B232" s="21">
        <v>150</v>
      </c>
      <c r="C232" s="8" t="s">
        <v>126</v>
      </c>
      <c r="D232" s="8"/>
    </row>
    <row r="233" spans="1:16" x14ac:dyDescent="0.3">
      <c r="A233" s="19" t="s">
        <v>112</v>
      </c>
      <c r="B233" s="20">
        <f>D233/690</f>
        <v>0</v>
      </c>
      <c r="C233" s="8"/>
      <c r="D233" s="8"/>
    </row>
    <row r="234" spans="1:16" x14ac:dyDescent="0.3">
      <c r="A234" s="19" t="s">
        <v>113</v>
      </c>
      <c r="B234" s="20"/>
      <c r="C234" s="8"/>
      <c r="D234" s="8"/>
    </row>
    <row r="235" spans="1:16" x14ac:dyDescent="0.3">
      <c r="A235" s="12" t="s">
        <v>114</v>
      </c>
      <c r="B235" s="22">
        <f>B230+B231+B233+B234+B232</f>
        <v>648.47826086956525</v>
      </c>
      <c r="C235" s="8"/>
      <c r="D235" s="8"/>
    </row>
    <row r="236" spans="1:16" x14ac:dyDescent="0.3">
      <c r="A236" s="19" t="s">
        <v>6</v>
      </c>
      <c r="B236" s="20">
        <f>D236/690</f>
        <v>0</v>
      </c>
      <c r="C236" s="8"/>
      <c r="D236" s="8"/>
    </row>
    <row r="237" spans="1:16" x14ac:dyDescent="0.3">
      <c r="A237" s="19" t="s">
        <v>115</v>
      </c>
      <c r="B237" s="20">
        <f>C237/690</f>
        <v>2.1739130434782608</v>
      </c>
      <c r="C237" s="8">
        <v>1500</v>
      </c>
      <c r="D237" s="8"/>
    </row>
    <row r="238" spans="1:16" x14ac:dyDescent="0.3">
      <c r="A238" s="19" t="s">
        <v>64</v>
      </c>
      <c r="B238" s="20">
        <f>C238/690</f>
        <v>52.028985507246375</v>
      </c>
      <c r="C238" s="8">
        <v>35900</v>
      </c>
      <c r="D238" s="8"/>
    </row>
    <row r="239" spans="1:16" x14ac:dyDescent="0.3">
      <c r="A239" s="19" t="s">
        <v>116</v>
      </c>
      <c r="B239" s="20"/>
      <c r="C239" s="8"/>
      <c r="D239" s="8"/>
    </row>
    <row r="240" spans="1:16" x14ac:dyDescent="0.3">
      <c r="A240" s="12" t="s">
        <v>117</v>
      </c>
      <c r="B240" s="20">
        <f>B236+B237+B238+B239</f>
        <v>54.202898550724633</v>
      </c>
      <c r="C240" s="8"/>
      <c r="D240" s="8"/>
    </row>
    <row r="241" spans="1:6" x14ac:dyDescent="0.3">
      <c r="A241" s="12" t="s">
        <v>118</v>
      </c>
      <c r="B241" s="22">
        <f>B235-B240</f>
        <v>594.27536231884062</v>
      </c>
      <c r="C241" s="8"/>
      <c r="D241" s="8"/>
    </row>
    <row r="242" spans="1:6" x14ac:dyDescent="0.3">
      <c r="A242" s="19" t="s">
        <v>119</v>
      </c>
      <c r="B242" s="20">
        <f>C242/690</f>
        <v>0</v>
      </c>
      <c r="C242" s="8"/>
      <c r="D242" s="8"/>
    </row>
    <row r="243" spans="1:6" x14ac:dyDescent="0.3">
      <c r="A243" s="19" t="s">
        <v>120</v>
      </c>
      <c r="B243" s="20"/>
      <c r="C243" s="8"/>
      <c r="D243" s="8"/>
    </row>
    <row r="244" spans="1:6" x14ac:dyDescent="0.3">
      <c r="A244" s="19" t="s">
        <v>121</v>
      </c>
      <c r="B244" s="20">
        <f>C244/2</f>
        <v>0</v>
      </c>
      <c r="C244" s="8"/>
      <c r="D244" s="8"/>
    </row>
    <row r="245" spans="1:6" x14ac:dyDescent="0.3">
      <c r="A245" s="12" t="s">
        <v>122</v>
      </c>
      <c r="B245" s="22">
        <f>B242+B243+B244</f>
        <v>0</v>
      </c>
      <c r="C245" s="8"/>
      <c r="D245" s="8"/>
    </row>
    <row r="246" spans="1:6" x14ac:dyDescent="0.3">
      <c r="A246" s="19" t="s">
        <v>123</v>
      </c>
      <c r="B246" s="20">
        <v>170</v>
      </c>
      <c r="C246" s="8"/>
      <c r="D246" s="8"/>
    </row>
    <row r="247" spans="1:6" x14ac:dyDescent="0.3">
      <c r="A247" s="19" t="s">
        <v>36</v>
      </c>
      <c r="B247" s="20">
        <v>150</v>
      </c>
      <c r="C247" s="8"/>
      <c r="D247" s="8"/>
    </row>
    <row r="248" spans="1:6" x14ac:dyDescent="0.3">
      <c r="A248" s="19" t="s">
        <v>124</v>
      </c>
      <c r="B248" s="20">
        <f>C248/2.3</f>
        <v>0</v>
      </c>
      <c r="C248" s="8"/>
      <c r="D248" s="8"/>
    </row>
    <row r="249" spans="1:6" x14ac:dyDescent="0.3">
      <c r="A249" s="19" t="s">
        <v>125</v>
      </c>
      <c r="B249" s="20">
        <f>C249/690</f>
        <v>274.27536231884056</v>
      </c>
      <c r="C249" s="8">
        <v>189250</v>
      </c>
      <c r="D249" s="8"/>
      <c r="F249" t="s">
        <v>126</v>
      </c>
    </row>
    <row r="250" spans="1:6" x14ac:dyDescent="0.3">
      <c r="A250" s="19" t="s">
        <v>127</v>
      </c>
      <c r="B250" s="20">
        <f>D250/690</f>
        <v>0</v>
      </c>
      <c r="C250" s="8"/>
      <c r="D250" s="8"/>
    </row>
    <row r="251" spans="1:6" x14ac:dyDescent="0.3">
      <c r="A251" s="12" t="s">
        <v>128</v>
      </c>
      <c r="B251" s="22">
        <f>B246+B247+B248+B249+B250</f>
        <v>594.27536231884051</v>
      </c>
      <c r="C251" s="8"/>
      <c r="D251" s="8"/>
    </row>
    <row r="252" spans="1:6" x14ac:dyDescent="0.3">
      <c r="A252" s="19" t="s">
        <v>129</v>
      </c>
      <c r="B252" s="20">
        <f>C252/690</f>
        <v>0</v>
      </c>
      <c r="C252" s="8"/>
      <c r="D252" s="8"/>
    </row>
    <row r="253" spans="1:6" x14ac:dyDescent="0.3">
      <c r="A253" s="12" t="s">
        <v>107</v>
      </c>
      <c r="B253" s="22">
        <f>B252</f>
        <v>0</v>
      </c>
      <c r="C253" s="8"/>
      <c r="D253" s="8"/>
    </row>
    <row r="254" spans="1:6" x14ac:dyDescent="0.3">
      <c r="A254" s="12" t="s">
        <v>130</v>
      </c>
      <c r="B254" s="20">
        <f>B241-B245-B251-B253</f>
        <v>1.1368683772161603E-13</v>
      </c>
      <c r="C254" s="8" t="s">
        <v>126</v>
      </c>
      <c r="D254" s="8"/>
    </row>
    <row r="256" spans="1:6" x14ac:dyDescent="0.3">
      <c r="A256" s="12" t="s">
        <v>131</v>
      </c>
      <c r="B256" s="23" t="s">
        <v>10</v>
      </c>
    </row>
    <row r="257" spans="1:2" x14ac:dyDescent="0.3">
      <c r="A257" s="12" t="s">
        <v>132</v>
      </c>
      <c r="B257" s="7"/>
    </row>
    <row r="258" spans="1:2" x14ac:dyDescent="0.3">
      <c r="A258" s="19" t="s">
        <v>133</v>
      </c>
      <c r="B258" s="7"/>
    </row>
    <row r="259" spans="1:2" x14ac:dyDescent="0.3">
      <c r="A259" s="12" t="s">
        <v>134</v>
      </c>
      <c r="B259" s="17">
        <f>B257-B258</f>
        <v>0</v>
      </c>
    </row>
    <row r="260" spans="1:2" x14ac:dyDescent="0.3">
      <c r="A260" s="12" t="s">
        <v>135</v>
      </c>
      <c r="B260" s="17">
        <f>B261+B262+B263+B264+B265+B266+B267+B268</f>
        <v>0</v>
      </c>
    </row>
    <row r="261" spans="1:2" x14ac:dyDescent="0.3">
      <c r="A261" s="19" t="s">
        <v>136</v>
      </c>
      <c r="B261" s="7"/>
    </row>
    <row r="262" spans="1:2" x14ac:dyDescent="0.3">
      <c r="A262" s="19" t="s">
        <v>137</v>
      </c>
      <c r="B262" s="7"/>
    </row>
    <row r="263" spans="1:2" x14ac:dyDescent="0.3">
      <c r="A263" s="19" t="s">
        <v>138</v>
      </c>
      <c r="B263" s="7"/>
    </row>
    <row r="264" spans="1:2" x14ac:dyDescent="0.3">
      <c r="A264" s="19" t="s">
        <v>139</v>
      </c>
      <c r="B264" s="7"/>
    </row>
    <row r="265" spans="1:2" x14ac:dyDescent="0.3">
      <c r="A265" s="19" t="s">
        <v>140</v>
      </c>
      <c r="B265" s="7"/>
    </row>
    <row r="266" spans="1:2" x14ac:dyDescent="0.3">
      <c r="A266" s="19" t="s">
        <v>141</v>
      </c>
      <c r="B266" s="7"/>
    </row>
    <row r="267" spans="1:2" x14ac:dyDescent="0.3">
      <c r="A267" s="19" t="s">
        <v>142</v>
      </c>
      <c r="B267" s="7"/>
    </row>
    <row r="268" spans="1:2" x14ac:dyDescent="0.3">
      <c r="A268" s="19" t="s">
        <v>143</v>
      </c>
      <c r="B268" s="7"/>
    </row>
    <row r="269" spans="1:2" x14ac:dyDescent="0.3">
      <c r="A269" s="12" t="s">
        <v>144</v>
      </c>
      <c r="B269" s="17">
        <f>B270+B271+B272</f>
        <v>0</v>
      </c>
    </row>
    <row r="270" spans="1:2" x14ac:dyDescent="0.3">
      <c r="A270" s="19" t="s">
        <v>145</v>
      </c>
      <c r="B270" s="7"/>
    </row>
    <row r="271" spans="1:2" x14ac:dyDescent="0.3">
      <c r="A271" s="19" t="s">
        <v>146</v>
      </c>
      <c r="B271" s="7"/>
    </row>
    <row r="272" spans="1:2" x14ac:dyDescent="0.3">
      <c r="A272" s="19" t="s">
        <v>147</v>
      </c>
      <c r="B272" s="7"/>
    </row>
    <row r="273" spans="1:5" x14ac:dyDescent="0.3">
      <c r="A273" s="12" t="s">
        <v>148</v>
      </c>
      <c r="B273" s="17">
        <f>B259-B260-B269</f>
        <v>0</v>
      </c>
    </row>
    <row r="279" spans="1:5" x14ac:dyDescent="0.3">
      <c r="A279" s="24"/>
    </row>
    <row r="280" spans="1:5" x14ac:dyDescent="0.3">
      <c r="A280" s="24"/>
    </row>
    <row r="281" spans="1:5" x14ac:dyDescent="0.3">
      <c r="A281" s="24"/>
    </row>
    <row r="282" spans="1:5" x14ac:dyDescent="0.3">
      <c r="A282" s="24"/>
    </row>
    <row r="283" spans="1:5" x14ac:dyDescent="0.3">
      <c r="A283" s="24"/>
    </row>
    <row r="284" spans="1:5" x14ac:dyDescent="0.3">
      <c r="A284" s="24"/>
    </row>
    <row r="285" spans="1:5" x14ac:dyDescent="0.3">
      <c r="A285" s="24"/>
    </row>
    <row r="286" spans="1:5" x14ac:dyDescent="0.3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63E1-C3A7-48CF-9EC8-6BC8EFFF8D9E}">
  <dimension ref="A1:Y286"/>
  <sheetViews>
    <sheetView zoomScale="80" zoomScaleNormal="80" workbookViewId="0">
      <pane ySplit="1" topLeftCell="A218" activePane="bottomLeft" state="frozen"/>
      <selection pane="bottomLeft" activeCell="H106" sqref="H106"/>
    </sheetView>
  </sheetViews>
  <sheetFormatPr baseColWidth="10" defaultRowHeight="14.4" x14ac:dyDescent="0.3"/>
  <cols>
    <col min="1" max="1" width="54.5546875" customWidth="1"/>
    <col min="3" max="3" width="20" customWidth="1"/>
    <col min="4" max="4" width="11.109375" customWidth="1"/>
    <col min="5" max="6" width="8.33203125" customWidth="1"/>
    <col min="7" max="7" width="12.33203125" customWidth="1"/>
    <col min="8" max="8" width="15" customWidth="1"/>
    <col min="9" max="9" width="12.6640625" customWidth="1"/>
    <col min="10" max="10" width="9.33203125" customWidth="1"/>
    <col min="11" max="11" width="9.109375" customWidth="1"/>
    <col min="12" max="12" width="11.33203125" customWidth="1"/>
    <col min="13" max="13" width="11.109375" customWidth="1"/>
    <col min="14" max="14" width="8.33203125" customWidth="1"/>
    <col min="15" max="15" width="9.6640625" customWidth="1"/>
    <col min="16" max="16" width="18.5546875" customWidth="1"/>
    <col min="18" max="18" width="13" customWidth="1"/>
    <col min="19" max="19" width="15.6640625" customWidth="1"/>
    <col min="21" max="21" width="17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3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3">
      <c r="A3" s="5" t="s">
        <v>270</v>
      </c>
      <c r="B3" s="6">
        <v>88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30</v>
      </c>
      <c r="M3" s="7"/>
      <c r="N3" s="7">
        <f>B3+C3-D3-E3-F3</f>
        <v>88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3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3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3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3">
      <c r="A7" s="5" t="s">
        <v>260</v>
      </c>
      <c r="B7" s="6">
        <v>2</v>
      </c>
      <c r="C7" s="7"/>
      <c r="D7" s="7"/>
      <c r="E7" s="8"/>
      <c r="F7" s="8"/>
      <c r="G7" s="9">
        <v>5000</v>
      </c>
      <c r="H7" s="26">
        <f t="shared" si="0"/>
        <v>0</v>
      </c>
      <c r="I7" s="7"/>
      <c r="J7" s="7"/>
      <c r="K7" s="7"/>
      <c r="L7" s="7">
        <v>500</v>
      </c>
      <c r="M7" s="7"/>
      <c r="N7" s="7">
        <f t="shared" si="2"/>
        <v>2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3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3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3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3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3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3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3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3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5" t="s">
        <v>263</v>
      </c>
      <c r="B31" s="6">
        <v>1</v>
      </c>
      <c r="C31" s="7"/>
      <c r="D31" s="7">
        <v>1</v>
      </c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0</v>
      </c>
      <c r="O31" s="7">
        <f t="shared" si="1"/>
        <v>0</v>
      </c>
      <c r="P31" s="7" t="s">
        <v>304</v>
      </c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5" t="s">
        <v>294</v>
      </c>
      <c r="B33" s="6">
        <v>9</v>
      </c>
      <c r="C33" s="7"/>
      <c r="D33" s="7"/>
      <c r="E33" s="8"/>
      <c r="F33" s="8"/>
      <c r="G33" s="9">
        <v>1000</v>
      </c>
      <c r="H33" s="26"/>
      <c r="I33" s="7"/>
      <c r="J33" s="7">
        <v>25</v>
      </c>
      <c r="K33" s="7"/>
      <c r="L33" s="7">
        <v>45</v>
      </c>
      <c r="M33" s="7"/>
      <c r="N33" s="7">
        <f t="shared" si="2"/>
        <v>9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3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3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3">
      <c r="A36" s="5" t="s">
        <v>287</v>
      </c>
      <c r="B36" s="6">
        <v>10</v>
      </c>
      <c r="C36" s="7"/>
      <c r="D36" s="7"/>
      <c r="E36" s="8"/>
      <c r="F36" s="8"/>
      <c r="G36" s="9">
        <v>200</v>
      </c>
      <c r="H36" s="26">
        <f t="shared" si="0"/>
        <v>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3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3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3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3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3">
      <c r="A41" s="5" t="s">
        <v>235</v>
      </c>
      <c r="B41" s="6">
        <v>5</v>
      </c>
      <c r="C41" s="7"/>
      <c r="D41" s="7"/>
      <c r="E41" s="8">
        <v>1</v>
      </c>
      <c r="F41" s="8"/>
      <c r="G41" s="9">
        <v>1000</v>
      </c>
      <c r="H41" s="26">
        <f t="shared" si="0"/>
        <v>1000</v>
      </c>
      <c r="I41" s="7">
        <v>700</v>
      </c>
      <c r="J41" s="7">
        <v>7</v>
      </c>
      <c r="K41" s="7"/>
      <c r="L41" s="7">
        <v>70</v>
      </c>
      <c r="M41" s="7"/>
      <c r="N41" s="7">
        <f t="shared" si="2"/>
        <v>4</v>
      </c>
      <c r="O41" s="7">
        <f t="shared" si="1"/>
        <v>70</v>
      </c>
      <c r="P41" s="7"/>
      <c r="R41" s="4"/>
      <c r="S41" s="4"/>
      <c r="T41" s="4"/>
      <c r="U41" s="4"/>
    </row>
    <row r="42" spans="1:25" x14ac:dyDescent="0.3">
      <c r="A42" s="5" t="s">
        <v>38</v>
      </c>
      <c r="B42" s="6">
        <v>6</v>
      </c>
      <c r="C42" s="7"/>
      <c r="D42" s="7">
        <v>1</v>
      </c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5</v>
      </c>
      <c r="O42" s="7">
        <f t="shared" si="1"/>
        <v>0</v>
      </c>
      <c r="P42" s="7" t="s">
        <v>318</v>
      </c>
      <c r="R42" s="4"/>
      <c r="S42" s="4"/>
      <c r="T42" s="4"/>
      <c r="U42" s="4"/>
    </row>
    <row r="43" spans="1:25" x14ac:dyDescent="0.3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3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3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3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3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3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3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3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3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3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3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3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3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3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3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3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3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3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3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3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3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3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3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3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3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3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3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3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3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3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3">
      <c r="A73" s="5" t="s">
        <v>211</v>
      </c>
      <c r="B73" s="6">
        <v>2</v>
      </c>
      <c r="C73" s="10"/>
      <c r="D73" s="7">
        <v>1</v>
      </c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1</v>
      </c>
      <c r="O73" s="7">
        <f>E73*L73+F73*M73</f>
        <v>0</v>
      </c>
      <c r="P73" s="7" t="s">
        <v>304</v>
      </c>
      <c r="R73" s="4"/>
      <c r="S73" s="4"/>
      <c r="T73" s="4"/>
      <c r="U73" s="4"/>
      <c r="W73" s="4"/>
    </row>
    <row r="74" spans="1:23" x14ac:dyDescent="0.3">
      <c r="A74" s="5" t="s">
        <v>54</v>
      </c>
      <c r="B74" s="6">
        <v>3</v>
      </c>
      <c r="C74" s="10"/>
      <c r="D74" s="7">
        <v>2</v>
      </c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 t="s">
        <v>304</v>
      </c>
      <c r="R74" s="4"/>
      <c r="S74" s="4"/>
      <c r="T74" s="4"/>
      <c r="U74" s="4"/>
      <c r="W74" s="4"/>
    </row>
    <row r="75" spans="1:23" x14ac:dyDescent="0.3">
      <c r="A75" s="5" t="s">
        <v>55</v>
      </c>
      <c r="B75" s="6">
        <v>1</v>
      </c>
      <c r="C75" s="10">
        <v>1</v>
      </c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2</v>
      </c>
      <c r="O75" s="7">
        <f t="shared" si="1"/>
        <v>0</v>
      </c>
      <c r="P75" s="7" t="s">
        <v>324</v>
      </c>
      <c r="R75" s="4"/>
      <c r="S75" s="4"/>
      <c r="T75" s="4"/>
      <c r="U75" s="4"/>
      <c r="W75" s="4"/>
    </row>
    <row r="76" spans="1:23" x14ac:dyDescent="0.3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3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3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3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3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3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3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3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3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3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3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3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3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3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3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3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3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3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3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3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3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3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3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3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3">
      <c r="A100" s="5" t="s">
        <v>212</v>
      </c>
      <c r="B100" s="6">
        <v>11</v>
      </c>
      <c r="C100" s="10"/>
      <c r="D100" s="7">
        <v>2</v>
      </c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9</v>
      </c>
      <c r="O100" s="7">
        <f t="shared" si="1"/>
        <v>0</v>
      </c>
      <c r="P100" s="7" t="s">
        <v>304</v>
      </c>
      <c r="R100" s="4"/>
      <c r="S100" s="4"/>
      <c r="T100" s="4"/>
      <c r="U100" s="4"/>
    </row>
    <row r="101" spans="1:21" x14ac:dyDescent="0.3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3">
      <c r="A102" s="5" t="s">
        <v>191</v>
      </c>
      <c r="B102" s="6">
        <v>2</v>
      </c>
      <c r="C102" s="10"/>
      <c r="D102" s="7"/>
      <c r="E102" s="8">
        <v>1</v>
      </c>
      <c r="F102" s="8"/>
      <c r="G102" s="9">
        <v>3000</v>
      </c>
      <c r="H102" s="26"/>
      <c r="I102" s="7">
        <v>700</v>
      </c>
      <c r="J102" s="7">
        <v>160</v>
      </c>
      <c r="K102" s="7"/>
      <c r="L102" s="7">
        <v>300</v>
      </c>
      <c r="M102" s="7"/>
      <c r="N102" s="7">
        <f t="shared" si="4"/>
        <v>1</v>
      </c>
      <c r="O102" s="7">
        <f t="shared" si="1"/>
        <v>300</v>
      </c>
      <c r="P102" s="7" t="s">
        <v>268</v>
      </c>
      <c r="R102" s="4"/>
      <c r="S102" s="4"/>
      <c r="T102" s="4"/>
      <c r="U102" s="4"/>
    </row>
    <row r="103" spans="1:21" x14ac:dyDescent="0.3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3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3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3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3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3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3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3">
      <c r="A110" s="5" t="s">
        <v>68</v>
      </c>
      <c r="B110" s="6">
        <v>2</v>
      </c>
      <c r="C110" s="10"/>
      <c r="D110" s="7">
        <v>1</v>
      </c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1</v>
      </c>
      <c r="O110" s="7">
        <f t="shared" si="1"/>
        <v>0</v>
      </c>
      <c r="P110" s="7" t="s">
        <v>325</v>
      </c>
    </row>
    <row r="111" spans="1:21" x14ac:dyDescent="0.3">
      <c r="A111" s="5" t="s">
        <v>311</v>
      </c>
      <c r="B111" s="6">
        <v>2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2</v>
      </c>
      <c r="O111" s="7">
        <f t="shared" ref="O111:O183" si="5">E111*L111+F111*M111</f>
        <v>0</v>
      </c>
      <c r="P111" s="7"/>
    </row>
    <row r="112" spans="1:21" x14ac:dyDescent="0.3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3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3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3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3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3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3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3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3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3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3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3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3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3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3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3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3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x14ac:dyDescent="0.3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3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3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3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3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3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3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3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3">
      <c r="A137" s="5" t="s">
        <v>162</v>
      </c>
      <c r="B137" s="6">
        <v>8</v>
      </c>
      <c r="C137" s="10"/>
      <c r="D137" s="7">
        <v>3</v>
      </c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5</v>
      </c>
      <c r="O137" s="7">
        <f t="shared" si="5"/>
        <v>0</v>
      </c>
      <c r="P137" s="7" t="s">
        <v>304</v>
      </c>
    </row>
    <row r="138" spans="1:16" x14ac:dyDescent="0.3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3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3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3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3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3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3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3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3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3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3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3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3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3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3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3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3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3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3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3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3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3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3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3">
      <c r="A161" s="5" t="s">
        <v>193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3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3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260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3">
      <c r="A164" s="5" t="s">
        <v>292</v>
      </c>
      <c r="B164" s="6">
        <v>22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/>
      <c r="K164" s="7"/>
      <c r="L164" s="7">
        <v>260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3">
      <c r="A165" s="5" t="s">
        <v>297</v>
      </c>
      <c r="B165" s="6">
        <v>91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3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3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3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3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3">
      <c r="A170" s="5" t="s">
        <v>234</v>
      </c>
      <c r="B170" s="6">
        <v>1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1</v>
      </c>
      <c r="O170" s="7">
        <f t="shared" si="5"/>
        <v>0</v>
      </c>
      <c r="P170" s="7"/>
    </row>
    <row r="171" spans="1:16" x14ac:dyDescent="0.3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3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3">
      <c r="A173" s="5" t="s">
        <v>93</v>
      </c>
      <c r="B173" s="6">
        <v>0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0</v>
      </c>
      <c r="O173" s="7">
        <f t="shared" si="5"/>
        <v>0</v>
      </c>
      <c r="P173" s="7"/>
    </row>
    <row r="174" spans="1:16" x14ac:dyDescent="0.3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3">
      <c r="A175" s="5" t="s">
        <v>222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3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3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3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3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3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3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3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3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3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3">
      <c r="A185" s="5" t="s">
        <v>98</v>
      </c>
      <c r="B185" s="6">
        <v>0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0</v>
      </c>
      <c r="O185" s="7">
        <f t="shared" si="8"/>
        <v>0</v>
      </c>
      <c r="P185" s="7"/>
    </row>
    <row r="186" spans="1:16" x14ac:dyDescent="0.3">
      <c r="A186" s="5" t="s">
        <v>189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260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3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3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3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3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3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3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3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3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3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3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3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3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3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3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3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3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3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3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3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3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3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3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3">
      <c r="A209" s="5" t="s">
        <v>264</v>
      </c>
      <c r="B209" s="6">
        <v>2</v>
      </c>
      <c r="C209" s="10">
        <v>10</v>
      </c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12</v>
      </c>
      <c r="O209" s="7">
        <f t="shared" si="8"/>
        <v>0</v>
      </c>
      <c r="P209" s="7" t="s">
        <v>304</v>
      </c>
    </row>
    <row r="210" spans="1:16" x14ac:dyDescent="0.3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3">
      <c r="A211" s="5" t="s">
        <v>104</v>
      </c>
      <c r="B211" s="6">
        <v>2</v>
      </c>
      <c r="C211" s="10"/>
      <c r="D211" s="7">
        <v>2</v>
      </c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70</v>
      </c>
      <c r="M211" s="7"/>
      <c r="N211" s="7">
        <f t="shared" si="7"/>
        <v>0</v>
      </c>
      <c r="O211" s="7">
        <f t="shared" si="8"/>
        <v>0</v>
      </c>
      <c r="P211" s="7" t="s">
        <v>304</v>
      </c>
    </row>
    <row r="212" spans="1:16" x14ac:dyDescent="0.3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3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3">
      <c r="A214" s="5" t="s">
        <v>266</v>
      </c>
      <c r="B214" s="6">
        <v>3</v>
      </c>
      <c r="C214" s="10"/>
      <c r="D214" s="7"/>
      <c r="E214" s="8"/>
      <c r="F214" s="8"/>
      <c r="G214" s="9">
        <v>1000</v>
      </c>
      <c r="H214" s="26">
        <f t="shared" si="6"/>
        <v>0</v>
      </c>
      <c r="I214" s="7"/>
      <c r="J214" s="7"/>
      <c r="K214" s="7"/>
      <c r="L214" s="7">
        <v>75</v>
      </c>
      <c r="M214" s="7"/>
      <c r="N214" s="7">
        <f t="shared" si="7"/>
        <v>3</v>
      </c>
      <c r="O214" s="7">
        <f t="shared" si="8"/>
        <v>0</v>
      </c>
      <c r="P214" s="7"/>
    </row>
    <row r="215" spans="1:16" x14ac:dyDescent="0.3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3">
      <c r="A216" s="5" t="s">
        <v>265</v>
      </c>
      <c r="B216" s="6">
        <v>5</v>
      </c>
      <c r="C216" s="10">
        <v>10</v>
      </c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15</v>
      </c>
      <c r="O216" s="7">
        <f t="shared" si="8"/>
        <v>0</v>
      </c>
      <c r="P216" s="7" t="s">
        <v>304</v>
      </c>
    </row>
    <row r="217" spans="1:16" x14ac:dyDescent="0.3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3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3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3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3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3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3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3">
      <c r="A224" s="5" t="s">
        <v>206</v>
      </c>
      <c r="B224" s="6">
        <v>52</v>
      </c>
      <c r="C224" s="7"/>
      <c r="D224" s="7">
        <v>8</v>
      </c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44</v>
      </c>
      <c r="O224" s="7"/>
      <c r="P224" s="7" t="s">
        <v>304</v>
      </c>
    </row>
    <row r="225" spans="1:16" x14ac:dyDescent="0.3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3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3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3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3">
      <c r="A229" s="12" t="s">
        <v>107</v>
      </c>
      <c r="B229" s="13">
        <v>923</v>
      </c>
      <c r="C229" s="14"/>
      <c r="D229" s="14"/>
      <c r="E229" s="15"/>
      <c r="F229" s="15"/>
      <c r="G229" s="16"/>
      <c r="H229" s="27">
        <f>SUM(H2:H219)</f>
        <v>1000</v>
      </c>
      <c r="I229" s="17">
        <f>SUM(I2:I218)</f>
        <v>1400</v>
      </c>
      <c r="J229" s="17"/>
      <c r="K229" s="17">
        <f>SUM(K2:K218)</f>
        <v>0</v>
      </c>
      <c r="L229" s="17"/>
      <c r="M229" s="17"/>
      <c r="N229" s="30">
        <f>SUM(N2:N228)</f>
        <v>921</v>
      </c>
      <c r="O229" s="17">
        <f>SUM(O2:O228)</f>
        <v>370</v>
      </c>
      <c r="P229" s="17">
        <f>SUM(P2:P228)</f>
        <v>-4</v>
      </c>
    </row>
    <row r="230" spans="1:16" x14ac:dyDescent="0.3">
      <c r="A230" s="18" t="s">
        <v>108</v>
      </c>
      <c r="B230" s="18">
        <f>O229</f>
        <v>370</v>
      </c>
      <c r="C230" s="2" t="s">
        <v>109</v>
      </c>
      <c r="D230" s="2" t="s">
        <v>110</v>
      </c>
      <c r="N230" s="31"/>
    </row>
    <row r="231" spans="1:16" x14ac:dyDescent="0.3">
      <c r="A231" s="19" t="s">
        <v>111</v>
      </c>
      <c r="B231" s="20">
        <f>(C231+D231)/690</f>
        <v>49.275362318840578</v>
      </c>
      <c r="C231" s="8">
        <v>34000</v>
      </c>
      <c r="D231" s="8"/>
    </row>
    <row r="232" spans="1:16" x14ac:dyDescent="0.3">
      <c r="A232" s="19" t="s">
        <v>14</v>
      </c>
      <c r="B232" s="21">
        <v>150</v>
      </c>
      <c r="C232" s="8" t="s">
        <v>126</v>
      </c>
      <c r="D232" s="8"/>
    </row>
    <row r="233" spans="1:16" x14ac:dyDescent="0.3">
      <c r="A233" s="19" t="s">
        <v>112</v>
      </c>
      <c r="B233" s="20">
        <f>D233/690</f>
        <v>0</v>
      </c>
      <c r="C233" s="8"/>
      <c r="D233" s="8"/>
    </row>
    <row r="234" spans="1:16" x14ac:dyDescent="0.3">
      <c r="A234" s="19" t="s">
        <v>113</v>
      </c>
      <c r="B234" s="20"/>
      <c r="C234" s="8"/>
      <c r="D234" s="8"/>
    </row>
    <row r="235" spans="1:16" x14ac:dyDescent="0.3">
      <c r="A235" s="12" t="s">
        <v>114</v>
      </c>
      <c r="B235" s="22">
        <f>B230+B231+B233+B234+B232</f>
        <v>569.27536231884051</v>
      </c>
      <c r="C235" s="8"/>
      <c r="D235" s="8"/>
    </row>
    <row r="236" spans="1:16" x14ac:dyDescent="0.3">
      <c r="A236" s="19" t="s">
        <v>6</v>
      </c>
      <c r="B236" s="20">
        <f>D236/690</f>
        <v>0</v>
      </c>
      <c r="C236" s="8"/>
      <c r="D236" s="8"/>
    </row>
    <row r="237" spans="1:16" x14ac:dyDescent="0.3">
      <c r="A237" s="19" t="s">
        <v>115</v>
      </c>
      <c r="B237" s="20">
        <f>C237/690</f>
        <v>2.0289855072463769</v>
      </c>
      <c r="C237" s="8">
        <v>1400</v>
      </c>
      <c r="D237" s="8"/>
    </row>
    <row r="238" spans="1:16" x14ac:dyDescent="0.3">
      <c r="A238" s="19" t="s">
        <v>64</v>
      </c>
      <c r="B238" s="20">
        <f>C238/690</f>
        <v>13.478260869565217</v>
      </c>
      <c r="C238" s="8">
        <v>9300</v>
      </c>
      <c r="D238" s="8"/>
    </row>
    <row r="239" spans="1:16" x14ac:dyDescent="0.3">
      <c r="A239" s="19" t="s">
        <v>116</v>
      </c>
      <c r="B239" s="20"/>
      <c r="C239" s="8"/>
      <c r="D239" s="8"/>
    </row>
    <row r="240" spans="1:16" x14ac:dyDescent="0.3">
      <c r="A240" s="12" t="s">
        <v>117</v>
      </c>
      <c r="B240" s="20">
        <f>B236+B237+B238+B239</f>
        <v>15.507246376811594</v>
      </c>
      <c r="C240" s="8"/>
      <c r="D240" s="8"/>
    </row>
    <row r="241" spans="1:6" x14ac:dyDescent="0.3">
      <c r="A241" s="12" t="s">
        <v>118</v>
      </c>
      <c r="B241" s="22">
        <f>B235-B240</f>
        <v>553.76811594202889</v>
      </c>
      <c r="C241" s="8"/>
      <c r="D241" s="8"/>
    </row>
    <row r="242" spans="1:6" x14ac:dyDescent="0.3">
      <c r="A242" s="19" t="s">
        <v>119</v>
      </c>
      <c r="B242" s="20">
        <f>C242/690</f>
        <v>0</v>
      </c>
      <c r="C242" s="8"/>
      <c r="D242" s="8"/>
    </row>
    <row r="243" spans="1:6" x14ac:dyDescent="0.3">
      <c r="A243" s="19" t="s">
        <v>120</v>
      </c>
      <c r="B243" s="20"/>
      <c r="C243" s="8"/>
      <c r="D243" s="8"/>
    </row>
    <row r="244" spans="1:6" x14ac:dyDescent="0.3">
      <c r="A244" s="19" t="s">
        <v>121</v>
      </c>
      <c r="B244" s="20">
        <f>C244/2</f>
        <v>0</v>
      </c>
      <c r="C244" s="8"/>
      <c r="D244" s="8"/>
    </row>
    <row r="245" spans="1:6" x14ac:dyDescent="0.3">
      <c r="A245" s="12" t="s">
        <v>122</v>
      </c>
      <c r="B245" s="22">
        <f>B242+B243+B244</f>
        <v>0</v>
      </c>
      <c r="C245" s="8"/>
      <c r="D245" s="8"/>
    </row>
    <row r="246" spans="1:6" x14ac:dyDescent="0.3">
      <c r="A246" s="19" t="s">
        <v>123</v>
      </c>
      <c r="B246" s="20">
        <v>520</v>
      </c>
      <c r="C246" s="8"/>
      <c r="D246" s="8"/>
    </row>
    <row r="247" spans="1:6" x14ac:dyDescent="0.3">
      <c r="A247" s="19" t="s">
        <v>36</v>
      </c>
      <c r="B247" s="20"/>
      <c r="C247" s="8"/>
      <c r="D247" s="8"/>
    </row>
    <row r="248" spans="1:6" x14ac:dyDescent="0.3">
      <c r="A248" s="19" t="s">
        <v>124</v>
      </c>
      <c r="B248" s="20">
        <f>C248/2.3</f>
        <v>0</v>
      </c>
      <c r="C248" s="8"/>
      <c r="D248" s="8"/>
    </row>
    <row r="249" spans="1:6" x14ac:dyDescent="0.3">
      <c r="A249" s="19" t="s">
        <v>125</v>
      </c>
      <c r="B249" s="20">
        <f>C249/690</f>
        <v>33.768115942028984</v>
      </c>
      <c r="C249" s="8">
        <v>23300</v>
      </c>
      <c r="D249" s="8"/>
      <c r="F249" t="s">
        <v>126</v>
      </c>
    </row>
    <row r="250" spans="1:6" x14ac:dyDescent="0.3">
      <c r="A250" s="19" t="s">
        <v>127</v>
      </c>
      <c r="B250" s="20">
        <f>D250/690</f>
        <v>0</v>
      </c>
      <c r="C250" s="8"/>
      <c r="D250" s="8"/>
    </row>
    <row r="251" spans="1:6" x14ac:dyDescent="0.3">
      <c r="A251" s="12" t="s">
        <v>128</v>
      </c>
      <c r="B251" s="22">
        <f>B246+B247+B248+B249+B250</f>
        <v>553.768115942029</v>
      </c>
      <c r="C251" s="8"/>
      <c r="D251" s="8"/>
    </row>
    <row r="252" spans="1:6" x14ac:dyDescent="0.3">
      <c r="A252" s="19" t="s">
        <v>129</v>
      </c>
      <c r="B252" s="20">
        <f>C252/690</f>
        <v>0</v>
      </c>
      <c r="C252" s="8"/>
      <c r="D252" s="8"/>
    </row>
    <row r="253" spans="1:6" x14ac:dyDescent="0.3">
      <c r="A253" s="12" t="s">
        <v>107</v>
      </c>
      <c r="B253" s="22">
        <f>B252</f>
        <v>0</v>
      </c>
      <c r="C253" s="8"/>
      <c r="D253" s="8"/>
    </row>
    <row r="254" spans="1:6" x14ac:dyDescent="0.3">
      <c r="A254" s="12" t="s">
        <v>130</v>
      </c>
      <c r="B254" s="20">
        <f>B241-B245-B251-B253</f>
        <v>-1.1368683772161603E-13</v>
      </c>
      <c r="C254" s="8" t="s">
        <v>126</v>
      </c>
      <c r="D254" s="8"/>
    </row>
    <row r="256" spans="1:6" x14ac:dyDescent="0.3">
      <c r="A256" s="12" t="s">
        <v>131</v>
      </c>
      <c r="B256" s="23" t="s">
        <v>10</v>
      </c>
    </row>
    <row r="257" spans="1:2" x14ac:dyDescent="0.3">
      <c r="A257" s="12" t="s">
        <v>132</v>
      </c>
      <c r="B257" s="7"/>
    </row>
    <row r="258" spans="1:2" x14ac:dyDescent="0.3">
      <c r="A258" s="19" t="s">
        <v>133</v>
      </c>
      <c r="B258" s="7"/>
    </row>
    <row r="259" spans="1:2" x14ac:dyDescent="0.3">
      <c r="A259" s="12" t="s">
        <v>134</v>
      </c>
      <c r="B259" s="17">
        <f>B257-B258</f>
        <v>0</v>
      </c>
    </row>
    <row r="260" spans="1:2" x14ac:dyDescent="0.3">
      <c r="A260" s="12" t="s">
        <v>135</v>
      </c>
      <c r="B260" s="17">
        <f>B261+B262+B263+B264+B265+B266+B267+B268</f>
        <v>0</v>
      </c>
    </row>
    <row r="261" spans="1:2" x14ac:dyDescent="0.3">
      <c r="A261" s="19" t="s">
        <v>136</v>
      </c>
      <c r="B261" s="7"/>
    </row>
    <row r="262" spans="1:2" x14ac:dyDescent="0.3">
      <c r="A262" s="19" t="s">
        <v>137</v>
      </c>
      <c r="B262" s="7"/>
    </row>
    <row r="263" spans="1:2" x14ac:dyDescent="0.3">
      <c r="A263" s="19" t="s">
        <v>138</v>
      </c>
      <c r="B263" s="7"/>
    </row>
    <row r="264" spans="1:2" x14ac:dyDescent="0.3">
      <c r="A264" s="19" t="s">
        <v>139</v>
      </c>
      <c r="B264" s="7"/>
    </row>
    <row r="265" spans="1:2" x14ac:dyDescent="0.3">
      <c r="A265" s="19" t="s">
        <v>140</v>
      </c>
      <c r="B265" s="7"/>
    </row>
    <row r="266" spans="1:2" x14ac:dyDescent="0.3">
      <c r="A266" s="19" t="s">
        <v>141</v>
      </c>
      <c r="B266" s="7"/>
    </row>
    <row r="267" spans="1:2" x14ac:dyDescent="0.3">
      <c r="A267" s="19" t="s">
        <v>142</v>
      </c>
      <c r="B267" s="7"/>
    </row>
    <row r="268" spans="1:2" x14ac:dyDescent="0.3">
      <c r="A268" s="19" t="s">
        <v>143</v>
      </c>
      <c r="B268" s="7"/>
    </row>
    <row r="269" spans="1:2" x14ac:dyDescent="0.3">
      <c r="A269" s="12" t="s">
        <v>144</v>
      </c>
      <c r="B269" s="17">
        <f>B270+B271+B272</f>
        <v>0</v>
      </c>
    </row>
    <row r="270" spans="1:2" x14ac:dyDescent="0.3">
      <c r="A270" s="19" t="s">
        <v>145</v>
      </c>
      <c r="B270" s="7"/>
    </row>
    <row r="271" spans="1:2" x14ac:dyDescent="0.3">
      <c r="A271" s="19" t="s">
        <v>146</v>
      </c>
      <c r="B271" s="7"/>
    </row>
    <row r="272" spans="1:2" x14ac:dyDescent="0.3">
      <c r="A272" s="19" t="s">
        <v>147</v>
      </c>
      <c r="B272" s="7"/>
    </row>
    <row r="273" spans="1:5" x14ac:dyDescent="0.3">
      <c r="A273" s="12" t="s">
        <v>148</v>
      </c>
      <c r="B273" s="17">
        <f>B259-B260-B269</f>
        <v>0</v>
      </c>
    </row>
    <row r="279" spans="1:5" x14ac:dyDescent="0.3">
      <c r="A279" s="24"/>
    </row>
    <row r="280" spans="1:5" x14ac:dyDescent="0.3">
      <c r="A280" s="24"/>
    </row>
    <row r="281" spans="1:5" x14ac:dyDescent="0.3">
      <c r="A281" s="24"/>
    </row>
    <row r="282" spans="1:5" x14ac:dyDescent="0.3">
      <c r="A282" s="24"/>
    </row>
    <row r="283" spans="1:5" x14ac:dyDescent="0.3">
      <c r="A283" s="24"/>
    </row>
    <row r="284" spans="1:5" x14ac:dyDescent="0.3">
      <c r="A284" s="24"/>
    </row>
    <row r="285" spans="1:5" x14ac:dyDescent="0.3">
      <c r="A285" s="24"/>
    </row>
    <row r="286" spans="1:5" x14ac:dyDescent="0.3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434A-FBE3-479A-B476-8608217F1E30}">
  <dimension ref="A1:Y286"/>
  <sheetViews>
    <sheetView zoomScale="80" zoomScaleNormal="80" workbookViewId="0">
      <pane ySplit="1" topLeftCell="A218" activePane="bottomLeft" state="frozen"/>
      <selection pane="bottomLeft" activeCell="G239" sqref="G239"/>
    </sheetView>
  </sheetViews>
  <sheetFormatPr baseColWidth="10" defaultRowHeight="14.4" x14ac:dyDescent="0.3"/>
  <cols>
    <col min="1" max="1" width="54.5546875" customWidth="1"/>
    <col min="3" max="3" width="20" customWidth="1"/>
    <col min="4" max="4" width="11.109375" customWidth="1"/>
    <col min="5" max="6" width="8.33203125" customWidth="1"/>
    <col min="7" max="7" width="12.33203125" customWidth="1"/>
    <col min="8" max="8" width="15" customWidth="1"/>
    <col min="9" max="9" width="12.6640625" customWidth="1"/>
    <col min="10" max="10" width="9.33203125" customWidth="1"/>
    <col min="11" max="11" width="9.109375" customWidth="1"/>
    <col min="12" max="12" width="11.33203125" customWidth="1"/>
    <col min="13" max="13" width="11.109375" customWidth="1"/>
    <col min="14" max="14" width="8.33203125" customWidth="1"/>
    <col min="15" max="15" width="9.6640625" customWidth="1"/>
    <col min="16" max="16" width="18.5546875" customWidth="1"/>
    <col min="18" max="18" width="13" customWidth="1"/>
    <col min="19" max="19" width="15.6640625" customWidth="1"/>
    <col min="21" max="21" width="17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3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3">
      <c r="A3" s="5" t="s">
        <v>270</v>
      </c>
      <c r="B3" s="6">
        <v>88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30</v>
      </c>
      <c r="M3" s="7"/>
      <c r="N3" s="7">
        <f>B3+C3-D3-E3-F3</f>
        <v>88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3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3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3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3">
      <c r="A7" s="5" t="s">
        <v>260</v>
      </c>
      <c r="B7" s="6">
        <v>2</v>
      </c>
      <c r="C7" s="7"/>
      <c r="D7" s="7"/>
      <c r="E7" s="8">
        <v>1</v>
      </c>
      <c r="F7" s="8"/>
      <c r="G7" s="9">
        <v>5000</v>
      </c>
      <c r="H7" s="26"/>
      <c r="I7" s="7"/>
      <c r="J7" s="7"/>
      <c r="K7" s="7"/>
      <c r="L7" s="7">
        <v>500</v>
      </c>
      <c r="M7" s="7"/>
      <c r="N7" s="7">
        <f t="shared" si="2"/>
        <v>1</v>
      </c>
      <c r="O7" s="7">
        <f t="shared" si="1"/>
        <v>500</v>
      </c>
      <c r="P7" s="7"/>
      <c r="R7" s="4"/>
      <c r="T7" s="4"/>
      <c r="U7" s="4"/>
      <c r="V7" s="4"/>
      <c r="W7" s="4"/>
      <c r="X7" s="4"/>
      <c r="Y7" s="4"/>
    </row>
    <row r="8" spans="1:25" x14ac:dyDescent="0.3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3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3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3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3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3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3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3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5" t="s">
        <v>263</v>
      </c>
      <c r="B31" s="6">
        <v>0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0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5" t="s">
        <v>294</v>
      </c>
      <c r="B33" s="6">
        <v>9</v>
      </c>
      <c r="C33" s="7"/>
      <c r="D33" s="7"/>
      <c r="E33" s="8"/>
      <c r="F33" s="8"/>
      <c r="G33" s="9">
        <v>1000</v>
      </c>
      <c r="H33" s="26"/>
      <c r="I33" s="7"/>
      <c r="J33" s="7">
        <v>25</v>
      </c>
      <c r="K33" s="7"/>
      <c r="L33" s="7">
        <v>45</v>
      </c>
      <c r="M33" s="7"/>
      <c r="N33" s="7">
        <f t="shared" si="2"/>
        <v>9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3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3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3">
      <c r="A36" s="5" t="s">
        <v>287</v>
      </c>
      <c r="B36" s="6">
        <v>10</v>
      </c>
      <c r="C36" s="7"/>
      <c r="D36" s="7"/>
      <c r="E36" s="8"/>
      <c r="F36" s="8"/>
      <c r="G36" s="9">
        <v>200</v>
      </c>
      <c r="H36" s="26">
        <f t="shared" si="0"/>
        <v>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3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3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3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3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3">
      <c r="A41" s="5" t="s">
        <v>235</v>
      </c>
      <c r="B41" s="6">
        <v>4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4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3">
      <c r="A42" s="5" t="s">
        <v>38</v>
      </c>
      <c r="B42" s="6">
        <v>5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5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3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3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3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3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3">
      <c r="A47" s="5" t="s">
        <v>43</v>
      </c>
      <c r="B47" s="6">
        <v>0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1100</v>
      </c>
      <c r="M47" s="7"/>
      <c r="N47" s="7">
        <f t="shared" si="2"/>
        <v>0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3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3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3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3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3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3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3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3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3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3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3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3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3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3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3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3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3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3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3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3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3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3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3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3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3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3">
      <c r="A73" s="5" t="s">
        <v>211</v>
      </c>
      <c r="B73" s="6">
        <v>1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1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3">
      <c r="A74" s="5" t="s">
        <v>54</v>
      </c>
      <c r="B74" s="6">
        <v>1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3">
      <c r="A75" s="5" t="s">
        <v>55</v>
      </c>
      <c r="B75" s="6">
        <v>2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2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3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3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3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3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3">
      <c r="A80" s="5" t="s">
        <v>180</v>
      </c>
      <c r="B80" s="6">
        <v>0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2100</v>
      </c>
      <c r="M80" s="7"/>
      <c r="N80" s="7">
        <f t="shared" si="2"/>
        <v>0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3">
      <c r="A81" s="5" t="s">
        <v>226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2200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3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3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3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3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3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3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3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3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3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3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3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3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3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3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3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3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3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3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3">
      <c r="A100" s="5" t="s">
        <v>212</v>
      </c>
      <c r="B100" s="6">
        <v>9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9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3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3">
      <c r="A102" s="5" t="s">
        <v>191</v>
      </c>
      <c r="B102" s="6">
        <v>1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1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3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3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3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3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3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3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3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3">
      <c r="A110" s="5" t="s">
        <v>68</v>
      </c>
      <c r="B110" s="6">
        <v>1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1</v>
      </c>
      <c r="O110" s="7">
        <f t="shared" si="1"/>
        <v>0</v>
      </c>
      <c r="P110" s="7" t="s">
        <v>321</v>
      </c>
    </row>
    <row r="111" spans="1:21" x14ac:dyDescent="0.3">
      <c r="A111" s="5" t="s">
        <v>311</v>
      </c>
      <c r="B111" s="6">
        <v>2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2</v>
      </c>
      <c r="O111" s="7">
        <f t="shared" ref="O111:O183" si="5">E111*L111+F111*M111</f>
        <v>0</v>
      </c>
      <c r="P111" s="7"/>
    </row>
    <row r="112" spans="1:21" x14ac:dyDescent="0.3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3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3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3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3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3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3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3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3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3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3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3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3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3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3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3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3">
      <c r="A128" s="5" t="s">
        <v>76</v>
      </c>
      <c r="B128" s="6">
        <v>0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190</v>
      </c>
      <c r="M128" s="7">
        <v>200</v>
      </c>
      <c r="N128" s="7">
        <f t="shared" si="4"/>
        <v>0</v>
      </c>
      <c r="O128" s="7">
        <f t="shared" si="5"/>
        <v>0</v>
      </c>
      <c r="P128" s="7"/>
    </row>
    <row r="129" spans="1:16" x14ac:dyDescent="0.3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3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3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3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3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3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3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3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3">
      <c r="A137" s="5" t="s">
        <v>162</v>
      </c>
      <c r="B137" s="6">
        <v>5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5</v>
      </c>
      <c r="O137" s="7">
        <f t="shared" si="5"/>
        <v>0</v>
      </c>
      <c r="P137" s="7"/>
    </row>
    <row r="138" spans="1:16" x14ac:dyDescent="0.3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3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3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3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3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3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3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3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3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3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3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3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3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3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3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3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3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3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3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3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3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3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3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3">
      <c r="A161" s="5" t="s">
        <v>193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3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3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260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3">
      <c r="A164" s="5" t="s">
        <v>292</v>
      </c>
      <c r="B164" s="6">
        <v>22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/>
      <c r="K164" s="7"/>
      <c r="L164" s="7">
        <v>260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3">
      <c r="A165" s="5" t="s">
        <v>297</v>
      </c>
      <c r="B165" s="6">
        <v>91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3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3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3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3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3">
      <c r="A170" s="5" t="s">
        <v>234</v>
      </c>
      <c r="B170" s="6">
        <v>1</v>
      </c>
      <c r="C170" s="7"/>
      <c r="D170" s="7"/>
      <c r="E170" s="8">
        <v>1</v>
      </c>
      <c r="F170" s="8"/>
      <c r="G170" s="9">
        <v>4000</v>
      </c>
      <c r="H170" s="26">
        <f t="shared" si="6"/>
        <v>4000</v>
      </c>
      <c r="I170" s="7">
        <v>700</v>
      </c>
      <c r="J170" s="7">
        <v>385</v>
      </c>
      <c r="K170" s="7"/>
      <c r="L170" s="7">
        <v>400</v>
      </c>
      <c r="M170" s="7"/>
      <c r="N170" s="7">
        <f t="shared" si="7"/>
        <v>0</v>
      </c>
      <c r="O170" s="7">
        <f t="shared" si="5"/>
        <v>400</v>
      </c>
      <c r="P170" s="7"/>
    </row>
    <row r="171" spans="1:16" x14ac:dyDescent="0.3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3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3">
      <c r="A173" s="5" t="s">
        <v>93</v>
      </c>
      <c r="B173" s="6">
        <v>0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0</v>
      </c>
      <c r="O173" s="7">
        <f t="shared" si="5"/>
        <v>0</v>
      </c>
      <c r="P173" s="7"/>
    </row>
    <row r="174" spans="1:16" x14ac:dyDescent="0.3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3">
      <c r="A175" s="5" t="s">
        <v>222</v>
      </c>
      <c r="B175" s="6">
        <v>0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0</v>
      </c>
      <c r="O175" s="7">
        <f t="shared" si="5"/>
        <v>0</v>
      </c>
      <c r="P175" s="7"/>
    </row>
    <row r="176" spans="1:16" x14ac:dyDescent="0.3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3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3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3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3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3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3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3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3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3">
      <c r="A185" s="5" t="s">
        <v>98</v>
      </c>
      <c r="B185" s="6">
        <v>0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0</v>
      </c>
      <c r="O185" s="7">
        <f t="shared" si="8"/>
        <v>0</v>
      </c>
      <c r="P185" s="7"/>
    </row>
    <row r="186" spans="1:16" x14ac:dyDescent="0.3">
      <c r="A186" s="5" t="s">
        <v>189</v>
      </c>
      <c r="B186" s="6">
        <v>0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260</v>
      </c>
      <c r="M186" s="7"/>
      <c r="N186" s="7">
        <f t="shared" si="7"/>
        <v>0</v>
      </c>
      <c r="O186" s="7">
        <f t="shared" si="8"/>
        <v>0</v>
      </c>
      <c r="P186" s="7"/>
    </row>
    <row r="187" spans="1:16" x14ac:dyDescent="0.3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3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3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3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3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3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3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3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3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3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3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3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3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3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3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3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3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3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3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3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3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3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3">
      <c r="A209" s="5" t="s">
        <v>264</v>
      </c>
      <c r="B209" s="6">
        <v>12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12</v>
      </c>
      <c r="O209" s="7">
        <f t="shared" si="8"/>
        <v>0</v>
      </c>
      <c r="P209" s="7"/>
    </row>
    <row r="210" spans="1:16" x14ac:dyDescent="0.3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3">
      <c r="A211" s="5" t="s">
        <v>104</v>
      </c>
      <c r="B211" s="6">
        <v>0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70</v>
      </c>
      <c r="M211" s="7"/>
      <c r="N211" s="7">
        <f t="shared" si="7"/>
        <v>0</v>
      </c>
      <c r="O211" s="7">
        <f t="shared" si="8"/>
        <v>0</v>
      </c>
      <c r="P211" s="7"/>
    </row>
    <row r="212" spans="1:16" x14ac:dyDescent="0.3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3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3">
      <c r="A214" s="5" t="s">
        <v>266</v>
      </c>
      <c r="B214" s="6">
        <v>3</v>
      </c>
      <c r="C214" s="10"/>
      <c r="D214" s="7"/>
      <c r="E214" s="8"/>
      <c r="F214" s="8"/>
      <c r="G214" s="9">
        <v>1000</v>
      </c>
      <c r="H214" s="26"/>
      <c r="I214" s="7"/>
      <c r="J214" s="7"/>
      <c r="K214" s="7"/>
      <c r="L214" s="7">
        <v>75</v>
      </c>
      <c r="M214" s="7"/>
      <c r="N214" s="7">
        <f t="shared" si="7"/>
        <v>3</v>
      </c>
      <c r="O214" s="7">
        <f t="shared" si="8"/>
        <v>0</v>
      </c>
      <c r="P214" s="7"/>
    </row>
    <row r="215" spans="1:16" x14ac:dyDescent="0.3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3">
      <c r="A216" s="5" t="s">
        <v>265</v>
      </c>
      <c r="B216" s="6">
        <v>15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15</v>
      </c>
      <c r="O216" s="7">
        <f t="shared" si="8"/>
        <v>0</v>
      </c>
      <c r="P216" s="7"/>
    </row>
    <row r="217" spans="1:16" x14ac:dyDescent="0.3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3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3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3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3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3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3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3">
      <c r="A224" s="5" t="s">
        <v>206</v>
      </c>
      <c r="B224" s="6">
        <v>44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44</v>
      </c>
      <c r="O224" s="7"/>
      <c r="P224" s="7"/>
    </row>
    <row r="225" spans="1:16" x14ac:dyDescent="0.3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3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3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3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3">
      <c r="A229" s="12" t="s">
        <v>107</v>
      </c>
      <c r="B229" s="13">
        <v>921</v>
      </c>
      <c r="C229" s="14"/>
      <c r="D229" s="14"/>
      <c r="E229" s="15"/>
      <c r="F229" s="15"/>
      <c r="G229" s="16"/>
      <c r="H229" s="27">
        <f>SUM(H2:H219)</f>
        <v>4000</v>
      </c>
      <c r="I229" s="17">
        <f>SUM(I2:I218)</f>
        <v>700</v>
      </c>
      <c r="J229" s="17"/>
      <c r="K229" s="17">
        <f>SUM(K2:K218)</f>
        <v>0</v>
      </c>
      <c r="L229" s="17"/>
      <c r="M229" s="17"/>
      <c r="N229" s="30">
        <f>SUM(N2:N228)</f>
        <v>919</v>
      </c>
      <c r="O229" s="17">
        <f>SUM(O2:O228)</f>
        <v>900</v>
      </c>
      <c r="P229" s="17">
        <f>SUM(P2:P228)</f>
        <v>-6</v>
      </c>
    </row>
    <row r="230" spans="1:16" x14ac:dyDescent="0.3">
      <c r="A230" s="18" t="s">
        <v>108</v>
      </c>
      <c r="B230" s="18">
        <f>O229</f>
        <v>900</v>
      </c>
      <c r="C230" s="2" t="s">
        <v>109</v>
      </c>
      <c r="D230" s="2" t="s">
        <v>110</v>
      </c>
      <c r="N230" s="31"/>
    </row>
    <row r="231" spans="1:16" x14ac:dyDescent="0.3">
      <c r="A231" s="19" t="s">
        <v>111</v>
      </c>
      <c r="B231" s="20">
        <f>(C231+D231)/690</f>
        <v>33.768115942028984</v>
      </c>
      <c r="C231" s="8">
        <v>23300</v>
      </c>
      <c r="D231" s="8"/>
    </row>
    <row r="232" spans="1:16" x14ac:dyDescent="0.3">
      <c r="A232" s="19" t="s">
        <v>14</v>
      </c>
      <c r="B232" s="21">
        <v>150</v>
      </c>
      <c r="C232" s="8" t="s">
        <v>126</v>
      </c>
      <c r="D232" s="8"/>
    </row>
    <row r="233" spans="1:16" x14ac:dyDescent="0.3">
      <c r="A233" s="19" t="s">
        <v>112</v>
      </c>
      <c r="B233" s="20">
        <f>D233/690</f>
        <v>0</v>
      </c>
      <c r="C233" s="8"/>
      <c r="D233" s="8"/>
    </row>
    <row r="234" spans="1:16" x14ac:dyDescent="0.3">
      <c r="A234" s="19" t="s">
        <v>113</v>
      </c>
      <c r="B234" s="20"/>
      <c r="C234" s="8"/>
      <c r="D234" s="8"/>
    </row>
    <row r="235" spans="1:16" x14ac:dyDescent="0.3">
      <c r="A235" s="12" t="s">
        <v>114</v>
      </c>
      <c r="B235" s="22">
        <f>B230+B231+B233+B234+B232</f>
        <v>1083.768115942029</v>
      </c>
      <c r="C235" s="8"/>
      <c r="D235" s="8"/>
    </row>
    <row r="236" spans="1:16" x14ac:dyDescent="0.3">
      <c r="A236" s="19" t="s">
        <v>6</v>
      </c>
      <c r="B236" s="20">
        <f>D236/690</f>
        <v>0</v>
      </c>
      <c r="C236" s="8"/>
      <c r="D236" s="8"/>
    </row>
    <row r="237" spans="1:16" x14ac:dyDescent="0.3">
      <c r="A237" s="19" t="s">
        <v>115</v>
      </c>
      <c r="B237" s="20">
        <f>C237/690</f>
        <v>1.0144927536231885</v>
      </c>
      <c r="C237" s="8">
        <v>700</v>
      </c>
      <c r="D237" s="8"/>
    </row>
    <row r="238" spans="1:16" x14ac:dyDescent="0.3">
      <c r="A238" s="19" t="s">
        <v>64</v>
      </c>
      <c r="B238" s="20">
        <f>C238/690</f>
        <v>3.6231884057971016</v>
      </c>
      <c r="C238" s="8">
        <v>2500</v>
      </c>
      <c r="D238" s="8"/>
    </row>
    <row r="239" spans="1:16" x14ac:dyDescent="0.3">
      <c r="A239" s="19" t="s">
        <v>116</v>
      </c>
      <c r="B239" s="20"/>
      <c r="C239" s="8"/>
      <c r="D239" s="8"/>
    </row>
    <row r="240" spans="1:16" x14ac:dyDescent="0.3">
      <c r="A240" s="12" t="s">
        <v>117</v>
      </c>
      <c r="B240" s="20">
        <f>B236+B237+B238+B239</f>
        <v>4.63768115942029</v>
      </c>
      <c r="C240" s="8"/>
      <c r="D240" s="8"/>
    </row>
    <row r="241" spans="1:6" x14ac:dyDescent="0.3">
      <c r="A241" s="12" t="s">
        <v>118</v>
      </c>
      <c r="B241" s="22">
        <f>B235-B240</f>
        <v>1079.1304347826087</v>
      </c>
      <c r="C241" s="8"/>
      <c r="D241" s="8"/>
    </row>
    <row r="242" spans="1:6" x14ac:dyDescent="0.3">
      <c r="A242" s="19" t="s">
        <v>119</v>
      </c>
      <c r="B242" s="20">
        <f>C242/690</f>
        <v>0</v>
      </c>
      <c r="C242" s="8"/>
      <c r="D242" s="8"/>
    </row>
    <row r="243" spans="1:6" x14ac:dyDescent="0.3">
      <c r="A243" s="19" t="s">
        <v>120</v>
      </c>
      <c r="B243" s="20"/>
      <c r="C243" s="8"/>
      <c r="D243" s="8"/>
    </row>
    <row r="244" spans="1:6" x14ac:dyDescent="0.3">
      <c r="A244" s="19" t="s">
        <v>121</v>
      </c>
      <c r="B244" s="20">
        <f>C244/2</f>
        <v>0</v>
      </c>
      <c r="C244" s="8"/>
      <c r="D244" s="8"/>
    </row>
    <row r="245" spans="1:6" x14ac:dyDescent="0.3">
      <c r="A245" s="12" t="s">
        <v>122</v>
      </c>
      <c r="B245" s="22">
        <f>B242+B243+B244</f>
        <v>0</v>
      </c>
      <c r="C245" s="8"/>
      <c r="D245" s="8"/>
    </row>
    <row r="246" spans="1:6" x14ac:dyDescent="0.3">
      <c r="A246" s="19" t="s">
        <v>123</v>
      </c>
      <c r="B246" s="20">
        <v>1050</v>
      </c>
      <c r="C246" s="8"/>
      <c r="D246" s="8"/>
    </row>
    <row r="247" spans="1:6" x14ac:dyDescent="0.3">
      <c r="A247" s="19" t="s">
        <v>36</v>
      </c>
      <c r="B247" s="20"/>
      <c r="C247" s="8"/>
      <c r="D247" s="8"/>
    </row>
    <row r="248" spans="1:6" x14ac:dyDescent="0.3">
      <c r="A248" s="19" t="s">
        <v>124</v>
      </c>
      <c r="B248" s="20">
        <f>C248/2.3</f>
        <v>0</v>
      </c>
      <c r="C248" s="8"/>
      <c r="D248" s="8"/>
    </row>
    <row r="249" spans="1:6" x14ac:dyDescent="0.3">
      <c r="A249" s="19" t="s">
        <v>125</v>
      </c>
      <c r="B249" s="20">
        <f>C249/690</f>
        <v>29.130434782608695</v>
      </c>
      <c r="C249" s="8">
        <v>20100</v>
      </c>
      <c r="D249" s="8"/>
      <c r="F249" t="s">
        <v>126</v>
      </c>
    </row>
    <row r="250" spans="1:6" x14ac:dyDescent="0.3">
      <c r="A250" s="19" t="s">
        <v>127</v>
      </c>
      <c r="B250" s="20">
        <f>D250/690</f>
        <v>0</v>
      </c>
      <c r="C250" s="8"/>
      <c r="D250" s="8"/>
    </row>
    <row r="251" spans="1:6" x14ac:dyDescent="0.3">
      <c r="A251" s="12" t="s">
        <v>128</v>
      </c>
      <c r="B251" s="22">
        <f>B246+B247+B248+B249+B250</f>
        <v>1079.1304347826087</v>
      </c>
      <c r="C251" s="8"/>
      <c r="D251" s="8"/>
    </row>
    <row r="252" spans="1:6" x14ac:dyDescent="0.3">
      <c r="A252" s="19" t="s">
        <v>129</v>
      </c>
      <c r="B252" s="20">
        <f>C252/690</f>
        <v>0</v>
      </c>
      <c r="C252" s="8"/>
      <c r="D252" s="8"/>
    </row>
    <row r="253" spans="1:6" x14ac:dyDescent="0.3">
      <c r="A253" s="12" t="s">
        <v>107</v>
      </c>
      <c r="B253" s="22">
        <f>B252</f>
        <v>0</v>
      </c>
      <c r="C253" s="8"/>
      <c r="D253" s="8"/>
    </row>
    <row r="254" spans="1:6" x14ac:dyDescent="0.3">
      <c r="A254" s="12" t="s">
        <v>130</v>
      </c>
      <c r="B254" s="20">
        <f>B241-B245-B251-B253</f>
        <v>0</v>
      </c>
      <c r="C254" s="8" t="s">
        <v>126</v>
      </c>
      <c r="D254" s="8"/>
    </row>
    <row r="256" spans="1:6" x14ac:dyDescent="0.3">
      <c r="A256" s="12" t="s">
        <v>131</v>
      </c>
      <c r="B256" s="23" t="s">
        <v>10</v>
      </c>
    </row>
    <row r="257" spans="1:2" x14ac:dyDescent="0.3">
      <c r="A257" s="12" t="s">
        <v>132</v>
      </c>
      <c r="B257" s="7"/>
    </row>
    <row r="258" spans="1:2" x14ac:dyDescent="0.3">
      <c r="A258" s="19" t="s">
        <v>133</v>
      </c>
      <c r="B258" s="7"/>
    </row>
    <row r="259" spans="1:2" x14ac:dyDescent="0.3">
      <c r="A259" s="12" t="s">
        <v>134</v>
      </c>
      <c r="B259" s="17">
        <f>B257-B258</f>
        <v>0</v>
      </c>
    </row>
    <row r="260" spans="1:2" x14ac:dyDescent="0.3">
      <c r="A260" s="12" t="s">
        <v>135</v>
      </c>
      <c r="B260" s="17">
        <f>B261+B262+B263+B264+B265+B266+B267+B268</f>
        <v>0</v>
      </c>
    </row>
    <row r="261" spans="1:2" x14ac:dyDescent="0.3">
      <c r="A261" s="19" t="s">
        <v>136</v>
      </c>
      <c r="B261" s="7"/>
    </row>
    <row r="262" spans="1:2" x14ac:dyDescent="0.3">
      <c r="A262" s="19" t="s">
        <v>137</v>
      </c>
      <c r="B262" s="7"/>
    </row>
    <row r="263" spans="1:2" x14ac:dyDescent="0.3">
      <c r="A263" s="19" t="s">
        <v>138</v>
      </c>
      <c r="B263" s="7"/>
    </row>
    <row r="264" spans="1:2" x14ac:dyDescent="0.3">
      <c r="A264" s="19" t="s">
        <v>139</v>
      </c>
      <c r="B264" s="7"/>
    </row>
    <row r="265" spans="1:2" x14ac:dyDescent="0.3">
      <c r="A265" s="19" t="s">
        <v>140</v>
      </c>
      <c r="B265" s="7"/>
    </row>
    <row r="266" spans="1:2" x14ac:dyDescent="0.3">
      <c r="A266" s="19" t="s">
        <v>141</v>
      </c>
      <c r="B266" s="7"/>
    </row>
    <row r="267" spans="1:2" x14ac:dyDescent="0.3">
      <c r="A267" s="19" t="s">
        <v>142</v>
      </c>
      <c r="B267" s="7"/>
    </row>
    <row r="268" spans="1:2" x14ac:dyDescent="0.3">
      <c r="A268" s="19" t="s">
        <v>143</v>
      </c>
      <c r="B268" s="7"/>
    </row>
    <row r="269" spans="1:2" x14ac:dyDescent="0.3">
      <c r="A269" s="12" t="s">
        <v>144</v>
      </c>
      <c r="B269" s="17">
        <f>B270+B271+B272</f>
        <v>0</v>
      </c>
    </row>
    <row r="270" spans="1:2" x14ac:dyDescent="0.3">
      <c r="A270" s="19" t="s">
        <v>145</v>
      </c>
      <c r="B270" s="7"/>
    </row>
    <row r="271" spans="1:2" x14ac:dyDescent="0.3">
      <c r="A271" s="19" t="s">
        <v>146</v>
      </c>
      <c r="B271" s="7"/>
    </row>
    <row r="272" spans="1:2" x14ac:dyDescent="0.3">
      <c r="A272" s="19" t="s">
        <v>147</v>
      </c>
      <c r="B272" s="7"/>
    </row>
    <row r="273" spans="1:5" x14ac:dyDescent="0.3">
      <c r="A273" s="12" t="s">
        <v>148</v>
      </c>
      <c r="B273" s="17">
        <f>B259-B260-B269</f>
        <v>0</v>
      </c>
    </row>
    <row r="279" spans="1:5" x14ac:dyDescent="0.3">
      <c r="A279" s="24"/>
    </row>
    <row r="280" spans="1:5" x14ac:dyDescent="0.3">
      <c r="A280" s="24"/>
    </row>
    <row r="281" spans="1:5" x14ac:dyDescent="0.3">
      <c r="A281" s="24"/>
    </row>
    <row r="282" spans="1:5" x14ac:dyDescent="0.3">
      <c r="A282" s="24"/>
    </row>
    <row r="283" spans="1:5" x14ac:dyDescent="0.3">
      <c r="A283" s="24"/>
    </row>
    <row r="284" spans="1:5" x14ac:dyDescent="0.3">
      <c r="A284" s="24"/>
    </row>
    <row r="285" spans="1:5" x14ac:dyDescent="0.3">
      <c r="A285" s="24"/>
    </row>
    <row r="286" spans="1:5" x14ac:dyDescent="0.3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790A-2FB3-4F4D-B42F-2A819894A40E}">
  <dimension ref="A1:Y286"/>
  <sheetViews>
    <sheetView zoomScale="80" zoomScaleNormal="80" workbookViewId="0">
      <pane ySplit="1" topLeftCell="A217" activePane="bottomLeft" state="frozen"/>
      <selection pane="bottomLeft" activeCell="F239" sqref="F239"/>
    </sheetView>
  </sheetViews>
  <sheetFormatPr baseColWidth="10" defaultRowHeight="14.4" x14ac:dyDescent="0.3"/>
  <cols>
    <col min="1" max="1" width="54.5546875" customWidth="1"/>
    <col min="3" max="3" width="20" customWidth="1"/>
    <col min="4" max="4" width="11.109375" customWidth="1"/>
    <col min="5" max="6" width="8.33203125" customWidth="1"/>
    <col min="7" max="7" width="12.33203125" customWidth="1"/>
    <col min="8" max="8" width="15" customWidth="1"/>
    <col min="9" max="9" width="12.6640625" customWidth="1"/>
    <col min="10" max="10" width="9.33203125" customWidth="1"/>
    <col min="11" max="11" width="9.109375" customWidth="1"/>
    <col min="12" max="12" width="11.33203125" customWidth="1"/>
    <col min="13" max="13" width="11.109375" customWidth="1"/>
    <col min="14" max="14" width="8.33203125" customWidth="1"/>
    <col min="15" max="15" width="9.6640625" customWidth="1"/>
    <col min="16" max="16" width="18.5546875" customWidth="1"/>
    <col min="18" max="18" width="13" customWidth="1"/>
    <col min="19" max="19" width="15.6640625" customWidth="1"/>
    <col min="21" max="21" width="17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3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3">
      <c r="A3" s="5" t="s">
        <v>270</v>
      </c>
      <c r="B3" s="6">
        <v>88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30</v>
      </c>
      <c r="M3" s="7"/>
      <c r="N3" s="7">
        <f>B3+C3-D3-E3-F3</f>
        <v>88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3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3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3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3">
      <c r="A7" s="5" t="s">
        <v>260</v>
      </c>
      <c r="B7" s="6">
        <v>1</v>
      </c>
      <c r="C7" s="7"/>
      <c r="D7" s="7"/>
      <c r="E7" s="8"/>
      <c r="F7" s="8"/>
      <c r="G7" s="9">
        <v>5000</v>
      </c>
      <c r="H7" s="26"/>
      <c r="I7" s="7"/>
      <c r="J7" s="7"/>
      <c r="K7" s="7"/>
      <c r="L7" s="7">
        <v>500</v>
      </c>
      <c r="M7" s="7"/>
      <c r="N7" s="7">
        <f t="shared" si="2"/>
        <v>1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3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3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3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3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3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3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3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3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5" t="s">
        <v>27</v>
      </c>
      <c r="B20" s="6">
        <v>3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85</v>
      </c>
      <c r="M20" s="7"/>
      <c r="N20" s="7">
        <f t="shared" si="2"/>
        <v>3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190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5" t="s">
        <v>263</v>
      </c>
      <c r="B31" s="6">
        <v>0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0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5" t="s">
        <v>294</v>
      </c>
      <c r="B33" s="6">
        <v>9</v>
      </c>
      <c r="C33" s="7"/>
      <c r="D33" s="7"/>
      <c r="E33" s="8"/>
      <c r="F33" s="8"/>
      <c r="G33" s="9">
        <v>1000</v>
      </c>
      <c r="H33" s="26"/>
      <c r="I33" s="7"/>
      <c r="J33" s="7">
        <v>25</v>
      </c>
      <c r="K33" s="7"/>
      <c r="L33" s="7">
        <v>45</v>
      </c>
      <c r="M33" s="7"/>
      <c r="N33" s="7">
        <f t="shared" si="2"/>
        <v>9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3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3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3">
      <c r="A36" s="5" t="s">
        <v>287</v>
      </c>
      <c r="B36" s="6">
        <v>10</v>
      </c>
      <c r="C36" s="7"/>
      <c r="D36" s="7"/>
      <c r="E36" s="8"/>
      <c r="F36" s="8"/>
      <c r="G36" s="9">
        <v>200</v>
      </c>
      <c r="H36" s="26">
        <f t="shared" si="0"/>
        <v>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3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3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3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3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3">
      <c r="A41" s="5" t="s">
        <v>235</v>
      </c>
      <c r="B41" s="6">
        <v>4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4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3">
      <c r="A42" s="5" t="s">
        <v>38</v>
      </c>
      <c r="B42" s="6">
        <v>5</v>
      </c>
      <c r="C42" s="7"/>
      <c r="D42" s="7">
        <v>2</v>
      </c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3</v>
      </c>
      <c r="O42" s="7">
        <f t="shared" si="1"/>
        <v>0</v>
      </c>
      <c r="P42" s="7" t="s">
        <v>318</v>
      </c>
      <c r="R42" s="4"/>
      <c r="S42" s="4"/>
      <c r="T42" s="4"/>
      <c r="U42" s="4"/>
    </row>
    <row r="43" spans="1:25" x14ac:dyDescent="0.3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3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3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3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3">
      <c r="A47" s="5" t="s">
        <v>330</v>
      </c>
      <c r="B47" s="6">
        <v>0</v>
      </c>
      <c r="C47" s="7">
        <v>2</v>
      </c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1200</v>
      </c>
      <c r="M47" s="7"/>
      <c r="N47" s="7">
        <f t="shared" si="2"/>
        <v>2</v>
      </c>
      <c r="O47" s="7">
        <f t="shared" si="1"/>
        <v>0</v>
      </c>
      <c r="P47" s="7" t="s">
        <v>327</v>
      </c>
      <c r="R47" s="4"/>
      <c r="S47" s="4"/>
      <c r="T47" s="4"/>
      <c r="U47" s="4"/>
    </row>
    <row r="48" spans="1:25" x14ac:dyDescent="0.3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3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3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3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3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3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3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3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3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3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3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3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3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3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3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3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3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3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3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3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3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3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3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3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3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3">
      <c r="A73" s="5" t="s">
        <v>211</v>
      </c>
      <c r="B73" s="6">
        <v>1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1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3">
      <c r="A74" s="5" t="s">
        <v>54</v>
      </c>
      <c r="B74" s="6">
        <v>1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3">
      <c r="A75" s="5" t="s">
        <v>55</v>
      </c>
      <c r="B75" s="6">
        <v>2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2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3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3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3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3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3">
      <c r="A80" s="5" t="s">
        <v>326</v>
      </c>
      <c r="B80" s="6">
        <v>0</v>
      </c>
      <c r="C80" s="10">
        <v>2</v>
      </c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900</v>
      </c>
      <c r="M80" s="7"/>
      <c r="N80" s="7">
        <f t="shared" si="2"/>
        <v>2</v>
      </c>
      <c r="O80" s="7">
        <f t="shared" si="1"/>
        <v>0</v>
      </c>
      <c r="P80" s="7" t="s">
        <v>327</v>
      </c>
      <c r="R80" s="4"/>
      <c r="S80" s="4"/>
      <c r="T80" s="4"/>
      <c r="U80" s="4"/>
      <c r="W80" s="4"/>
    </row>
    <row r="81" spans="1:23" x14ac:dyDescent="0.3">
      <c r="A81" s="5" t="s">
        <v>328</v>
      </c>
      <c r="B81" s="6">
        <v>0</v>
      </c>
      <c r="C81" s="10">
        <v>1</v>
      </c>
      <c r="D81" s="7"/>
      <c r="E81" s="8"/>
      <c r="F81" s="8"/>
      <c r="G81" s="9">
        <v>5000</v>
      </c>
      <c r="H81" s="26"/>
      <c r="I81" s="7"/>
      <c r="J81" s="7"/>
      <c r="K81" s="7"/>
      <c r="L81" s="7">
        <v>900</v>
      </c>
      <c r="M81" s="7"/>
      <c r="N81" s="7">
        <f t="shared" si="2"/>
        <v>1</v>
      </c>
      <c r="O81" s="7">
        <f t="shared" si="1"/>
        <v>0</v>
      </c>
      <c r="P81" s="7" t="s">
        <v>327</v>
      </c>
      <c r="R81" s="4"/>
      <c r="S81" s="4"/>
      <c r="T81" s="4"/>
      <c r="U81" s="4"/>
      <c r="W81" s="4"/>
    </row>
    <row r="82" spans="1:23" x14ac:dyDescent="0.3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3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3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3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3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3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3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3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3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3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3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3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3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3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3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3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3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3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3">
      <c r="A100" s="5" t="s">
        <v>212</v>
      </c>
      <c r="B100" s="6">
        <v>9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9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3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3">
      <c r="A102" s="5" t="s">
        <v>191</v>
      </c>
      <c r="B102" s="6">
        <v>1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1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3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3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3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3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3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3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3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3">
      <c r="A110" s="5" t="s">
        <v>68</v>
      </c>
      <c r="B110" s="6">
        <v>1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1</v>
      </c>
      <c r="O110" s="7">
        <f t="shared" si="1"/>
        <v>0</v>
      </c>
      <c r="P110" s="7" t="s">
        <v>321</v>
      </c>
    </row>
    <row r="111" spans="1:21" x14ac:dyDescent="0.3">
      <c r="A111" s="5" t="s">
        <v>311</v>
      </c>
      <c r="B111" s="6">
        <v>2</v>
      </c>
      <c r="C111" s="10"/>
      <c r="D111" s="7">
        <v>1</v>
      </c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1</v>
      </c>
      <c r="O111" s="7">
        <f t="shared" ref="O111:O183" si="5">E111*L111+F111*M111</f>
        <v>0</v>
      </c>
      <c r="P111" s="7" t="s">
        <v>304</v>
      </c>
    </row>
    <row r="112" spans="1:21" x14ac:dyDescent="0.3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3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3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3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3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3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3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3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3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3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3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3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3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3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280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3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3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3">
      <c r="A128" s="5" t="s">
        <v>76</v>
      </c>
      <c r="B128" s="6">
        <v>0</v>
      </c>
      <c r="C128" s="10">
        <v>30</v>
      </c>
      <c r="D128" s="7"/>
      <c r="E128" s="8">
        <v>1</v>
      </c>
      <c r="F128" s="8"/>
      <c r="G128" s="9">
        <v>3000</v>
      </c>
      <c r="H128" s="26"/>
      <c r="I128" s="7"/>
      <c r="J128" s="7">
        <v>170</v>
      </c>
      <c r="K128" s="7"/>
      <c r="L128" s="7">
        <v>260</v>
      </c>
      <c r="M128" s="7">
        <v>200</v>
      </c>
      <c r="N128" s="7">
        <f t="shared" si="4"/>
        <v>29</v>
      </c>
      <c r="O128" s="7">
        <f t="shared" si="5"/>
        <v>260</v>
      </c>
      <c r="P128" s="7" t="s">
        <v>304</v>
      </c>
    </row>
    <row r="129" spans="1:16" x14ac:dyDescent="0.3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3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3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0</v>
      </c>
      <c r="O131" s="7">
        <f t="shared" si="5"/>
        <v>0</v>
      </c>
      <c r="P131" s="7" t="s">
        <v>269</v>
      </c>
    </row>
    <row r="132" spans="1:16" x14ac:dyDescent="0.3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3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3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3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3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3">
      <c r="A137" s="5" t="s">
        <v>162</v>
      </c>
      <c r="B137" s="6">
        <v>5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5</v>
      </c>
      <c r="O137" s="7">
        <f t="shared" si="5"/>
        <v>0</v>
      </c>
      <c r="P137" s="7"/>
    </row>
    <row r="138" spans="1:16" x14ac:dyDescent="0.3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3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3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3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3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3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3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3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3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3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3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3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3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3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3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3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3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3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3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3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3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3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3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3">
      <c r="A161" s="5" t="s">
        <v>193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3">
      <c r="A162" s="5" t="s">
        <v>280</v>
      </c>
      <c r="B162" s="6">
        <v>0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300</v>
      </c>
      <c r="M162" s="7"/>
      <c r="N162" s="7">
        <f t="shared" si="4"/>
        <v>0</v>
      </c>
      <c r="O162" s="7">
        <f t="shared" si="5"/>
        <v>0</v>
      </c>
      <c r="P162" s="7"/>
    </row>
    <row r="163" spans="1:16" x14ac:dyDescent="0.3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260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3">
      <c r="A164" s="5" t="s">
        <v>292</v>
      </c>
      <c r="B164" s="6">
        <v>22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/>
      <c r="K164" s="7"/>
      <c r="L164" s="7">
        <v>260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3">
      <c r="A165" s="5" t="s">
        <v>297</v>
      </c>
      <c r="B165" s="6">
        <v>91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>
        <v>140</v>
      </c>
      <c r="K165" s="7"/>
      <c r="L165" s="7">
        <v>250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3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3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3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3">
      <c r="A169" s="5" t="s">
        <v>210</v>
      </c>
      <c r="B169" s="6">
        <v>0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0</v>
      </c>
      <c r="O169" s="7">
        <f t="shared" si="5"/>
        <v>0</v>
      </c>
      <c r="P169" s="7"/>
    </row>
    <row r="170" spans="1:16" x14ac:dyDescent="0.3">
      <c r="A170" s="5" t="s">
        <v>234</v>
      </c>
      <c r="B170" s="6">
        <v>0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0</v>
      </c>
      <c r="O170" s="7">
        <f t="shared" si="5"/>
        <v>0</v>
      </c>
      <c r="P170" s="7"/>
    </row>
    <row r="171" spans="1:16" x14ac:dyDescent="0.3">
      <c r="A171" s="5" t="s">
        <v>237</v>
      </c>
      <c r="B171" s="6">
        <v>0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0</v>
      </c>
      <c r="O171" s="7">
        <f t="shared" si="5"/>
        <v>0</v>
      </c>
      <c r="P171" s="7"/>
    </row>
    <row r="172" spans="1:16" x14ac:dyDescent="0.3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3">
      <c r="A173" s="5" t="s">
        <v>93</v>
      </c>
      <c r="B173" s="6">
        <v>0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0</v>
      </c>
      <c r="O173" s="7">
        <f t="shared" si="5"/>
        <v>0</v>
      </c>
      <c r="P173" s="7"/>
    </row>
    <row r="174" spans="1:16" x14ac:dyDescent="0.3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3">
      <c r="A175" s="5" t="s">
        <v>222</v>
      </c>
      <c r="B175" s="6">
        <v>0</v>
      </c>
      <c r="C175" s="10">
        <v>3</v>
      </c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3</v>
      </c>
      <c r="O175" s="7">
        <f t="shared" si="5"/>
        <v>0</v>
      </c>
      <c r="P175" s="7" t="s">
        <v>304</v>
      </c>
    </row>
    <row r="176" spans="1:16" x14ac:dyDescent="0.3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3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3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3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3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3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3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3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3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3">
      <c r="A185" s="5" t="s">
        <v>98</v>
      </c>
      <c r="B185" s="6">
        <v>0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310</v>
      </c>
      <c r="M185" s="7"/>
      <c r="N185" s="7">
        <f t="shared" si="7"/>
        <v>0</v>
      </c>
      <c r="O185" s="7">
        <f t="shared" si="8"/>
        <v>0</v>
      </c>
      <c r="P185" s="7"/>
    </row>
    <row r="186" spans="1:16" x14ac:dyDescent="0.3">
      <c r="A186" s="5" t="s">
        <v>189</v>
      </c>
      <c r="B186" s="6">
        <v>0</v>
      </c>
      <c r="C186" s="10">
        <v>9</v>
      </c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295</v>
      </c>
      <c r="M186" s="7"/>
      <c r="N186" s="7">
        <f t="shared" si="7"/>
        <v>9</v>
      </c>
      <c r="O186" s="7">
        <f t="shared" si="8"/>
        <v>0</v>
      </c>
      <c r="P186" s="7" t="s">
        <v>304</v>
      </c>
    </row>
    <row r="187" spans="1:16" x14ac:dyDescent="0.3">
      <c r="A187" s="5" t="s">
        <v>190</v>
      </c>
      <c r="B187" s="6">
        <v>0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300</v>
      </c>
      <c r="M187" s="7"/>
      <c r="N187" s="7">
        <f t="shared" si="7"/>
        <v>0</v>
      </c>
      <c r="O187" s="7">
        <f t="shared" si="8"/>
        <v>0</v>
      </c>
      <c r="P187" s="7"/>
    </row>
    <row r="188" spans="1:16" x14ac:dyDescent="0.3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3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3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3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3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3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3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3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3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3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3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3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3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3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3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3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3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3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3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3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3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3">
      <c r="A209" s="5" t="s">
        <v>264</v>
      </c>
      <c r="B209" s="6">
        <v>12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12</v>
      </c>
      <c r="O209" s="7">
        <f t="shared" si="8"/>
        <v>0</v>
      </c>
      <c r="P209" s="7"/>
    </row>
    <row r="210" spans="1:16" x14ac:dyDescent="0.3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3">
      <c r="A211" s="5" t="s">
        <v>329</v>
      </c>
      <c r="B211" s="6">
        <v>0</v>
      </c>
      <c r="C211" s="10">
        <v>10</v>
      </c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65</v>
      </c>
      <c r="M211" s="7"/>
      <c r="N211" s="7">
        <f t="shared" si="7"/>
        <v>10</v>
      </c>
      <c r="O211" s="7">
        <f t="shared" si="8"/>
        <v>0</v>
      </c>
      <c r="P211" s="7" t="s">
        <v>327</v>
      </c>
    </row>
    <row r="212" spans="1:16" x14ac:dyDescent="0.3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3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3">
      <c r="A214" s="5" t="s">
        <v>266</v>
      </c>
      <c r="B214" s="6">
        <v>3</v>
      </c>
      <c r="C214" s="10"/>
      <c r="D214" s="7"/>
      <c r="E214" s="8">
        <v>1</v>
      </c>
      <c r="F214" s="8"/>
      <c r="G214" s="9">
        <v>1000</v>
      </c>
      <c r="H214" s="26"/>
      <c r="I214" s="7">
        <v>2000</v>
      </c>
      <c r="J214" s="7"/>
      <c r="K214" s="7"/>
      <c r="L214" s="7">
        <v>75</v>
      </c>
      <c r="M214" s="7"/>
      <c r="N214" s="7">
        <f t="shared" si="7"/>
        <v>2</v>
      </c>
      <c r="O214" s="7">
        <f t="shared" si="8"/>
        <v>75</v>
      </c>
      <c r="P214" s="7"/>
    </row>
    <row r="215" spans="1:16" x14ac:dyDescent="0.3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3">
      <c r="A216" s="5" t="s">
        <v>265</v>
      </c>
      <c r="B216" s="6">
        <v>15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15</v>
      </c>
      <c r="O216" s="7">
        <f t="shared" si="8"/>
        <v>0</v>
      </c>
      <c r="P216" s="7"/>
    </row>
    <row r="217" spans="1:16" x14ac:dyDescent="0.3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3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3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3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3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3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3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3">
      <c r="A224" s="5" t="s">
        <v>206</v>
      </c>
      <c r="B224" s="6">
        <v>44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44</v>
      </c>
      <c r="O224" s="7"/>
      <c r="P224" s="7"/>
    </row>
    <row r="225" spans="1:16" x14ac:dyDescent="0.3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3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3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3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3">
      <c r="A229" s="12" t="s">
        <v>107</v>
      </c>
      <c r="B229" s="13">
        <v>919</v>
      </c>
      <c r="C229" s="14"/>
      <c r="D229" s="14"/>
      <c r="E229" s="15"/>
      <c r="F229" s="15"/>
      <c r="G229" s="16"/>
      <c r="H229" s="27">
        <f>SUM(H2:H219)</f>
        <v>0</v>
      </c>
      <c r="I229" s="17">
        <f>SUM(I2:I218)</f>
        <v>2000</v>
      </c>
      <c r="J229" s="17"/>
      <c r="K229" s="17">
        <f>SUM(K2:K218)</f>
        <v>0</v>
      </c>
      <c r="L229" s="17"/>
      <c r="M229" s="17"/>
      <c r="N229" s="30">
        <f>SUM(N2:N228)</f>
        <v>971</v>
      </c>
      <c r="O229" s="17">
        <f>SUM(O2:O228)</f>
        <v>335</v>
      </c>
      <c r="P229" s="17">
        <f>SUM(P2:P228)</f>
        <v>-5</v>
      </c>
    </row>
    <row r="230" spans="1:16" x14ac:dyDescent="0.3">
      <c r="A230" s="18" t="s">
        <v>108</v>
      </c>
      <c r="B230" s="18">
        <f>O229</f>
        <v>335</v>
      </c>
      <c r="C230" s="2" t="s">
        <v>109</v>
      </c>
      <c r="D230" s="2" t="s">
        <v>110</v>
      </c>
      <c r="N230" s="31"/>
    </row>
    <row r="231" spans="1:16" x14ac:dyDescent="0.3">
      <c r="A231" s="19" t="s">
        <v>111</v>
      </c>
      <c r="B231" s="20">
        <f>(C231+D231)/690</f>
        <v>100</v>
      </c>
      <c r="C231" s="8">
        <v>20100</v>
      </c>
      <c r="D231" s="8">
        <v>48900</v>
      </c>
    </row>
    <row r="232" spans="1:16" x14ac:dyDescent="0.3">
      <c r="A232" s="19" t="s">
        <v>14</v>
      </c>
      <c r="B232" s="21">
        <v>150</v>
      </c>
      <c r="C232" s="8" t="s">
        <v>126</v>
      </c>
      <c r="D232" s="8"/>
    </row>
    <row r="233" spans="1:16" x14ac:dyDescent="0.3">
      <c r="A233" s="19" t="s">
        <v>112</v>
      </c>
      <c r="B233" s="20">
        <f>D233/690</f>
        <v>0</v>
      </c>
      <c r="C233" s="8"/>
      <c r="D233" s="8"/>
    </row>
    <row r="234" spans="1:16" x14ac:dyDescent="0.3">
      <c r="A234" s="19" t="s">
        <v>113</v>
      </c>
      <c r="B234" s="20"/>
      <c r="C234" s="8"/>
      <c r="D234" s="8"/>
    </row>
    <row r="235" spans="1:16" x14ac:dyDescent="0.3">
      <c r="A235" s="12" t="s">
        <v>114</v>
      </c>
      <c r="B235" s="22">
        <f>B230+B231+B233+B234+B232</f>
        <v>585</v>
      </c>
      <c r="C235" s="8"/>
      <c r="D235" s="8"/>
    </row>
    <row r="236" spans="1:16" x14ac:dyDescent="0.3">
      <c r="A236" s="19" t="s">
        <v>6</v>
      </c>
      <c r="B236" s="20">
        <f>D236/690</f>
        <v>49.130434782608695</v>
      </c>
      <c r="C236" s="8"/>
      <c r="D236" s="8">
        <v>33900</v>
      </c>
    </row>
    <row r="237" spans="1:16" x14ac:dyDescent="0.3">
      <c r="A237" s="19" t="s">
        <v>115</v>
      </c>
      <c r="B237" s="20">
        <f>C237/690</f>
        <v>2.8985507246376812</v>
      </c>
      <c r="C237" s="8">
        <v>2000</v>
      </c>
      <c r="D237" s="8"/>
    </row>
    <row r="238" spans="1:16" x14ac:dyDescent="0.3">
      <c r="A238" s="19" t="s">
        <v>64</v>
      </c>
      <c r="B238" s="20">
        <f>C238/690</f>
        <v>7.2463768115942031</v>
      </c>
      <c r="C238" s="8">
        <v>5000</v>
      </c>
      <c r="D238" s="8"/>
    </row>
    <row r="239" spans="1:16" x14ac:dyDescent="0.3">
      <c r="A239" s="19" t="s">
        <v>116</v>
      </c>
      <c r="B239" s="20"/>
      <c r="C239" s="8"/>
      <c r="D239" s="8"/>
    </row>
    <row r="240" spans="1:16" x14ac:dyDescent="0.3">
      <c r="A240" s="12" t="s">
        <v>117</v>
      </c>
      <c r="B240" s="20">
        <f>B236+B237+B238+B239</f>
        <v>59.275362318840578</v>
      </c>
      <c r="C240" s="8"/>
      <c r="D240" s="8"/>
    </row>
    <row r="241" spans="1:6" x14ac:dyDescent="0.3">
      <c r="A241" s="12" t="s">
        <v>118</v>
      </c>
      <c r="B241" s="22">
        <f>B235-B240</f>
        <v>525.72463768115938</v>
      </c>
      <c r="C241" s="8"/>
      <c r="D241" s="8"/>
    </row>
    <row r="242" spans="1:6" x14ac:dyDescent="0.3">
      <c r="A242" s="19" t="s">
        <v>119</v>
      </c>
      <c r="B242" s="20">
        <f>C242/690</f>
        <v>0</v>
      </c>
      <c r="C242" s="8"/>
      <c r="D242" s="8"/>
    </row>
    <row r="243" spans="1:6" x14ac:dyDescent="0.3">
      <c r="A243" s="19" t="s">
        <v>120</v>
      </c>
      <c r="B243" s="20"/>
      <c r="C243" s="8"/>
      <c r="D243" s="8"/>
    </row>
    <row r="244" spans="1:6" x14ac:dyDescent="0.3">
      <c r="A244" s="19" t="s">
        <v>121</v>
      </c>
      <c r="B244" s="20">
        <f>C244/2</f>
        <v>0</v>
      </c>
      <c r="C244" s="8"/>
      <c r="D244" s="8"/>
    </row>
    <row r="245" spans="1:6" x14ac:dyDescent="0.3">
      <c r="A245" s="12" t="s">
        <v>122</v>
      </c>
      <c r="B245" s="22">
        <f>B242+B243+B244</f>
        <v>0</v>
      </c>
      <c r="C245" s="8"/>
      <c r="D245" s="8"/>
    </row>
    <row r="246" spans="1:6" x14ac:dyDescent="0.3">
      <c r="A246" s="19" t="s">
        <v>123</v>
      </c>
      <c r="B246" s="20">
        <v>485</v>
      </c>
      <c r="C246" s="8"/>
      <c r="D246" s="8"/>
    </row>
    <row r="247" spans="1:6" x14ac:dyDescent="0.3">
      <c r="A247" s="19" t="s">
        <v>36</v>
      </c>
      <c r="B247" s="20"/>
      <c r="C247" s="8"/>
      <c r="D247" s="8"/>
    </row>
    <row r="248" spans="1:6" x14ac:dyDescent="0.3">
      <c r="A248" s="19" t="s">
        <v>124</v>
      </c>
      <c r="B248" s="20">
        <f>C248/2.3</f>
        <v>0</v>
      </c>
      <c r="C248" s="8"/>
      <c r="D248" s="8"/>
    </row>
    <row r="249" spans="1:6" x14ac:dyDescent="0.3">
      <c r="A249" s="19" t="s">
        <v>125</v>
      </c>
      <c r="B249" s="20">
        <f>C249/690</f>
        <v>18.985507246376812</v>
      </c>
      <c r="C249" s="8">
        <v>13100</v>
      </c>
      <c r="D249" s="8"/>
      <c r="F249" t="s">
        <v>126</v>
      </c>
    </row>
    <row r="250" spans="1:6" x14ac:dyDescent="0.3">
      <c r="A250" s="19" t="s">
        <v>127</v>
      </c>
      <c r="B250" s="20">
        <f>D250/690</f>
        <v>21.739130434782609</v>
      </c>
      <c r="C250" s="8"/>
      <c r="D250" s="8">
        <v>15000</v>
      </c>
    </row>
    <row r="251" spans="1:6" x14ac:dyDescent="0.3">
      <c r="A251" s="12" t="s">
        <v>128</v>
      </c>
      <c r="B251" s="22">
        <f>B246+B247+B248+B249+B250</f>
        <v>525.72463768115938</v>
      </c>
      <c r="C251" s="8"/>
      <c r="D251" s="8"/>
    </row>
    <row r="252" spans="1:6" x14ac:dyDescent="0.3">
      <c r="A252" s="19" t="s">
        <v>129</v>
      </c>
      <c r="B252" s="20">
        <f>C252/690</f>
        <v>0</v>
      </c>
      <c r="C252" s="8"/>
      <c r="D252" s="8"/>
    </row>
    <row r="253" spans="1:6" x14ac:dyDescent="0.3">
      <c r="A253" s="12" t="s">
        <v>107</v>
      </c>
      <c r="B253" s="22">
        <f>B252</f>
        <v>0</v>
      </c>
      <c r="C253" s="8"/>
      <c r="D253" s="8"/>
    </row>
    <row r="254" spans="1:6" x14ac:dyDescent="0.3">
      <c r="A254" s="12" t="s">
        <v>130</v>
      </c>
      <c r="B254" s="20">
        <f>B241-B245-B251-B253</f>
        <v>0</v>
      </c>
      <c r="C254" s="8" t="s">
        <v>126</v>
      </c>
      <c r="D254" s="8"/>
    </row>
    <row r="256" spans="1:6" x14ac:dyDescent="0.3">
      <c r="A256" s="12" t="s">
        <v>131</v>
      </c>
      <c r="B256" s="23" t="s">
        <v>10</v>
      </c>
    </row>
    <row r="257" spans="1:2" x14ac:dyDescent="0.3">
      <c r="A257" s="12" t="s">
        <v>132</v>
      </c>
      <c r="B257" s="7"/>
    </row>
    <row r="258" spans="1:2" x14ac:dyDescent="0.3">
      <c r="A258" s="19" t="s">
        <v>133</v>
      </c>
      <c r="B258" s="7"/>
    </row>
    <row r="259" spans="1:2" x14ac:dyDescent="0.3">
      <c r="A259" s="12" t="s">
        <v>134</v>
      </c>
      <c r="B259" s="17">
        <f>B257-B258</f>
        <v>0</v>
      </c>
    </row>
    <row r="260" spans="1:2" x14ac:dyDescent="0.3">
      <c r="A260" s="12" t="s">
        <v>135</v>
      </c>
      <c r="B260" s="17">
        <f>B261+B262+B263+B264+B265+B266+B267+B268</f>
        <v>0</v>
      </c>
    </row>
    <row r="261" spans="1:2" x14ac:dyDescent="0.3">
      <c r="A261" s="19" t="s">
        <v>136</v>
      </c>
      <c r="B261" s="7"/>
    </row>
    <row r="262" spans="1:2" x14ac:dyDescent="0.3">
      <c r="A262" s="19" t="s">
        <v>137</v>
      </c>
      <c r="B262" s="7"/>
    </row>
    <row r="263" spans="1:2" x14ac:dyDescent="0.3">
      <c r="A263" s="19" t="s">
        <v>138</v>
      </c>
      <c r="B263" s="7"/>
    </row>
    <row r="264" spans="1:2" x14ac:dyDescent="0.3">
      <c r="A264" s="19" t="s">
        <v>139</v>
      </c>
      <c r="B264" s="7"/>
    </row>
    <row r="265" spans="1:2" x14ac:dyDescent="0.3">
      <c r="A265" s="19" t="s">
        <v>140</v>
      </c>
      <c r="B265" s="7"/>
    </row>
    <row r="266" spans="1:2" x14ac:dyDescent="0.3">
      <c r="A266" s="19" t="s">
        <v>141</v>
      </c>
      <c r="B266" s="7"/>
    </row>
    <row r="267" spans="1:2" x14ac:dyDescent="0.3">
      <c r="A267" s="19" t="s">
        <v>142</v>
      </c>
      <c r="B267" s="7"/>
    </row>
    <row r="268" spans="1:2" x14ac:dyDescent="0.3">
      <c r="A268" s="19" t="s">
        <v>143</v>
      </c>
      <c r="B268" s="7"/>
    </row>
    <row r="269" spans="1:2" x14ac:dyDescent="0.3">
      <c r="A269" s="12" t="s">
        <v>144</v>
      </c>
      <c r="B269" s="17">
        <f>B270+B271+B272</f>
        <v>0</v>
      </c>
    </row>
    <row r="270" spans="1:2" x14ac:dyDescent="0.3">
      <c r="A270" s="19" t="s">
        <v>145</v>
      </c>
      <c r="B270" s="7"/>
    </row>
    <row r="271" spans="1:2" x14ac:dyDescent="0.3">
      <c r="A271" s="19" t="s">
        <v>146</v>
      </c>
      <c r="B271" s="7"/>
    </row>
    <row r="272" spans="1:2" x14ac:dyDescent="0.3">
      <c r="A272" s="19" t="s">
        <v>147</v>
      </c>
      <c r="B272" s="7"/>
    </row>
    <row r="273" spans="1:5" x14ac:dyDescent="0.3">
      <c r="A273" s="12" t="s">
        <v>148</v>
      </c>
      <c r="B273" s="17">
        <f>B259-B260-B269</f>
        <v>0</v>
      </c>
    </row>
    <row r="279" spans="1:5" x14ac:dyDescent="0.3">
      <c r="A279" s="24"/>
    </row>
    <row r="280" spans="1:5" x14ac:dyDescent="0.3">
      <c r="A280" s="24"/>
    </row>
    <row r="281" spans="1:5" x14ac:dyDescent="0.3">
      <c r="A281" s="24"/>
    </row>
    <row r="282" spans="1:5" x14ac:dyDescent="0.3">
      <c r="A282" s="24"/>
    </row>
    <row r="283" spans="1:5" x14ac:dyDescent="0.3">
      <c r="A283" s="24"/>
    </row>
    <row r="284" spans="1:5" x14ac:dyDescent="0.3">
      <c r="A284" s="24"/>
    </row>
    <row r="285" spans="1:5" x14ac:dyDescent="0.3">
      <c r="A285" s="24"/>
    </row>
    <row r="286" spans="1:5" x14ac:dyDescent="0.3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9FE40-A236-4FBD-8699-309E549C632F}">
  <dimension ref="A1:Y286"/>
  <sheetViews>
    <sheetView zoomScale="80" zoomScaleNormal="80" workbookViewId="0">
      <pane ySplit="1" topLeftCell="A164" activePane="bottomLeft" state="frozen"/>
      <selection pane="bottomLeft" activeCell="C188" sqref="C188"/>
    </sheetView>
  </sheetViews>
  <sheetFormatPr baseColWidth="10" defaultRowHeight="14.4" x14ac:dyDescent="0.3"/>
  <cols>
    <col min="1" max="1" width="54.5546875" customWidth="1"/>
    <col min="3" max="3" width="20" customWidth="1"/>
    <col min="4" max="4" width="11.109375" customWidth="1"/>
    <col min="5" max="6" width="8.33203125" customWidth="1"/>
    <col min="7" max="7" width="12.33203125" customWidth="1"/>
    <col min="8" max="8" width="15" customWidth="1"/>
    <col min="9" max="9" width="12.6640625" customWidth="1"/>
    <col min="10" max="10" width="9.33203125" customWidth="1"/>
    <col min="11" max="11" width="9.109375" customWidth="1"/>
    <col min="12" max="12" width="11.33203125" customWidth="1"/>
    <col min="13" max="13" width="11.109375" customWidth="1"/>
    <col min="14" max="14" width="8.33203125" customWidth="1"/>
    <col min="15" max="15" width="9.6640625" customWidth="1"/>
    <col min="16" max="16" width="18.5546875" customWidth="1"/>
    <col min="18" max="18" width="13" customWidth="1"/>
    <col min="19" max="19" width="15.6640625" customWidth="1"/>
    <col min="21" max="21" width="17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3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3">
      <c r="A3" s="5" t="s">
        <v>270</v>
      </c>
      <c r="B3" s="6">
        <v>88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30</v>
      </c>
      <c r="M3" s="7"/>
      <c r="N3" s="7">
        <f>B3+C3-D3-E3-F3</f>
        <v>88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3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3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3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3">
      <c r="A7" s="5" t="s">
        <v>260</v>
      </c>
      <c r="B7" s="6">
        <v>1</v>
      </c>
      <c r="C7" s="7"/>
      <c r="D7" s="7"/>
      <c r="E7" s="8"/>
      <c r="F7" s="8"/>
      <c r="G7" s="9">
        <v>5000</v>
      </c>
      <c r="H7" s="26"/>
      <c r="I7" s="7"/>
      <c r="J7" s="7"/>
      <c r="K7" s="7"/>
      <c r="L7" s="7">
        <v>500</v>
      </c>
      <c r="M7" s="7"/>
      <c r="N7" s="7">
        <f t="shared" si="2"/>
        <v>1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3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3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3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3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3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3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3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3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5" t="s">
        <v>27</v>
      </c>
      <c r="B20" s="6">
        <v>3</v>
      </c>
      <c r="C20" s="7"/>
      <c r="D20" s="7"/>
      <c r="E20" s="8">
        <v>2</v>
      </c>
      <c r="F20" s="8"/>
      <c r="G20" s="9">
        <v>1000</v>
      </c>
      <c r="H20" s="26">
        <f t="shared" si="0"/>
        <v>2000</v>
      </c>
      <c r="I20" s="7"/>
      <c r="J20" s="7">
        <v>85</v>
      </c>
      <c r="K20" s="7"/>
      <c r="L20" s="7">
        <v>180</v>
      </c>
      <c r="M20" s="7"/>
      <c r="N20" s="7">
        <f t="shared" si="2"/>
        <v>1</v>
      </c>
      <c r="O20" s="7">
        <f t="shared" si="1"/>
        <v>360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160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5" t="s">
        <v>263</v>
      </c>
      <c r="B31" s="6">
        <v>0</v>
      </c>
      <c r="C31" s="7"/>
      <c r="D31" s="7"/>
      <c r="E31" s="8"/>
      <c r="F31" s="8"/>
      <c r="G31" s="9"/>
      <c r="H31" s="26"/>
      <c r="I31" s="7"/>
      <c r="J31" s="7"/>
      <c r="K31" s="7"/>
      <c r="L31" s="7">
        <v>600</v>
      </c>
      <c r="M31" s="7"/>
      <c r="N31" s="7">
        <f t="shared" si="2"/>
        <v>0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/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5" t="s">
        <v>294</v>
      </c>
      <c r="B33" s="6">
        <v>9</v>
      </c>
      <c r="C33" s="7"/>
      <c r="D33" s="7"/>
      <c r="E33" s="8"/>
      <c r="F33" s="8"/>
      <c r="G33" s="9">
        <v>1000</v>
      </c>
      <c r="H33" s="26"/>
      <c r="I33" s="7"/>
      <c r="J33" s="7">
        <v>25</v>
      </c>
      <c r="K33" s="7"/>
      <c r="L33" s="7">
        <v>45</v>
      </c>
      <c r="M33" s="7"/>
      <c r="N33" s="7">
        <f t="shared" si="2"/>
        <v>9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3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3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3">
      <c r="A36" s="5" t="s">
        <v>287</v>
      </c>
      <c r="B36" s="6">
        <v>10</v>
      </c>
      <c r="C36" s="7"/>
      <c r="D36" s="7"/>
      <c r="E36" s="8"/>
      <c r="F36" s="8"/>
      <c r="G36" s="9">
        <v>200</v>
      </c>
      <c r="H36" s="26">
        <f t="shared" si="0"/>
        <v>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3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3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3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3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3">
      <c r="A41" s="5" t="s">
        <v>235</v>
      </c>
      <c r="B41" s="6">
        <v>4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4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3">
      <c r="A42" s="5" t="s">
        <v>38</v>
      </c>
      <c r="B42" s="6">
        <v>3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3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3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3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3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3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3">
      <c r="A47" s="5" t="s">
        <v>330</v>
      </c>
      <c r="B47" s="6">
        <v>2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1200</v>
      </c>
      <c r="M47" s="7"/>
      <c r="N47" s="7">
        <f t="shared" si="2"/>
        <v>2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3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3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3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3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3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3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3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3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3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3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3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3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3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3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3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3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3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3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3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3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3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3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3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3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3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3">
      <c r="A73" s="5" t="s">
        <v>211</v>
      </c>
      <c r="B73" s="6">
        <v>1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1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3">
      <c r="A74" s="5" t="s">
        <v>54</v>
      </c>
      <c r="B74" s="6">
        <v>1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3">
      <c r="A75" s="5" t="s">
        <v>55</v>
      </c>
      <c r="B75" s="6">
        <v>2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2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3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3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3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3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3">
      <c r="A80" s="5" t="s">
        <v>326</v>
      </c>
      <c r="B80" s="6">
        <v>2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900</v>
      </c>
      <c r="M80" s="7"/>
      <c r="N80" s="7">
        <f t="shared" si="2"/>
        <v>2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3">
      <c r="A81" s="5" t="s">
        <v>328</v>
      </c>
      <c r="B81" s="6">
        <v>1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900</v>
      </c>
      <c r="M81" s="7"/>
      <c r="N81" s="7">
        <f t="shared" si="2"/>
        <v>1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3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3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3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3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3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3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3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3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3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3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3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3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3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3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3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3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3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3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3">
      <c r="A100" s="5" t="s">
        <v>212</v>
      </c>
      <c r="B100" s="6">
        <v>9</v>
      </c>
      <c r="C100" s="10"/>
      <c r="D100" s="7"/>
      <c r="E100" s="8">
        <v>1</v>
      </c>
      <c r="F100" s="8"/>
      <c r="G100" s="9">
        <v>3000</v>
      </c>
      <c r="H100" s="26">
        <f t="shared" si="3"/>
        <v>3000</v>
      </c>
      <c r="I100" s="7">
        <v>1500</v>
      </c>
      <c r="J100" s="7">
        <v>190</v>
      </c>
      <c r="K100" s="7"/>
      <c r="L100" s="7">
        <v>200</v>
      </c>
      <c r="M100" s="7"/>
      <c r="N100" s="7">
        <f t="shared" si="4"/>
        <v>8</v>
      </c>
      <c r="O100" s="7">
        <f t="shared" si="1"/>
        <v>200</v>
      </c>
      <c r="P100" s="7"/>
      <c r="R100" s="4"/>
      <c r="S100" s="4"/>
      <c r="T100" s="4"/>
      <c r="U100" s="4"/>
    </row>
    <row r="101" spans="1:21" x14ac:dyDescent="0.3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3">
      <c r="A102" s="5" t="s">
        <v>191</v>
      </c>
      <c r="B102" s="6">
        <v>1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1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3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3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3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3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3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3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3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3">
      <c r="A110" s="5" t="s">
        <v>68</v>
      </c>
      <c r="B110" s="6">
        <v>1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1</v>
      </c>
      <c r="O110" s="7">
        <f t="shared" si="1"/>
        <v>0</v>
      </c>
      <c r="P110" s="7" t="s">
        <v>321</v>
      </c>
    </row>
    <row r="111" spans="1:21" x14ac:dyDescent="0.3">
      <c r="A111" s="5" t="s">
        <v>311</v>
      </c>
      <c r="B111" s="6">
        <v>1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1</v>
      </c>
      <c r="O111" s="7">
        <f t="shared" ref="O111:O183" si="5">E111*L111+F111*M111</f>
        <v>0</v>
      </c>
      <c r="P111" s="7"/>
    </row>
    <row r="112" spans="1:21" x14ac:dyDescent="0.3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3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3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3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3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3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3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3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3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3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3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3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3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3">
      <c r="A125" s="5" t="s">
        <v>277</v>
      </c>
      <c r="B125" s="6">
        <v>0</v>
      </c>
      <c r="C125" s="10">
        <v>2</v>
      </c>
      <c r="D125" s="7"/>
      <c r="E125" s="8">
        <v>1</v>
      </c>
      <c r="F125" s="8"/>
      <c r="G125" s="9">
        <v>3000</v>
      </c>
      <c r="H125" s="26">
        <f t="shared" si="3"/>
        <v>3000</v>
      </c>
      <c r="I125" s="7"/>
      <c r="J125" s="7">
        <v>225</v>
      </c>
      <c r="K125" s="7"/>
      <c r="L125" s="7">
        <v>300</v>
      </c>
      <c r="M125" s="7"/>
      <c r="N125" s="7">
        <f t="shared" si="4"/>
        <v>1</v>
      </c>
      <c r="O125" s="7">
        <f t="shared" si="5"/>
        <v>300</v>
      </c>
      <c r="P125" s="7" t="s">
        <v>304</v>
      </c>
    </row>
    <row r="126" spans="1:16" x14ac:dyDescent="0.3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3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3">
      <c r="A128" s="5" t="s">
        <v>76</v>
      </c>
      <c r="B128" s="6">
        <v>29</v>
      </c>
      <c r="C128" s="10">
        <v>4</v>
      </c>
      <c r="D128" s="7"/>
      <c r="E128" s="8">
        <v>1</v>
      </c>
      <c r="F128" s="8"/>
      <c r="G128" s="9">
        <v>3000</v>
      </c>
      <c r="H128" s="26"/>
      <c r="I128" s="7"/>
      <c r="J128" s="7">
        <v>170</v>
      </c>
      <c r="K128" s="7"/>
      <c r="L128" s="7">
        <v>260</v>
      </c>
      <c r="M128" s="7">
        <v>200</v>
      </c>
      <c r="N128" s="7">
        <f t="shared" si="4"/>
        <v>32</v>
      </c>
      <c r="O128" s="7">
        <f t="shared" si="5"/>
        <v>260</v>
      </c>
      <c r="P128" s="7" t="s">
        <v>304</v>
      </c>
    </row>
    <row r="129" spans="1:16" x14ac:dyDescent="0.3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3">
      <c r="A130" s="5" t="s">
        <v>77</v>
      </c>
      <c r="B130" s="6">
        <v>0</v>
      </c>
      <c r="C130" s="10">
        <v>2</v>
      </c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2</v>
      </c>
      <c r="O130" s="7">
        <f t="shared" si="5"/>
        <v>0</v>
      </c>
      <c r="P130" s="7" t="s">
        <v>304</v>
      </c>
    </row>
    <row r="131" spans="1:16" x14ac:dyDescent="0.3">
      <c r="A131" s="5" t="s">
        <v>276</v>
      </c>
      <c r="B131" s="6">
        <v>0</v>
      </c>
      <c r="C131" s="10">
        <v>2</v>
      </c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360</v>
      </c>
      <c r="M131" s="7"/>
      <c r="N131" s="7">
        <f t="shared" si="4"/>
        <v>2</v>
      </c>
      <c r="O131" s="7">
        <f t="shared" si="5"/>
        <v>0</v>
      </c>
      <c r="P131" s="7" t="s">
        <v>304</v>
      </c>
    </row>
    <row r="132" spans="1:16" x14ac:dyDescent="0.3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3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3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3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3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3">
      <c r="A137" s="5" t="s">
        <v>162</v>
      </c>
      <c r="B137" s="6">
        <v>5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5</v>
      </c>
      <c r="O137" s="7">
        <f t="shared" si="5"/>
        <v>0</v>
      </c>
      <c r="P137" s="7"/>
    </row>
    <row r="138" spans="1:16" x14ac:dyDescent="0.3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3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3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3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3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3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3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3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3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3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3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3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3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3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3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3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3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3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3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3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3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3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3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3">
      <c r="A161" s="5" t="s">
        <v>193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3">
      <c r="A162" s="5" t="s">
        <v>332</v>
      </c>
      <c r="B162" s="6">
        <v>0</v>
      </c>
      <c r="C162" s="7">
        <v>27</v>
      </c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195</v>
      </c>
      <c r="M162" s="7"/>
      <c r="N162" s="7">
        <f t="shared" si="4"/>
        <v>27</v>
      </c>
      <c r="O162" s="7">
        <f t="shared" si="5"/>
        <v>0</v>
      </c>
      <c r="P162" s="7" t="s">
        <v>304</v>
      </c>
    </row>
    <row r="163" spans="1:16" x14ac:dyDescent="0.3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230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3">
      <c r="A164" s="5" t="s">
        <v>292</v>
      </c>
      <c r="B164" s="6">
        <v>22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/>
      <c r="K164" s="7"/>
      <c r="L164" s="7">
        <v>230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3">
      <c r="A165" s="5" t="s">
        <v>297</v>
      </c>
      <c r="B165" s="6">
        <v>91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>
        <v>140</v>
      </c>
      <c r="K165" s="7"/>
      <c r="L165" s="7">
        <v>220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3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3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3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3">
      <c r="A169" s="5" t="s">
        <v>210</v>
      </c>
      <c r="B169" s="6">
        <v>0</v>
      </c>
      <c r="C169" s="7">
        <v>4</v>
      </c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4</v>
      </c>
      <c r="O169" s="7">
        <f t="shared" si="5"/>
        <v>0</v>
      </c>
      <c r="P169" s="7" t="s">
        <v>304</v>
      </c>
    </row>
    <row r="170" spans="1:16" x14ac:dyDescent="0.3">
      <c r="A170" s="5" t="s">
        <v>234</v>
      </c>
      <c r="B170" s="6">
        <v>0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0</v>
      </c>
      <c r="O170" s="7">
        <f t="shared" si="5"/>
        <v>0</v>
      </c>
      <c r="P170" s="7"/>
    </row>
    <row r="171" spans="1:16" x14ac:dyDescent="0.3">
      <c r="A171" s="5" t="s">
        <v>331</v>
      </c>
      <c r="B171" s="6">
        <v>0</v>
      </c>
      <c r="C171" s="7">
        <v>1</v>
      </c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1</v>
      </c>
      <c r="O171" s="7">
        <f t="shared" si="5"/>
        <v>0</v>
      </c>
      <c r="P171" s="7" t="s">
        <v>304</v>
      </c>
    </row>
    <row r="172" spans="1:16" x14ac:dyDescent="0.3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3">
      <c r="A173" s="5" t="s">
        <v>93</v>
      </c>
      <c r="B173" s="6">
        <v>0</v>
      </c>
      <c r="C173" s="10">
        <v>3</v>
      </c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3</v>
      </c>
      <c r="O173" s="7">
        <f t="shared" si="5"/>
        <v>0</v>
      </c>
      <c r="P173" s="7" t="s">
        <v>304</v>
      </c>
    </row>
    <row r="174" spans="1:16" x14ac:dyDescent="0.3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3">
      <c r="A175" s="5" t="s">
        <v>222</v>
      </c>
      <c r="B175" s="6">
        <v>3</v>
      </c>
      <c r="C175" s="10"/>
      <c r="D175" s="7"/>
      <c r="E175" s="8">
        <v>1</v>
      </c>
      <c r="F175" s="8"/>
      <c r="G175" s="9">
        <v>4000</v>
      </c>
      <c r="H175" s="26">
        <f t="shared" si="6"/>
        <v>4000</v>
      </c>
      <c r="I175" s="7">
        <v>1500</v>
      </c>
      <c r="J175" s="7"/>
      <c r="K175" s="7"/>
      <c r="L175" s="7">
        <v>500</v>
      </c>
      <c r="M175" s="7"/>
      <c r="N175" s="7">
        <f t="shared" si="7"/>
        <v>2</v>
      </c>
      <c r="O175" s="7">
        <f t="shared" si="5"/>
        <v>500</v>
      </c>
      <c r="P175" s="7"/>
    </row>
    <row r="176" spans="1:16" x14ac:dyDescent="0.3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3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3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3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3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3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3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3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3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3">
      <c r="A185" s="5" t="s">
        <v>98</v>
      </c>
      <c r="B185" s="6">
        <v>0</v>
      </c>
      <c r="C185" s="10">
        <v>3</v>
      </c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375</v>
      </c>
      <c r="M185" s="7"/>
      <c r="N185" s="7">
        <f t="shared" si="7"/>
        <v>3</v>
      </c>
      <c r="O185" s="7">
        <f t="shared" si="8"/>
        <v>0</v>
      </c>
      <c r="P185" s="7" t="s">
        <v>304</v>
      </c>
    </row>
    <row r="186" spans="1:16" x14ac:dyDescent="0.3">
      <c r="A186" s="5" t="s">
        <v>189</v>
      </c>
      <c r="B186" s="6">
        <v>9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295</v>
      </c>
      <c r="M186" s="7"/>
      <c r="N186" s="7">
        <f t="shared" si="7"/>
        <v>9</v>
      </c>
      <c r="O186" s="7">
        <f t="shared" si="8"/>
        <v>0</v>
      </c>
      <c r="P186" s="7"/>
    </row>
    <row r="187" spans="1:16" x14ac:dyDescent="0.3">
      <c r="A187" s="5" t="s">
        <v>333</v>
      </c>
      <c r="B187" s="6">
        <v>0</v>
      </c>
      <c r="C187" s="10">
        <v>3</v>
      </c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630</v>
      </c>
      <c r="M187" s="7"/>
      <c r="N187" s="7">
        <f t="shared" si="7"/>
        <v>3</v>
      </c>
      <c r="O187" s="7">
        <f t="shared" si="8"/>
        <v>0</v>
      </c>
      <c r="P187" s="7"/>
    </row>
    <row r="188" spans="1:16" x14ac:dyDescent="0.3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3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3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3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3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3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3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3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3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3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3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3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3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3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3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3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3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3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3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3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3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3">
      <c r="A209" s="5" t="s">
        <v>264</v>
      </c>
      <c r="B209" s="6">
        <v>12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12</v>
      </c>
      <c r="O209" s="7">
        <f t="shared" si="8"/>
        <v>0</v>
      </c>
      <c r="P209" s="7"/>
    </row>
    <row r="210" spans="1:16" x14ac:dyDescent="0.3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3">
      <c r="A211" s="5" t="s">
        <v>329</v>
      </c>
      <c r="B211" s="6">
        <v>10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65</v>
      </c>
      <c r="M211" s="7"/>
      <c r="N211" s="7">
        <f t="shared" si="7"/>
        <v>10</v>
      </c>
      <c r="O211" s="7">
        <f t="shared" si="8"/>
        <v>0</v>
      </c>
      <c r="P211" s="7"/>
    </row>
    <row r="212" spans="1:16" x14ac:dyDescent="0.3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3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3">
      <c r="A214" s="5" t="s">
        <v>266</v>
      </c>
      <c r="B214" s="6">
        <v>2</v>
      </c>
      <c r="C214" s="10"/>
      <c r="D214" s="7"/>
      <c r="E214" s="8"/>
      <c r="F214" s="8"/>
      <c r="G214" s="9">
        <v>1000</v>
      </c>
      <c r="H214" s="26"/>
      <c r="I214" s="7"/>
      <c r="J214" s="7"/>
      <c r="K214" s="7"/>
      <c r="L214" s="7">
        <v>75</v>
      </c>
      <c r="M214" s="7"/>
      <c r="N214" s="7">
        <f t="shared" si="7"/>
        <v>2</v>
      </c>
      <c r="O214" s="7">
        <f t="shared" si="8"/>
        <v>0</v>
      </c>
      <c r="P214" s="7"/>
    </row>
    <row r="215" spans="1:16" x14ac:dyDescent="0.3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3">
      <c r="A216" s="5" t="s">
        <v>265</v>
      </c>
      <c r="B216" s="6">
        <v>15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15</v>
      </c>
      <c r="O216" s="7">
        <f t="shared" si="8"/>
        <v>0</v>
      </c>
      <c r="P216" s="7"/>
    </row>
    <row r="217" spans="1:16" x14ac:dyDescent="0.3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3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3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3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3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3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3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3">
      <c r="A224" s="5" t="s">
        <v>206</v>
      </c>
      <c r="B224" s="6">
        <v>44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44</v>
      </c>
      <c r="O224" s="7"/>
      <c r="P224" s="7"/>
    </row>
    <row r="225" spans="1:16" x14ac:dyDescent="0.3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3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3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3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3">
      <c r="A229" s="12" t="s">
        <v>107</v>
      </c>
      <c r="B229" s="13">
        <v>971</v>
      </c>
      <c r="C229" s="14"/>
      <c r="D229" s="14"/>
      <c r="E229" s="15"/>
      <c r="F229" s="15"/>
      <c r="G229" s="16"/>
      <c r="H229" s="27">
        <f>SUM(H2:H219)</f>
        <v>12000</v>
      </c>
      <c r="I229" s="17">
        <f>SUM(I2:I218)</f>
        <v>3000</v>
      </c>
      <c r="J229" s="17"/>
      <c r="K229" s="17">
        <f>SUM(K2:K218)</f>
        <v>0</v>
      </c>
      <c r="L229" s="17"/>
      <c r="M229" s="17"/>
      <c r="N229" s="30">
        <f>SUM(N2:N228)</f>
        <v>1016</v>
      </c>
      <c r="O229" s="17">
        <f>SUM(O2:O228)</f>
        <v>1620</v>
      </c>
      <c r="P229" s="17">
        <f>SUM(P2:P228)</f>
        <v>-6</v>
      </c>
    </row>
    <row r="230" spans="1:16" x14ac:dyDescent="0.3">
      <c r="A230" s="18" t="s">
        <v>108</v>
      </c>
      <c r="B230" s="18">
        <f>O229</f>
        <v>1620</v>
      </c>
      <c r="C230" s="2" t="s">
        <v>109</v>
      </c>
      <c r="D230" s="2" t="s">
        <v>110</v>
      </c>
      <c r="N230" s="31"/>
    </row>
    <row r="231" spans="1:16" x14ac:dyDescent="0.3">
      <c r="A231" s="19" t="s">
        <v>111</v>
      </c>
      <c r="B231" s="20">
        <f>(C231+D231)/690</f>
        <v>18.985507246376812</v>
      </c>
      <c r="C231" s="8">
        <v>13100</v>
      </c>
      <c r="D231" s="8"/>
    </row>
    <row r="232" spans="1:16" x14ac:dyDescent="0.3">
      <c r="A232" s="19" t="s">
        <v>14</v>
      </c>
      <c r="B232" s="21">
        <v>150</v>
      </c>
      <c r="C232" s="8" t="s">
        <v>126</v>
      </c>
      <c r="D232" s="8"/>
    </row>
    <row r="233" spans="1:16" x14ac:dyDescent="0.3">
      <c r="A233" s="19" t="s">
        <v>112</v>
      </c>
      <c r="B233" s="20">
        <f>D233/690</f>
        <v>0</v>
      </c>
      <c r="C233" s="8"/>
      <c r="D233" s="8"/>
    </row>
    <row r="234" spans="1:16" x14ac:dyDescent="0.3">
      <c r="A234" s="19" t="s">
        <v>113</v>
      </c>
      <c r="B234" s="20"/>
      <c r="C234" s="8"/>
      <c r="D234" s="8"/>
    </row>
    <row r="235" spans="1:16" x14ac:dyDescent="0.3">
      <c r="A235" s="12" t="s">
        <v>114</v>
      </c>
      <c r="B235" s="22">
        <f>B230+B231+B233+B234+B232</f>
        <v>1788.9855072463768</v>
      </c>
      <c r="C235" s="8"/>
      <c r="D235" s="8"/>
    </row>
    <row r="236" spans="1:16" x14ac:dyDescent="0.3">
      <c r="A236" s="19" t="s">
        <v>6</v>
      </c>
      <c r="B236" s="20">
        <f>D236/690</f>
        <v>0</v>
      </c>
      <c r="C236" s="8"/>
      <c r="D236" s="8"/>
    </row>
    <row r="237" spans="1:16" x14ac:dyDescent="0.3">
      <c r="A237" s="19" t="s">
        <v>115</v>
      </c>
      <c r="B237" s="20">
        <f>C237/690</f>
        <v>4.3478260869565215</v>
      </c>
      <c r="C237" s="8">
        <v>3000</v>
      </c>
      <c r="D237" s="8"/>
    </row>
    <row r="238" spans="1:16" x14ac:dyDescent="0.3">
      <c r="A238" s="19" t="s">
        <v>64</v>
      </c>
      <c r="B238" s="20">
        <f>C238/690</f>
        <v>14.637681159420289</v>
      </c>
      <c r="C238" s="8">
        <v>10100</v>
      </c>
      <c r="D238" s="8"/>
    </row>
    <row r="239" spans="1:16" x14ac:dyDescent="0.3">
      <c r="A239" s="19" t="s">
        <v>116</v>
      </c>
      <c r="B239" s="20"/>
      <c r="C239" s="8"/>
      <c r="D239" s="8"/>
    </row>
    <row r="240" spans="1:16" x14ac:dyDescent="0.3">
      <c r="A240" s="12" t="s">
        <v>117</v>
      </c>
      <c r="B240" s="20">
        <f>B236+B237+B238+B239</f>
        <v>18.985507246376812</v>
      </c>
      <c r="C240" s="8"/>
      <c r="D240" s="8"/>
    </row>
    <row r="241" spans="1:6" x14ac:dyDescent="0.3">
      <c r="A241" s="12" t="s">
        <v>118</v>
      </c>
      <c r="B241" s="22">
        <f>B235-B240</f>
        <v>1770</v>
      </c>
      <c r="C241" s="8"/>
      <c r="D241" s="8"/>
    </row>
    <row r="242" spans="1:6" x14ac:dyDescent="0.3">
      <c r="A242" s="19" t="s">
        <v>119</v>
      </c>
      <c r="B242" s="20">
        <f>C242/690</f>
        <v>0</v>
      </c>
      <c r="C242" s="8"/>
      <c r="D242" s="8"/>
    </row>
    <row r="243" spans="1:6" x14ac:dyDescent="0.3">
      <c r="A243" s="19" t="s">
        <v>120</v>
      </c>
      <c r="B243" s="20"/>
      <c r="C243" s="8"/>
      <c r="D243" s="8"/>
    </row>
    <row r="244" spans="1:6" x14ac:dyDescent="0.3">
      <c r="A244" s="19" t="s">
        <v>121</v>
      </c>
      <c r="B244" s="20">
        <f>C244/2</f>
        <v>0</v>
      </c>
      <c r="C244" s="8"/>
      <c r="D244" s="8"/>
    </row>
    <row r="245" spans="1:6" x14ac:dyDescent="0.3">
      <c r="A245" s="12" t="s">
        <v>122</v>
      </c>
      <c r="B245" s="22">
        <f>B242+B243+B244</f>
        <v>0</v>
      </c>
      <c r="C245" s="8"/>
      <c r="D245" s="8"/>
    </row>
    <row r="246" spans="1:6" x14ac:dyDescent="0.3">
      <c r="A246" s="19" t="s">
        <v>123</v>
      </c>
      <c r="B246" s="20">
        <v>1070</v>
      </c>
      <c r="C246" s="8"/>
      <c r="D246" s="8"/>
    </row>
    <row r="247" spans="1:6" x14ac:dyDescent="0.3">
      <c r="A247" s="19" t="s">
        <v>36</v>
      </c>
      <c r="B247" s="20">
        <v>700</v>
      </c>
      <c r="C247" s="8"/>
      <c r="D247" s="8"/>
    </row>
    <row r="248" spans="1:6" x14ac:dyDescent="0.3">
      <c r="A248" s="19" t="s">
        <v>124</v>
      </c>
      <c r="B248" s="20">
        <f>C248/2.3</f>
        <v>0</v>
      </c>
      <c r="C248" s="8"/>
      <c r="D248" s="8"/>
    </row>
    <row r="249" spans="1:6" x14ac:dyDescent="0.3">
      <c r="A249" s="19" t="s">
        <v>125</v>
      </c>
      <c r="B249" s="20">
        <f>C249/690</f>
        <v>0</v>
      </c>
      <c r="C249" s="8"/>
      <c r="D249" s="8"/>
      <c r="F249" t="s">
        <v>126</v>
      </c>
    </row>
    <row r="250" spans="1:6" x14ac:dyDescent="0.3">
      <c r="A250" s="19" t="s">
        <v>127</v>
      </c>
      <c r="B250" s="20">
        <f>D250/690</f>
        <v>0</v>
      </c>
      <c r="C250" s="8"/>
      <c r="D250" s="8"/>
    </row>
    <row r="251" spans="1:6" x14ac:dyDescent="0.3">
      <c r="A251" s="12" t="s">
        <v>128</v>
      </c>
      <c r="B251" s="22">
        <f>B246+B247+B248+B249+B250</f>
        <v>1770</v>
      </c>
      <c r="C251" s="8"/>
      <c r="D251" s="8"/>
    </row>
    <row r="252" spans="1:6" x14ac:dyDescent="0.3">
      <c r="A252" s="19" t="s">
        <v>129</v>
      </c>
      <c r="B252" s="20">
        <f>C252/690</f>
        <v>0</v>
      </c>
      <c r="C252" s="8"/>
      <c r="D252" s="8"/>
    </row>
    <row r="253" spans="1:6" x14ac:dyDescent="0.3">
      <c r="A253" s="12" t="s">
        <v>107</v>
      </c>
      <c r="B253" s="22">
        <f>B252</f>
        <v>0</v>
      </c>
      <c r="C253" s="8"/>
      <c r="D253" s="8"/>
    </row>
    <row r="254" spans="1:6" x14ac:dyDescent="0.3">
      <c r="A254" s="12" t="s">
        <v>130</v>
      </c>
      <c r="B254" s="20">
        <f>B241-B245-B251-B253</f>
        <v>0</v>
      </c>
      <c r="C254" s="8" t="s">
        <v>126</v>
      </c>
      <c r="D254" s="8"/>
    </row>
    <row r="256" spans="1:6" x14ac:dyDescent="0.3">
      <c r="A256" s="12" t="s">
        <v>131</v>
      </c>
      <c r="B256" s="23" t="s">
        <v>10</v>
      </c>
    </row>
    <row r="257" spans="1:2" x14ac:dyDescent="0.3">
      <c r="A257" s="12" t="s">
        <v>132</v>
      </c>
      <c r="B257" s="7"/>
    </row>
    <row r="258" spans="1:2" x14ac:dyDescent="0.3">
      <c r="A258" s="19" t="s">
        <v>133</v>
      </c>
      <c r="B258" s="7"/>
    </row>
    <row r="259" spans="1:2" x14ac:dyDescent="0.3">
      <c r="A259" s="12" t="s">
        <v>134</v>
      </c>
      <c r="B259" s="17">
        <f>B257-B258</f>
        <v>0</v>
      </c>
    </row>
    <row r="260" spans="1:2" x14ac:dyDescent="0.3">
      <c r="A260" s="12" t="s">
        <v>135</v>
      </c>
      <c r="B260" s="17">
        <f>B261+B262+B263+B264+B265+B266+B267+B268</f>
        <v>0</v>
      </c>
    </row>
    <row r="261" spans="1:2" x14ac:dyDescent="0.3">
      <c r="A261" s="19" t="s">
        <v>136</v>
      </c>
      <c r="B261" s="7"/>
    </row>
    <row r="262" spans="1:2" x14ac:dyDescent="0.3">
      <c r="A262" s="19" t="s">
        <v>137</v>
      </c>
      <c r="B262" s="7"/>
    </row>
    <row r="263" spans="1:2" x14ac:dyDescent="0.3">
      <c r="A263" s="19" t="s">
        <v>138</v>
      </c>
      <c r="B263" s="7"/>
    </row>
    <row r="264" spans="1:2" x14ac:dyDescent="0.3">
      <c r="A264" s="19" t="s">
        <v>139</v>
      </c>
      <c r="B264" s="7"/>
    </row>
    <row r="265" spans="1:2" x14ac:dyDescent="0.3">
      <c r="A265" s="19" t="s">
        <v>140</v>
      </c>
      <c r="B265" s="7"/>
    </row>
    <row r="266" spans="1:2" x14ac:dyDescent="0.3">
      <c r="A266" s="19" t="s">
        <v>141</v>
      </c>
      <c r="B266" s="7"/>
    </row>
    <row r="267" spans="1:2" x14ac:dyDescent="0.3">
      <c r="A267" s="19" t="s">
        <v>142</v>
      </c>
      <c r="B267" s="7"/>
    </row>
    <row r="268" spans="1:2" x14ac:dyDescent="0.3">
      <c r="A268" s="19" t="s">
        <v>143</v>
      </c>
      <c r="B268" s="7"/>
    </row>
    <row r="269" spans="1:2" x14ac:dyDescent="0.3">
      <c r="A269" s="12" t="s">
        <v>144</v>
      </c>
      <c r="B269" s="17">
        <f>B270+B271+B272</f>
        <v>0</v>
      </c>
    </row>
    <row r="270" spans="1:2" x14ac:dyDescent="0.3">
      <c r="A270" s="19" t="s">
        <v>145</v>
      </c>
      <c r="B270" s="7"/>
    </row>
    <row r="271" spans="1:2" x14ac:dyDescent="0.3">
      <c r="A271" s="19" t="s">
        <v>146</v>
      </c>
      <c r="B271" s="7"/>
    </row>
    <row r="272" spans="1:2" x14ac:dyDescent="0.3">
      <c r="A272" s="19" t="s">
        <v>147</v>
      </c>
      <c r="B272" s="7"/>
    </row>
    <row r="273" spans="1:5" x14ac:dyDescent="0.3">
      <c r="A273" s="12" t="s">
        <v>148</v>
      </c>
      <c r="B273" s="17">
        <f>B259-B260-B269</f>
        <v>0</v>
      </c>
    </row>
    <row r="279" spans="1:5" x14ac:dyDescent="0.3">
      <c r="A279" s="24"/>
    </row>
    <row r="280" spans="1:5" x14ac:dyDescent="0.3">
      <c r="A280" s="24"/>
    </row>
    <row r="281" spans="1:5" x14ac:dyDescent="0.3">
      <c r="A281" s="24"/>
    </row>
    <row r="282" spans="1:5" x14ac:dyDescent="0.3">
      <c r="A282" s="24"/>
    </row>
    <row r="283" spans="1:5" x14ac:dyDescent="0.3">
      <c r="A283" s="24"/>
    </row>
    <row r="284" spans="1:5" x14ac:dyDescent="0.3">
      <c r="A284" s="24"/>
    </row>
    <row r="285" spans="1:5" x14ac:dyDescent="0.3">
      <c r="A285" s="24"/>
    </row>
    <row r="286" spans="1:5" x14ac:dyDescent="0.3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002ED-CE04-477A-A8EE-81370A0C787A}">
  <dimension ref="A1:Y286"/>
  <sheetViews>
    <sheetView zoomScale="80" zoomScaleNormal="80" workbookViewId="0">
      <pane ySplit="1" topLeftCell="A182" activePane="bottomLeft" state="frozen"/>
      <selection pane="bottomLeft" activeCell="C187" sqref="C187"/>
    </sheetView>
  </sheetViews>
  <sheetFormatPr baseColWidth="10" defaultRowHeight="14.4" x14ac:dyDescent="0.3"/>
  <cols>
    <col min="1" max="1" width="54.5546875" customWidth="1"/>
    <col min="3" max="3" width="20" customWidth="1"/>
    <col min="4" max="4" width="11.109375" customWidth="1"/>
    <col min="5" max="6" width="8.33203125" customWidth="1"/>
    <col min="7" max="7" width="12.33203125" customWidth="1"/>
    <col min="8" max="8" width="15" customWidth="1"/>
    <col min="9" max="9" width="12.6640625" customWidth="1"/>
    <col min="10" max="10" width="9.33203125" customWidth="1"/>
    <col min="11" max="11" width="9.109375" customWidth="1"/>
    <col min="12" max="12" width="11.33203125" customWidth="1"/>
    <col min="13" max="13" width="11.109375" customWidth="1"/>
    <col min="14" max="14" width="8.33203125" customWidth="1"/>
    <col min="15" max="15" width="9.6640625" customWidth="1"/>
    <col min="16" max="16" width="18.5546875" customWidth="1"/>
    <col min="18" max="18" width="13" customWidth="1"/>
    <col min="19" max="19" width="15.6640625" customWidth="1"/>
    <col min="21" max="21" width="17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3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3">
      <c r="A3" s="5" t="s">
        <v>270</v>
      </c>
      <c r="B3" s="6">
        <v>88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30</v>
      </c>
      <c r="M3" s="7"/>
      <c r="N3" s="7">
        <f>B3+C3-D3-E3-F3</f>
        <v>88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3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3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3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3">
      <c r="A7" s="5" t="s">
        <v>260</v>
      </c>
      <c r="B7" s="6">
        <v>1</v>
      </c>
      <c r="C7" s="7"/>
      <c r="D7" s="7"/>
      <c r="E7" s="8"/>
      <c r="F7" s="8"/>
      <c r="G7" s="9">
        <v>5000</v>
      </c>
      <c r="H7" s="26"/>
      <c r="I7" s="7"/>
      <c r="J7" s="7"/>
      <c r="K7" s="7"/>
      <c r="L7" s="7">
        <v>500</v>
      </c>
      <c r="M7" s="7"/>
      <c r="N7" s="7">
        <f t="shared" si="2"/>
        <v>1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3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3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3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3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3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3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3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3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5" t="s">
        <v>27</v>
      </c>
      <c r="B20" s="6">
        <v>1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180</v>
      </c>
      <c r="M20" s="7"/>
      <c r="N20" s="7">
        <f t="shared" si="2"/>
        <v>1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160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5" t="s">
        <v>263</v>
      </c>
      <c r="B31" s="6">
        <v>0</v>
      </c>
      <c r="C31" s="7"/>
      <c r="D31" s="7"/>
      <c r="E31" s="8"/>
      <c r="F31" s="8"/>
      <c r="G31" s="9"/>
      <c r="H31" s="26">
        <f t="shared" si="0"/>
        <v>0</v>
      </c>
      <c r="I31" s="7"/>
      <c r="J31" s="7"/>
      <c r="K31" s="7"/>
      <c r="L31" s="7">
        <v>600</v>
      </c>
      <c r="M31" s="7"/>
      <c r="N31" s="7">
        <f t="shared" si="2"/>
        <v>0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>
        <f t="shared" si="0"/>
        <v>0</v>
      </c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5" t="s">
        <v>294</v>
      </c>
      <c r="B33" s="6">
        <v>9</v>
      </c>
      <c r="C33" s="7"/>
      <c r="D33" s="7"/>
      <c r="E33" s="8">
        <v>1</v>
      </c>
      <c r="F33" s="8"/>
      <c r="G33" s="9">
        <v>1000</v>
      </c>
      <c r="H33" s="26">
        <f t="shared" si="0"/>
        <v>1000</v>
      </c>
      <c r="I33" s="7">
        <v>1500</v>
      </c>
      <c r="J33" s="7">
        <v>25</v>
      </c>
      <c r="K33" s="7"/>
      <c r="L33" s="7">
        <v>45</v>
      </c>
      <c r="M33" s="7"/>
      <c r="N33" s="7">
        <f t="shared" si="2"/>
        <v>8</v>
      </c>
      <c r="O33" s="7">
        <f t="shared" si="1"/>
        <v>45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3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3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3">
      <c r="A36" s="5" t="s">
        <v>287</v>
      </c>
      <c r="B36" s="6">
        <v>10</v>
      </c>
      <c r="C36" s="7"/>
      <c r="D36" s="7"/>
      <c r="E36" s="8"/>
      <c r="F36" s="8"/>
      <c r="G36" s="9">
        <v>200</v>
      </c>
      <c r="H36" s="26">
        <f t="shared" si="0"/>
        <v>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3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3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3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3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3">
      <c r="A41" s="5" t="s">
        <v>235</v>
      </c>
      <c r="B41" s="6">
        <v>4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4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3">
      <c r="A42" s="5" t="s">
        <v>38</v>
      </c>
      <c r="B42" s="6">
        <v>3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3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3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3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3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3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3">
      <c r="A47" s="5" t="s">
        <v>330</v>
      </c>
      <c r="B47" s="6">
        <v>2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1200</v>
      </c>
      <c r="M47" s="7"/>
      <c r="N47" s="7">
        <f t="shared" si="2"/>
        <v>2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3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3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3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3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3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3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3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3">
      <c r="A55" s="5" t="s">
        <v>310</v>
      </c>
      <c r="B55" s="6">
        <v>2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2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3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3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3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3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3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3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3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3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3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3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3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3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3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3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3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3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3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3">
      <c r="A73" s="5" t="s">
        <v>211</v>
      </c>
      <c r="B73" s="6">
        <v>1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1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3">
      <c r="A74" s="5" t="s">
        <v>54</v>
      </c>
      <c r="B74" s="6">
        <v>1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3">
      <c r="A75" s="5" t="s">
        <v>55</v>
      </c>
      <c r="B75" s="6">
        <v>2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2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3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3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3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3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3">
      <c r="A80" s="5" t="s">
        <v>326</v>
      </c>
      <c r="B80" s="6">
        <v>2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900</v>
      </c>
      <c r="M80" s="7"/>
      <c r="N80" s="7">
        <f t="shared" si="2"/>
        <v>2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3">
      <c r="A81" s="5" t="s">
        <v>328</v>
      </c>
      <c r="B81" s="6">
        <v>1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900</v>
      </c>
      <c r="M81" s="7"/>
      <c r="N81" s="7">
        <f t="shared" si="2"/>
        <v>1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3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3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3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3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3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3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3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3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3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3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3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3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3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3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3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3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3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3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3">
      <c r="A100" s="5" t="s">
        <v>212</v>
      </c>
      <c r="B100" s="6">
        <v>8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8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3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3">
      <c r="A102" s="5" t="s">
        <v>191</v>
      </c>
      <c r="B102" s="6">
        <v>1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1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3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3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3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3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3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3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3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3">
      <c r="A110" s="5" t="s">
        <v>68</v>
      </c>
      <c r="B110" s="6">
        <v>1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1</v>
      </c>
      <c r="O110" s="7">
        <f t="shared" si="1"/>
        <v>0</v>
      </c>
      <c r="P110" s="7" t="s">
        <v>321</v>
      </c>
    </row>
    <row r="111" spans="1:21" x14ac:dyDescent="0.3">
      <c r="A111" s="5" t="s">
        <v>311</v>
      </c>
      <c r="B111" s="6">
        <v>1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1</v>
      </c>
      <c r="O111" s="7">
        <f t="shared" ref="O111:O183" si="5">E111*L111+F111*M111</f>
        <v>0</v>
      </c>
      <c r="P111" s="7"/>
    </row>
    <row r="112" spans="1:21" x14ac:dyDescent="0.3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3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3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3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3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3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3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3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3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3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3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3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3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3">
      <c r="A125" s="5" t="s">
        <v>277</v>
      </c>
      <c r="B125" s="6">
        <v>1</v>
      </c>
      <c r="C125" s="10"/>
      <c r="D125" s="7"/>
      <c r="E125" s="8">
        <v>1</v>
      </c>
      <c r="F125" s="8"/>
      <c r="G125" s="9">
        <v>3000</v>
      </c>
      <c r="H125" s="26">
        <f t="shared" si="3"/>
        <v>3000</v>
      </c>
      <c r="I125" s="7">
        <v>700</v>
      </c>
      <c r="J125" s="7">
        <v>225</v>
      </c>
      <c r="K125" s="7"/>
      <c r="L125" s="7">
        <v>310</v>
      </c>
      <c r="M125" s="7"/>
      <c r="N125" s="7">
        <f t="shared" si="4"/>
        <v>0</v>
      </c>
      <c r="O125" s="7">
        <f t="shared" si="5"/>
        <v>310</v>
      </c>
      <c r="P125" s="7"/>
    </row>
    <row r="126" spans="1:16" x14ac:dyDescent="0.3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3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3">
      <c r="A128" s="5" t="s">
        <v>76</v>
      </c>
      <c r="B128" s="6">
        <v>32</v>
      </c>
      <c r="C128" s="10"/>
      <c r="D128" s="7"/>
      <c r="E128" s="8">
        <v>1</v>
      </c>
      <c r="F128" s="8"/>
      <c r="G128" s="9">
        <v>3000</v>
      </c>
      <c r="H128" s="26">
        <f t="shared" si="3"/>
        <v>3000</v>
      </c>
      <c r="I128" s="7">
        <v>700</v>
      </c>
      <c r="J128" s="7">
        <v>170</v>
      </c>
      <c r="K128" s="7"/>
      <c r="L128" s="7">
        <v>260</v>
      </c>
      <c r="M128" s="7">
        <v>200</v>
      </c>
      <c r="N128" s="7">
        <f t="shared" si="4"/>
        <v>31</v>
      </c>
      <c r="O128" s="7">
        <f t="shared" si="5"/>
        <v>260</v>
      </c>
      <c r="P128" s="7"/>
    </row>
    <row r="129" spans="1:16" x14ac:dyDescent="0.3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3">
      <c r="A130" s="5" t="s">
        <v>77</v>
      </c>
      <c r="B130" s="6">
        <v>2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2</v>
      </c>
      <c r="O130" s="7">
        <f t="shared" si="5"/>
        <v>0</v>
      </c>
      <c r="P130" s="7"/>
    </row>
    <row r="131" spans="1:16" x14ac:dyDescent="0.3">
      <c r="A131" s="5" t="s">
        <v>276</v>
      </c>
      <c r="B131" s="6">
        <v>2</v>
      </c>
      <c r="C131" s="10"/>
      <c r="D131" s="7"/>
      <c r="E131" s="8">
        <v>2</v>
      </c>
      <c r="F131" s="8"/>
      <c r="G131" s="9">
        <v>3000</v>
      </c>
      <c r="H131" s="26">
        <f t="shared" si="3"/>
        <v>6000</v>
      </c>
      <c r="I131" s="7">
        <v>2200</v>
      </c>
      <c r="J131" s="7">
        <v>600</v>
      </c>
      <c r="K131" s="7"/>
      <c r="L131" s="7">
        <v>420</v>
      </c>
      <c r="M131" s="7"/>
      <c r="N131" s="7">
        <f t="shared" si="4"/>
        <v>0</v>
      </c>
      <c r="O131" s="7">
        <f t="shared" si="5"/>
        <v>840</v>
      </c>
      <c r="P131" s="7"/>
    </row>
    <row r="132" spans="1:16" x14ac:dyDescent="0.3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3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3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3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3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3">
      <c r="A137" s="5" t="s">
        <v>162</v>
      </c>
      <c r="B137" s="6">
        <v>5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5</v>
      </c>
      <c r="O137" s="7">
        <f t="shared" si="5"/>
        <v>0</v>
      </c>
      <c r="P137" s="7"/>
    </row>
    <row r="138" spans="1:16" x14ac:dyDescent="0.3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3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3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3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3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3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3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3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3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3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3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3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3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3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3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3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3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3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3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3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3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3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3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3">
      <c r="A161" s="5" t="s">
        <v>193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3">
      <c r="A162" s="5" t="s">
        <v>332</v>
      </c>
      <c r="B162" s="6">
        <v>27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195</v>
      </c>
      <c r="M162" s="7"/>
      <c r="N162" s="7">
        <f t="shared" si="4"/>
        <v>27</v>
      </c>
      <c r="O162" s="7">
        <f t="shared" si="5"/>
        <v>0</v>
      </c>
      <c r="P162" s="7"/>
    </row>
    <row r="163" spans="1:16" x14ac:dyDescent="0.3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230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3">
      <c r="A164" s="5" t="s">
        <v>292</v>
      </c>
      <c r="B164" s="6">
        <v>22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/>
      <c r="K164" s="7"/>
      <c r="L164" s="7">
        <v>230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3">
      <c r="A165" s="5" t="s">
        <v>297</v>
      </c>
      <c r="B165" s="6">
        <v>91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>
        <v>140</v>
      </c>
      <c r="K165" s="7"/>
      <c r="L165" s="7">
        <v>220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3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3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3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3">
      <c r="A169" s="5" t="s">
        <v>210</v>
      </c>
      <c r="B169" s="6">
        <v>4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4</v>
      </c>
      <c r="O169" s="7">
        <f t="shared" si="5"/>
        <v>0</v>
      </c>
      <c r="P169" s="7"/>
    </row>
    <row r="170" spans="1:16" x14ac:dyDescent="0.3">
      <c r="A170" s="5" t="s">
        <v>234</v>
      </c>
      <c r="B170" s="6">
        <v>0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0</v>
      </c>
      <c r="O170" s="7">
        <f t="shared" si="5"/>
        <v>0</v>
      </c>
      <c r="P170" s="7"/>
    </row>
    <row r="171" spans="1:16" x14ac:dyDescent="0.3">
      <c r="A171" s="5" t="s">
        <v>331</v>
      </c>
      <c r="B171" s="6">
        <v>1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1</v>
      </c>
      <c r="O171" s="7">
        <f t="shared" si="5"/>
        <v>0</v>
      </c>
      <c r="P171" s="7"/>
    </row>
    <row r="172" spans="1:16" x14ac:dyDescent="0.3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3">
      <c r="A173" s="5" t="s">
        <v>93</v>
      </c>
      <c r="B173" s="6">
        <v>3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3</v>
      </c>
      <c r="O173" s="7">
        <f t="shared" si="5"/>
        <v>0</v>
      </c>
      <c r="P173" s="7"/>
    </row>
    <row r="174" spans="1:16" x14ac:dyDescent="0.3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3">
      <c r="A175" s="5" t="s">
        <v>222</v>
      </c>
      <c r="B175" s="6">
        <v>2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2</v>
      </c>
      <c r="O175" s="7">
        <f t="shared" si="5"/>
        <v>0</v>
      </c>
      <c r="P175" s="7"/>
    </row>
    <row r="176" spans="1:16" x14ac:dyDescent="0.3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3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3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3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3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3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3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3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3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3">
      <c r="A185" s="5" t="s">
        <v>98</v>
      </c>
      <c r="B185" s="6">
        <v>3</v>
      </c>
      <c r="C185" s="10"/>
      <c r="D185" s="7"/>
      <c r="E185" s="8">
        <v>1</v>
      </c>
      <c r="F185" s="8"/>
      <c r="G185" s="9">
        <v>3000</v>
      </c>
      <c r="H185" s="26">
        <f t="shared" ref="H185:H193" si="9">(E185+F185)*G185</f>
        <v>3000</v>
      </c>
      <c r="I185" s="7">
        <v>700</v>
      </c>
      <c r="J185" s="7">
        <v>250</v>
      </c>
      <c r="K185" s="7"/>
      <c r="L185" s="7">
        <v>375</v>
      </c>
      <c r="M185" s="7"/>
      <c r="N185" s="7">
        <f t="shared" si="7"/>
        <v>2</v>
      </c>
      <c r="O185" s="7">
        <f t="shared" si="8"/>
        <v>375</v>
      </c>
      <c r="P185" s="7"/>
    </row>
    <row r="186" spans="1:16" x14ac:dyDescent="0.3">
      <c r="A186" s="5" t="s">
        <v>189</v>
      </c>
      <c r="B186" s="6">
        <v>9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295</v>
      </c>
      <c r="M186" s="7"/>
      <c r="N186" s="7">
        <f t="shared" si="7"/>
        <v>9</v>
      </c>
      <c r="O186" s="7">
        <f t="shared" si="8"/>
        <v>0</v>
      </c>
      <c r="P186" s="7"/>
    </row>
    <row r="187" spans="1:16" x14ac:dyDescent="0.3">
      <c r="A187" s="5" t="s">
        <v>333</v>
      </c>
      <c r="B187" s="6">
        <v>3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630</v>
      </c>
      <c r="M187" s="7"/>
      <c r="N187" s="7">
        <f t="shared" si="7"/>
        <v>3</v>
      </c>
      <c r="O187" s="7">
        <f t="shared" si="8"/>
        <v>0</v>
      </c>
      <c r="P187" s="7"/>
    </row>
    <row r="188" spans="1:16" x14ac:dyDescent="0.3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3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3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3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3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3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3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3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3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3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3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3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3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3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3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3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3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3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3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3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3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3">
      <c r="A209" s="5" t="s">
        <v>264</v>
      </c>
      <c r="B209" s="6">
        <v>12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12</v>
      </c>
      <c r="O209" s="7">
        <f t="shared" si="8"/>
        <v>0</v>
      </c>
      <c r="P209" s="7"/>
    </row>
    <row r="210" spans="1:16" x14ac:dyDescent="0.3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3">
      <c r="A211" s="5" t="s">
        <v>329</v>
      </c>
      <c r="B211" s="6">
        <v>10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65</v>
      </c>
      <c r="M211" s="7"/>
      <c r="N211" s="7">
        <f t="shared" si="7"/>
        <v>10</v>
      </c>
      <c r="O211" s="7">
        <f t="shared" si="8"/>
        <v>0</v>
      </c>
      <c r="P211" s="7"/>
    </row>
    <row r="212" spans="1:16" x14ac:dyDescent="0.3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3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3">
      <c r="A214" s="5" t="s">
        <v>266</v>
      </c>
      <c r="B214" s="6">
        <v>2</v>
      </c>
      <c r="C214" s="10"/>
      <c r="D214" s="7"/>
      <c r="E214" s="8"/>
      <c r="F214" s="8"/>
      <c r="G214" s="9">
        <v>1000</v>
      </c>
      <c r="H214" s="26"/>
      <c r="I214" s="7"/>
      <c r="J214" s="7"/>
      <c r="K214" s="7"/>
      <c r="L214" s="7">
        <v>75</v>
      </c>
      <c r="M214" s="7"/>
      <c r="N214" s="7">
        <f t="shared" si="7"/>
        <v>2</v>
      </c>
      <c r="O214" s="7">
        <f t="shared" si="8"/>
        <v>0</v>
      </c>
      <c r="P214" s="7"/>
    </row>
    <row r="215" spans="1:16" x14ac:dyDescent="0.3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3">
      <c r="A216" s="5" t="s">
        <v>265</v>
      </c>
      <c r="B216" s="6">
        <v>15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15</v>
      </c>
      <c r="O216" s="7">
        <f t="shared" si="8"/>
        <v>0</v>
      </c>
      <c r="P216" s="7"/>
    </row>
    <row r="217" spans="1:16" x14ac:dyDescent="0.3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3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3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3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3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3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3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3">
      <c r="A224" s="5" t="s">
        <v>206</v>
      </c>
      <c r="B224" s="6">
        <v>44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44</v>
      </c>
      <c r="O224" s="7"/>
      <c r="P224" s="7"/>
    </row>
    <row r="225" spans="1:16" x14ac:dyDescent="0.3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3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3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3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3">
      <c r="A229" s="12" t="s">
        <v>107</v>
      </c>
      <c r="B229" s="13">
        <v>1012</v>
      </c>
      <c r="C229" s="14"/>
      <c r="D229" s="14"/>
      <c r="E229" s="15"/>
      <c r="F229" s="15"/>
      <c r="G229" s="16"/>
      <c r="H229" s="27">
        <f>SUM(H2:H219)</f>
        <v>16000</v>
      </c>
      <c r="I229" s="17">
        <f>SUM(I2:I218)</f>
        <v>5800</v>
      </c>
      <c r="J229" s="17"/>
      <c r="K229" s="17">
        <f>SUM(K2:K218)</f>
        <v>0</v>
      </c>
      <c r="L229" s="17"/>
      <c r="M229" s="17"/>
      <c r="N229" s="30">
        <f>SUM(N2:N228)</f>
        <v>1010</v>
      </c>
      <c r="O229" s="17">
        <f>SUM(O2:O228)</f>
        <v>1830</v>
      </c>
      <c r="P229" s="17">
        <f>SUM(P2:P228)</f>
        <v>-6</v>
      </c>
    </row>
    <row r="230" spans="1:16" x14ac:dyDescent="0.3">
      <c r="A230" s="18" t="s">
        <v>108</v>
      </c>
      <c r="B230" s="18">
        <f>O229</f>
        <v>1830</v>
      </c>
      <c r="C230" s="2" t="s">
        <v>109</v>
      </c>
      <c r="D230" s="2" t="s">
        <v>110</v>
      </c>
      <c r="N230" s="31"/>
    </row>
    <row r="231" spans="1:16" x14ac:dyDescent="0.3">
      <c r="A231" s="19" t="s">
        <v>111</v>
      </c>
      <c r="B231" s="20">
        <f>(C231+D231)/690</f>
        <v>144.92753623188406</v>
      </c>
      <c r="C231" s="8">
        <v>100000</v>
      </c>
      <c r="D231" s="8"/>
    </row>
    <row r="232" spans="1:16" x14ac:dyDescent="0.3">
      <c r="A232" s="19" t="s">
        <v>14</v>
      </c>
      <c r="B232" s="21">
        <v>150</v>
      </c>
      <c r="C232" s="8" t="s">
        <v>126</v>
      </c>
      <c r="D232" s="8"/>
    </row>
    <row r="233" spans="1:16" x14ac:dyDescent="0.3">
      <c r="A233" s="19" t="s">
        <v>112</v>
      </c>
      <c r="B233" s="20">
        <f>D233/690</f>
        <v>0</v>
      </c>
      <c r="C233" s="8"/>
      <c r="D233" s="8"/>
    </row>
    <row r="234" spans="1:16" x14ac:dyDescent="0.3">
      <c r="A234" s="19" t="s">
        <v>113</v>
      </c>
      <c r="B234" s="20"/>
      <c r="C234" s="8"/>
      <c r="D234" s="8"/>
    </row>
    <row r="235" spans="1:16" x14ac:dyDescent="0.3">
      <c r="A235" s="12" t="s">
        <v>114</v>
      </c>
      <c r="B235" s="22">
        <f>B230+B231+B233+B234+B232</f>
        <v>2124.927536231884</v>
      </c>
      <c r="C235" s="8"/>
      <c r="D235" s="8"/>
    </row>
    <row r="236" spans="1:16" x14ac:dyDescent="0.3">
      <c r="A236" s="19" t="s">
        <v>6</v>
      </c>
      <c r="B236" s="20">
        <f>D236/690</f>
        <v>0</v>
      </c>
      <c r="C236" s="8"/>
      <c r="D236" s="8"/>
    </row>
    <row r="237" spans="1:16" x14ac:dyDescent="0.3">
      <c r="A237" s="19" t="s">
        <v>115</v>
      </c>
      <c r="B237" s="20">
        <f>C237/690</f>
        <v>8.4057971014492754</v>
      </c>
      <c r="C237" s="8">
        <v>5800</v>
      </c>
      <c r="D237" s="8"/>
    </row>
    <row r="238" spans="1:16" x14ac:dyDescent="0.3">
      <c r="A238" s="19" t="s">
        <v>64</v>
      </c>
      <c r="B238" s="20">
        <f>C238/690</f>
        <v>5.7971014492753623</v>
      </c>
      <c r="C238" s="8">
        <v>4000</v>
      </c>
      <c r="D238" s="8"/>
    </row>
    <row r="239" spans="1:16" x14ac:dyDescent="0.3">
      <c r="A239" s="19" t="s">
        <v>116</v>
      </c>
      <c r="B239" s="20"/>
      <c r="C239" s="8"/>
      <c r="D239" s="8"/>
    </row>
    <row r="240" spans="1:16" x14ac:dyDescent="0.3">
      <c r="A240" s="12" t="s">
        <v>117</v>
      </c>
      <c r="B240" s="20">
        <f>B236+B237+B238+B239</f>
        <v>14.202898550724637</v>
      </c>
      <c r="C240" s="8"/>
      <c r="D240" s="8"/>
    </row>
    <row r="241" spans="1:6" x14ac:dyDescent="0.3">
      <c r="A241" s="12" t="s">
        <v>118</v>
      </c>
      <c r="B241" s="22">
        <f>B235-B240</f>
        <v>2110.7246376811595</v>
      </c>
      <c r="C241" s="8"/>
      <c r="D241" s="8"/>
    </row>
    <row r="242" spans="1:6" x14ac:dyDescent="0.3">
      <c r="A242" s="19" t="s">
        <v>119</v>
      </c>
      <c r="B242" s="20">
        <f>C242/690</f>
        <v>0</v>
      </c>
      <c r="C242" s="8"/>
      <c r="D242" s="8"/>
    </row>
    <row r="243" spans="1:6" x14ac:dyDescent="0.3">
      <c r="A243" s="19" t="s">
        <v>120</v>
      </c>
      <c r="B243" s="20"/>
      <c r="C243" s="8"/>
      <c r="D243" s="8"/>
    </row>
    <row r="244" spans="1:6" x14ac:dyDescent="0.3">
      <c r="A244" s="19" t="s">
        <v>121</v>
      </c>
      <c r="B244" s="20">
        <f>C244/2</f>
        <v>0</v>
      </c>
      <c r="C244" s="8"/>
      <c r="D244" s="8"/>
    </row>
    <row r="245" spans="1:6" x14ac:dyDescent="0.3">
      <c r="A245" s="12" t="s">
        <v>122</v>
      </c>
      <c r="B245" s="22">
        <f>B242+B243+B244</f>
        <v>0</v>
      </c>
      <c r="C245" s="8"/>
      <c r="D245" s="8"/>
    </row>
    <row r="246" spans="1:6" x14ac:dyDescent="0.3">
      <c r="A246" s="19" t="s">
        <v>123</v>
      </c>
      <c r="B246" s="20">
        <v>1335</v>
      </c>
      <c r="C246" s="8"/>
      <c r="D246" s="8"/>
    </row>
    <row r="247" spans="1:6" x14ac:dyDescent="0.3">
      <c r="A247" s="19" t="s">
        <v>36</v>
      </c>
      <c r="B247" s="20">
        <v>645</v>
      </c>
      <c r="C247" s="8"/>
      <c r="D247" s="8"/>
    </row>
    <row r="248" spans="1:6" x14ac:dyDescent="0.3">
      <c r="A248" s="19" t="s">
        <v>124</v>
      </c>
      <c r="B248" s="20">
        <f>C248/2.3</f>
        <v>0</v>
      </c>
      <c r="C248" s="8"/>
      <c r="D248" s="8"/>
    </row>
    <row r="249" spans="1:6" x14ac:dyDescent="0.3">
      <c r="A249" s="19" t="s">
        <v>125</v>
      </c>
      <c r="B249" s="20">
        <f>C249/690</f>
        <v>130.72463768115941</v>
      </c>
      <c r="C249" s="8">
        <v>90200</v>
      </c>
      <c r="D249" s="8"/>
      <c r="F249" t="s">
        <v>126</v>
      </c>
    </row>
    <row r="250" spans="1:6" x14ac:dyDescent="0.3">
      <c r="A250" s="19" t="s">
        <v>127</v>
      </c>
      <c r="B250" s="20">
        <f>D250/690</f>
        <v>0</v>
      </c>
      <c r="C250" s="8"/>
      <c r="D250" s="8"/>
    </row>
    <row r="251" spans="1:6" x14ac:dyDescent="0.3">
      <c r="A251" s="12" t="s">
        <v>128</v>
      </c>
      <c r="B251" s="22">
        <f>B246+B247+B248+B249+B250</f>
        <v>2110.7246376811595</v>
      </c>
      <c r="C251" s="8"/>
      <c r="D251" s="8"/>
    </row>
    <row r="252" spans="1:6" x14ac:dyDescent="0.3">
      <c r="A252" s="19" t="s">
        <v>129</v>
      </c>
      <c r="B252" s="20">
        <f>C252/690</f>
        <v>0</v>
      </c>
      <c r="C252" s="8"/>
      <c r="D252" s="8"/>
    </row>
    <row r="253" spans="1:6" x14ac:dyDescent="0.3">
      <c r="A253" s="12" t="s">
        <v>107</v>
      </c>
      <c r="B253" s="22">
        <f>B252</f>
        <v>0</v>
      </c>
      <c r="C253" s="8"/>
      <c r="D253" s="8"/>
    </row>
    <row r="254" spans="1:6" x14ac:dyDescent="0.3">
      <c r="A254" s="12" t="s">
        <v>130</v>
      </c>
      <c r="B254" s="20">
        <f>B241-B245-B251-B253</f>
        <v>0</v>
      </c>
      <c r="C254" s="8" t="s">
        <v>126</v>
      </c>
      <c r="D254" s="8"/>
    </row>
    <row r="256" spans="1:6" x14ac:dyDescent="0.3">
      <c r="A256" s="12" t="s">
        <v>131</v>
      </c>
      <c r="B256" s="23" t="s">
        <v>10</v>
      </c>
    </row>
    <row r="257" spans="1:2" x14ac:dyDescent="0.3">
      <c r="A257" s="12" t="s">
        <v>132</v>
      </c>
      <c r="B257" s="7"/>
    </row>
    <row r="258" spans="1:2" x14ac:dyDescent="0.3">
      <c r="A258" s="19" t="s">
        <v>133</v>
      </c>
      <c r="B258" s="7"/>
    </row>
    <row r="259" spans="1:2" x14ac:dyDescent="0.3">
      <c r="A259" s="12" t="s">
        <v>134</v>
      </c>
      <c r="B259" s="17">
        <f>B257-B258</f>
        <v>0</v>
      </c>
    </row>
    <row r="260" spans="1:2" x14ac:dyDescent="0.3">
      <c r="A260" s="12" t="s">
        <v>135</v>
      </c>
      <c r="B260" s="17">
        <f>B261+B262+B263+B264+B265+B266+B267+B268</f>
        <v>0</v>
      </c>
    </row>
    <row r="261" spans="1:2" x14ac:dyDescent="0.3">
      <c r="A261" s="19" t="s">
        <v>136</v>
      </c>
      <c r="B261" s="7"/>
    </row>
    <row r="262" spans="1:2" x14ac:dyDescent="0.3">
      <c r="A262" s="19" t="s">
        <v>137</v>
      </c>
      <c r="B262" s="7"/>
    </row>
    <row r="263" spans="1:2" x14ac:dyDescent="0.3">
      <c r="A263" s="19" t="s">
        <v>138</v>
      </c>
      <c r="B263" s="7"/>
    </row>
    <row r="264" spans="1:2" x14ac:dyDescent="0.3">
      <c r="A264" s="19" t="s">
        <v>139</v>
      </c>
      <c r="B264" s="7"/>
    </row>
    <row r="265" spans="1:2" x14ac:dyDescent="0.3">
      <c r="A265" s="19" t="s">
        <v>140</v>
      </c>
      <c r="B265" s="7"/>
    </row>
    <row r="266" spans="1:2" x14ac:dyDescent="0.3">
      <c r="A266" s="19" t="s">
        <v>141</v>
      </c>
      <c r="B266" s="7"/>
    </row>
    <row r="267" spans="1:2" x14ac:dyDescent="0.3">
      <c r="A267" s="19" t="s">
        <v>142</v>
      </c>
      <c r="B267" s="7"/>
    </row>
    <row r="268" spans="1:2" x14ac:dyDescent="0.3">
      <c r="A268" s="19" t="s">
        <v>143</v>
      </c>
      <c r="B268" s="7"/>
    </row>
    <row r="269" spans="1:2" x14ac:dyDescent="0.3">
      <c r="A269" s="12" t="s">
        <v>144</v>
      </c>
      <c r="B269" s="17">
        <f>B270+B271+B272</f>
        <v>0</v>
      </c>
    </row>
    <row r="270" spans="1:2" x14ac:dyDescent="0.3">
      <c r="A270" s="19" t="s">
        <v>145</v>
      </c>
      <c r="B270" s="7"/>
    </row>
    <row r="271" spans="1:2" x14ac:dyDescent="0.3">
      <c r="A271" s="19" t="s">
        <v>146</v>
      </c>
      <c r="B271" s="7"/>
    </row>
    <row r="272" spans="1:2" x14ac:dyDescent="0.3">
      <c r="A272" s="19" t="s">
        <v>147</v>
      </c>
      <c r="B272" s="7"/>
    </row>
    <row r="273" spans="1:5" x14ac:dyDescent="0.3">
      <c r="A273" s="12" t="s">
        <v>148</v>
      </c>
      <c r="B273" s="17">
        <f>B259-B260-B269</f>
        <v>0</v>
      </c>
    </row>
    <row r="279" spans="1:5" x14ac:dyDescent="0.3">
      <c r="A279" s="24"/>
    </row>
    <row r="280" spans="1:5" x14ac:dyDescent="0.3">
      <c r="A280" s="24"/>
    </row>
    <row r="281" spans="1:5" x14ac:dyDescent="0.3">
      <c r="A281" s="24"/>
    </row>
    <row r="282" spans="1:5" x14ac:dyDescent="0.3">
      <c r="A282" s="24"/>
    </row>
    <row r="283" spans="1:5" x14ac:dyDescent="0.3">
      <c r="A283" s="24"/>
    </row>
    <row r="284" spans="1:5" x14ac:dyDescent="0.3">
      <c r="A284" s="24"/>
    </row>
    <row r="285" spans="1:5" x14ac:dyDescent="0.3">
      <c r="A285" s="24"/>
    </row>
    <row r="286" spans="1:5" x14ac:dyDescent="0.3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3387-761C-405E-82B7-77299BDF3EA8}">
  <dimension ref="A1:Y286"/>
  <sheetViews>
    <sheetView zoomScale="80" zoomScaleNormal="80" workbookViewId="0">
      <pane ySplit="1" topLeftCell="A173" activePane="bottomLeft" state="frozen"/>
      <selection pane="bottomLeft" activeCell="C187" sqref="C187"/>
    </sheetView>
  </sheetViews>
  <sheetFormatPr baseColWidth="10" defaultRowHeight="14.4" x14ac:dyDescent="0.3"/>
  <cols>
    <col min="1" max="1" width="54.5546875" customWidth="1"/>
    <col min="3" max="3" width="20" customWidth="1"/>
    <col min="4" max="4" width="11.109375" customWidth="1"/>
    <col min="5" max="6" width="8.33203125" customWidth="1"/>
    <col min="7" max="7" width="12.33203125" customWidth="1"/>
    <col min="8" max="8" width="15" customWidth="1"/>
    <col min="9" max="9" width="12.6640625" customWidth="1"/>
    <col min="10" max="10" width="9.33203125" customWidth="1"/>
    <col min="11" max="11" width="9.109375" customWidth="1"/>
    <col min="12" max="12" width="11.33203125" customWidth="1"/>
    <col min="13" max="13" width="11.109375" customWidth="1"/>
    <col min="14" max="14" width="8.33203125" customWidth="1"/>
    <col min="15" max="15" width="9.6640625" customWidth="1"/>
    <col min="16" max="16" width="18.5546875" customWidth="1"/>
    <col min="18" max="18" width="13" customWidth="1"/>
    <col min="19" max="19" width="15.6640625" customWidth="1"/>
    <col min="21" max="21" width="17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3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3">
      <c r="A3" s="5" t="s">
        <v>270</v>
      </c>
      <c r="B3" s="6">
        <v>88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30</v>
      </c>
      <c r="M3" s="7"/>
      <c r="N3" s="7">
        <f>B3+C3-D3-E3-F3</f>
        <v>88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3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3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3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3">
      <c r="A7" s="5" t="s">
        <v>260</v>
      </c>
      <c r="B7" s="6">
        <v>1</v>
      </c>
      <c r="C7" s="7"/>
      <c r="D7" s="7"/>
      <c r="E7" s="8"/>
      <c r="F7" s="8"/>
      <c r="G7" s="9">
        <v>5000</v>
      </c>
      <c r="H7" s="26"/>
      <c r="I7" s="7"/>
      <c r="J7" s="7"/>
      <c r="K7" s="7"/>
      <c r="L7" s="7">
        <v>500</v>
      </c>
      <c r="M7" s="7"/>
      <c r="N7" s="7">
        <f t="shared" si="2"/>
        <v>1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3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3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3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3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3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3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3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3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5" t="s">
        <v>27</v>
      </c>
      <c r="B20" s="6">
        <v>1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180</v>
      </c>
      <c r="M20" s="7"/>
      <c r="N20" s="7">
        <f t="shared" si="2"/>
        <v>1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160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5" t="s">
        <v>263</v>
      </c>
      <c r="B31" s="6">
        <v>0</v>
      </c>
      <c r="C31" s="7"/>
      <c r="D31" s="7"/>
      <c r="E31" s="8"/>
      <c r="F31" s="8"/>
      <c r="G31" s="9"/>
      <c r="H31" s="26">
        <f t="shared" si="0"/>
        <v>0</v>
      </c>
      <c r="I31" s="7"/>
      <c r="J31" s="7"/>
      <c r="K31" s="7"/>
      <c r="L31" s="7">
        <v>600</v>
      </c>
      <c r="M31" s="7"/>
      <c r="N31" s="7">
        <f t="shared" si="2"/>
        <v>0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>
        <f t="shared" si="0"/>
        <v>0</v>
      </c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5" t="s">
        <v>294</v>
      </c>
      <c r="B33" s="6">
        <v>8</v>
      </c>
      <c r="C33" s="7"/>
      <c r="D33" s="7">
        <v>1</v>
      </c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7</v>
      </c>
      <c r="O33" s="7">
        <f t="shared" si="1"/>
        <v>0</v>
      </c>
      <c r="P33" s="7" t="s">
        <v>316</v>
      </c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3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3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3">
      <c r="A36" s="5" t="s">
        <v>287</v>
      </c>
      <c r="B36" s="6">
        <v>10</v>
      </c>
      <c r="C36" s="7"/>
      <c r="D36" s="7"/>
      <c r="E36" s="8"/>
      <c r="F36" s="8"/>
      <c r="G36" s="9">
        <v>200</v>
      </c>
      <c r="H36" s="26">
        <f t="shared" si="0"/>
        <v>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3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3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3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3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3">
      <c r="A41" s="5" t="s">
        <v>235</v>
      </c>
      <c r="B41" s="6">
        <v>4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4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3">
      <c r="A42" s="5" t="s">
        <v>38</v>
      </c>
      <c r="B42" s="6">
        <v>3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3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3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3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3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3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3">
      <c r="A47" s="5" t="s">
        <v>330</v>
      </c>
      <c r="B47" s="6">
        <v>2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1200</v>
      </c>
      <c r="M47" s="7"/>
      <c r="N47" s="7">
        <f t="shared" si="2"/>
        <v>2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3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3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3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3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3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3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3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3">
      <c r="A55" s="5" t="s">
        <v>310</v>
      </c>
      <c r="B55" s="6">
        <v>2</v>
      </c>
      <c r="C55" s="7"/>
      <c r="D55" s="7"/>
      <c r="E55" s="8">
        <v>1</v>
      </c>
      <c r="F55" s="8"/>
      <c r="G55" s="9">
        <v>4000</v>
      </c>
      <c r="H55" s="26"/>
      <c r="I55" s="7">
        <v>700</v>
      </c>
      <c r="J55" s="7"/>
      <c r="K55" s="7"/>
      <c r="L55" s="7">
        <v>510</v>
      </c>
      <c r="M55" s="7"/>
      <c r="N55" s="7">
        <f t="shared" si="2"/>
        <v>1</v>
      </c>
      <c r="O55" s="7">
        <f t="shared" si="1"/>
        <v>510</v>
      </c>
      <c r="P55" s="7"/>
      <c r="R55" s="4"/>
      <c r="S55" s="4"/>
      <c r="T55" s="4"/>
      <c r="U55" s="4"/>
    </row>
    <row r="56" spans="1:21" x14ac:dyDescent="0.3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3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3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3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3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3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3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3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3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3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3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3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3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3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3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3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3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3">
      <c r="A73" s="5" t="s">
        <v>211</v>
      </c>
      <c r="B73" s="6">
        <v>1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1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3">
      <c r="A74" s="5" t="s">
        <v>54</v>
      </c>
      <c r="B74" s="6">
        <v>1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3">
      <c r="A75" s="5" t="s">
        <v>55</v>
      </c>
      <c r="B75" s="6">
        <v>2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2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3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3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3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3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3">
      <c r="A80" s="5" t="s">
        <v>326</v>
      </c>
      <c r="B80" s="6">
        <v>2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900</v>
      </c>
      <c r="M80" s="7"/>
      <c r="N80" s="7">
        <f t="shared" si="2"/>
        <v>2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3">
      <c r="A81" s="5" t="s">
        <v>328</v>
      </c>
      <c r="B81" s="6">
        <v>1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900</v>
      </c>
      <c r="M81" s="7"/>
      <c r="N81" s="7">
        <f t="shared" si="2"/>
        <v>1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3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3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3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3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3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3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3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3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3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3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3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3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3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3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3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3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3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3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3">
      <c r="A100" s="5" t="s">
        <v>212</v>
      </c>
      <c r="B100" s="6">
        <v>8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8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3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3">
      <c r="A102" s="5" t="s">
        <v>191</v>
      </c>
      <c r="B102" s="6">
        <v>1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1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3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3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3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3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3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3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3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3">
      <c r="A110" s="5" t="s">
        <v>68</v>
      </c>
      <c r="B110" s="6">
        <v>1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1</v>
      </c>
      <c r="O110" s="7">
        <f t="shared" si="1"/>
        <v>0</v>
      </c>
      <c r="P110" s="7" t="s">
        <v>321</v>
      </c>
    </row>
    <row r="111" spans="1:21" x14ac:dyDescent="0.3">
      <c r="A111" s="5" t="s">
        <v>311</v>
      </c>
      <c r="B111" s="6">
        <v>1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1</v>
      </c>
      <c r="O111" s="7">
        <f t="shared" ref="O111:O183" si="5">E111*L111+F111*M111</f>
        <v>0</v>
      </c>
      <c r="P111" s="7"/>
    </row>
    <row r="112" spans="1:21" x14ac:dyDescent="0.3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3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3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3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3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3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3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3">
      <c r="A119" s="5" t="s">
        <v>290</v>
      </c>
      <c r="B119" s="6">
        <v>4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4</v>
      </c>
      <c r="O119" s="7">
        <f t="shared" si="5"/>
        <v>0</v>
      </c>
      <c r="P119" s="7"/>
    </row>
    <row r="120" spans="1:16" x14ac:dyDescent="0.3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3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3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3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3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3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310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3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3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3">
      <c r="A128" s="5" t="s">
        <v>76</v>
      </c>
      <c r="B128" s="6">
        <v>31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260</v>
      </c>
      <c r="M128" s="7">
        <v>200</v>
      </c>
      <c r="N128" s="7">
        <f t="shared" si="4"/>
        <v>31</v>
      </c>
      <c r="O128" s="7">
        <f t="shared" si="5"/>
        <v>0</v>
      </c>
      <c r="P128" s="7"/>
    </row>
    <row r="129" spans="1:16" x14ac:dyDescent="0.3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3">
      <c r="A130" s="5" t="s">
        <v>77</v>
      </c>
      <c r="B130" s="6">
        <v>2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2</v>
      </c>
      <c r="O130" s="7">
        <f t="shared" si="5"/>
        <v>0</v>
      </c>
      <c r="P130" s="7"/>
    </row>
    <row r="131" spans="1:16" x14ac:dyDescent="0.3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420</v>
      </c>
      <c r="M131" s="7"/>
      <c r="N131" s="7">
        <f t="shared" si="4"/>
        <v>0</v>
      </c>
      <c r="O131" s="7">
        <f t="shared" si="5"/>
        <v>0</v>
      </c>
      <c r="P131" s="7"/>
    </row>
    <row r="132" spans="1:16" x14ac:dyDescent="0.3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3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3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3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3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3">
      <c r="A137" s="5" t="s">
        <v>162</v>
      </c>
      <c r="B137" s="6">
        <v>5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5</v>
      </c>
      <c r="O137" s="7">
        <f t="shared" si="5"/>
        <v>0</v>
      </c>
      <c r="P137" s="7"/>
    </row>
    <row r="138" spans="1:16" x14ac:dyDescent="0.3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3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3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3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3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3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3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3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3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3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3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3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3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3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3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3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3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3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3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3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3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3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3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3">
      <c r="A161" s="5" t="s">
        <v>193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3">
      <c r="A162" s="5" t="s">
        <v>332</v>
      </c>
      <c r="B162" s="6">
        <v>27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195</v>
      </c>
      <c r="M162" s="7"/>
      <c r="N162" s="7">
        <f t="shared" si="4"/>
        <v>27</v>
      </c>
      <c r="O162" s="7">
        <f t="shared" si="5"/>
        <v>0</v>
      </c>
      <c r="P162" s="7"/>
    </row>
    <row r="163" spans="1:16" x14ac:dyDescent="0.3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230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3">
      <c r="A164" s="5" t="s">
        <v>292</v>
      </c>
      <c r="B164" s="6">
        <v>22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/>
      <c r="K164" s="7"/>
      <c r="L164" s="7">
        <v>230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3">
      <c r="A165" s="5" t="s">
        <v>297</v>
      </c>
      <c r="B165" s="6">
        <v>91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>
        <v>140</v>
      </c>
      <c r="K165" s="7"/>
      <c r="L165" s="7">
        <v>220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3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3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3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3">
      <c r="A169" s="5" t="s">
        <v>210</v>
      </c>
      <c r="B169" s="6">
        <v>4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4</v>
      </c>
      <c r="O169" s="7">
        <f t="shared" si="5"/>
        <v>0</v>
      </c>
      <c r="P169" s="7"/>
    </row>
    <row r="170" spans="1:16" x14ac:dyDescent="0.3">
      <c r="A170" s="5" t="s">
        <v>234</v>
      </c>
      <c r="B170" s="6">
        <v>0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0</v>
      </c>
      <c r="O170" s="7">
        <f t="shared" si="5"/>
        <v>0</v>
      </c>
      <c r="P170" s="7"/>
    </row>
    <row r="171" spans="1:16" x14ac:dyDescent="0.3">
      <c r="A171" s="5" t="s">
        <v>331</v>
      </c>
      <c r="B171" s="6">
        <v>1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1</v>
      </c>
      <c r="O171" s="7">
        <f t="shared" si="5"/>
        <v>0</v>
      </c>
      <c r="P171" s="7"/>
    </row>
    <row r="172" spans="1:16" x14ac:dyDescent="0.3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3">
      <c r="A173" s="5" t="s">
        <v>93</v>
      </c>
      <c r="B173" s="6">
        <v>3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3</v>
      </c>
      <c r="O173" s="7">
        <f t="shared" si="5"/>
        <v>0</v>
      </c>
      <c r="P173" s="7"/>
    </row>
    <row r="174" spans="1:16" x14ac:dyDescent="0.3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3">
      <c r="A175" s="5" t="s">
        <v>222</v>
      </c>
      <c r="B175" s="6">
        <v>2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2</v>
      </c>
      <c r="O175" s="7">
        <f t="shared" si="5"/>
        <v>0</v>
      </c>
      <c r="P175" s="7"/>
    </row>
    <row r="176" spans="1:16" x14ac:dyDescent="0.3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3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3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3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3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3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3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3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3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3">
      <c r="A185" s="5" t="s">
        <v>98</v>
      </c>
      <c r="B185" s="6">
        <v>2</v>
      </c>
      <c r="C185" s="10"/>
      <c r="D185" s="7"/>
      <c r="E185" s="8"/>
      <c r="F185" s="8"/>
      <c r="G185" s="9">
        <v>3000</v>
      </c>
      <c r="H185" s="26">
        <f t="shared" ref="H185:H193" si="9">(E185+F185)*G185</f>
        <v>0</v>
      </c>
      <c r="I185" s="7"/>
      <c r="J185" s="7">
        <v>250</v>
      </c>
      <c r="K185" s="7"/>
      <c r="L185" s="7">
        <v>375</v>
      </c>
      <c r="M185" s="7"/>
      <c r="N185" s="7">
        <f t="shared" si="7"/>
        <v>2</v>
      </c>
      <c r="O185" s="7">
        <f t="shared" si="8"/>
        <v>0</v>
      </c>
      <c r="P185" s="7"/>
    </row>
    <row r="186" spans="1:16" x14ac:dyDescent="0.3">
      <c r="A186" s="5" t="s">
        <v>189</v>
      </c>
      <c r="B186" s="6">
        <v>9</v>
      </c>
      <c r="C186" s="10"/>
      <c r="D186" s="7"/>
      <c r="E186" s="8"/>
      <c r="F186" s="8"/>
      <c r="G186" s="9">
        <v>3000</v>
      </c>
      <c r="H186" s="26">
        <f t="shared" si="9"/>
        <v>0</v>
      </c>
      <c r="I186" s="7"/>
      <c r="J186" s="7"/>
      <c r="K186" s="7"/>
      <c r="L186" s="7">
        <v>295</v>
      </c>
      <c r="M186" s="7"/>
      <c r="N186" s="7">
        <f t="shared" si="7"/>
        <v>9</v>
      </c>
      <c r="O186" s="7">
        <f t="shared" si="8"/>
        <v>0</v>
      </c>
      <c r="P186" s="7"/>
    </row>
    <row r="187" spans="1:16" x14ac:dyDescent="0.3">
      <c r="A187" s="5" t="s">
        <v>333</v>
      </c>
      <c r="B187" s="6">
        <v>3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630</v>
      </c>
      <c r="M187" s="7"/>
      <c r="N187" s="7">
        <f t="shared" si="7"/>
        <v>3</v>
      </c>
      <c r="O187" s="7">
        <f t="shared" si="8"/>
        <v>0</v>
      </c>
      <c r="P187" s="7"/>
    </row>
    <row r="188" spans="1:16" x14ac:dyDescent="0.3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3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3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3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3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3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3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3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3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3">
      <c r="A197" s="5" t="s">
        <v>101</v>
      </c>
      <c r="B197" s="6">
        <v>2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2</v>
      </c>
      <c r="O197" s="7">
        <f t="shared" si="8"/>
        <v>0</v>
      </c>
      <c r="P197" s="7"/>
    </row>
    <row r="198" spans="1:16" x14ac:dyDescent="0.3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3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3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3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3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3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3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3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3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3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3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3">
      <c r="A209" s="5" t="s">
        <v>264</v>
      </c>
      <c r="B209" s="6">
        <v>12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12</v>
      </c>
      <c r="O209" s="7">
        <f t="shared" si="8"/>
        <v>0</v>
      </c>
      <c r="P209" s="7"/>
    </row>
    <row r="210" spans="1:16" x14ac:dyDescent="0.3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3">
      <c r="A211" s="5" t="s">
        <v>329</v>
      </c>
      <c r="B211" s="6">
        <v>10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65</v>
      </c>
      <c r="M211" s="7"/>
      <c r="N211" s="7">
        <f t="shared" si="7"/>
        <v>10</v>
      </c>
      <c r="O211" s="7">
        <f t="shared" si="8"/>
        <v>0</v>
      </c>
      <c r="P211" s="7"/>
    </row>
    <row r="212" spans="1:16" x14ac:dyDescent="0.3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3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3">
      <c r="A214" s="5" t="s">
        <v>266</v>
      </c>
      <c r="B214" s="6">
        <v>2</v>
      </c>
      <c r="C214" s="10"/>
      <c r="D214" s="7"/>
      <c r="E214" s="8"/>
      <c r="F214" s="8"/>
      <c r="G214" s="9">
        <v>1000</v>
      </c>
      <c r="H214" s="26"/>
      <c r="I214" s="7"/>
      <c r="J214" s="7"/>
      <c r="K214" s="7"/>
      <c r="L214" s="7">
        <v>75</v>
      </c>
      <c r="M214" s="7"/>
      <c r="N214" s="7">
        <f t="shared" si="7"/>
        <v>2</v>
      </c>
      <c r="O214" s="7">
        <f t="shared" si="8"/>
        <v>0</v>
      </c>
      <c r="P214" s="7"/>
    </row>
    <row r="215" spans="1:16" x14ac:dyDescent="0.3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3">
      <c r="A216" s="5" t="s">
        <v>265</v>
      </c>
      <c r="B216" s="6">
        <v>15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15</v>
      </c>
      <c r="O216" s="7">
        <f t="shared" si="8"/>
        <v>0</v>
      </c>
      <c r="P216" s="7"/>
    </row>
    <row r="217" spans="1:16" x14ac:dyDescent="0.3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3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3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3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3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3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3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3">
      <c r="A224" s="5" t="s">
        <v>206</v>
      </c>
      <c r="B224" s="6">
        <v>44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44</v>
      </c>
      <c r="O224" s="7"/>
      <c r="P224" s="7"/>
    </row>
    <row r="225" spans="1:16" x14ac:dyDescent="0.3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3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3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3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3">
      <c r="A229" s="12" t="s">
        <v>107</v>
      </c>
      <c r="B229" s="13">
        <v>1006</v>
      </c>
      <c r="C229" s="14"/>
      <c r="D229" s="14"/>
      <c r="E229" s="15"/>
      <c r="F229" s="15"/>
      <c r="G229" s="16"/>
      <c r="H229" s="27">
        <f>SUM(H2:H219)</f>
        <v>0</v>
      </c>
      <c r="I229" s="17">
        <f>SUM(I2:I218)</f>
        <v>700</v>
      </c>
      <c r="J229" s="17"/>
      <c r="K229" s="17">
        <f>SUM(K2:K218)</f>
        <v>0</v>
      </c>
      <c r="L229" s="17"/>
      <c r="M229" s="17"/>
      <c r="N229" s="30">
        <f>SUM(N2:N228)</f>
        <v>1008</v>
      </c>
      <c r="O229" s="17">
        <f>SUM(O2:O228)</f>
        <v>510</v>
      </c>
      <c r="P229" s="17">
        <f>SUM(P2:P228)</f>
        <v>-6</v>
      </c>
    </row>
    <row r="230" spans="1:16" x14ac:dyDescent="0.3">
      <c r="A230" s="18" t="s">
        <v>108</v>
      </c>
      <c r="B230" s="18">
        <f>O229</f>
        <v>510</v>
      </c>
      <c r="C230" s="2" t="s">
        <v>109</v>
      </c>
      <c r="D230" s="2" t="s">
        <v>110</v>
      </c>
      <c r="N230" s="31"/>
    </row>
    <row r="231" spans="1:16" x14ac:dyDescent="0.3">
      <c r="A231" s="19" t="s">
        <v>111</v>
      </c>
      <c r="B231" s="20">
        <f>(C231+D231)/690</f>
        <v>130.72463768115941</v>
      </c>
      <c r="C231" s="8">
        <v>90200</v>
      </c>
      <c r="D231" s="8"/>
    </row>
    <row r="232" spans="1:16" x14ac:dyDescent="0.3">
      <c r="A232" s="19" t="s">
        <v>14</v>
      </c>
      <c r="B232" s="21">
        <v>150</v>
      </c>
      <c r="C232" s="8" t="s">
        <v>126</v>
      </c>
      <c r="D232" s="8"/>
    </row>
    <row r="233" spans="1:16" x14ac:dyDescent="0.3">
      <c r="A233" s="19" t="s">
        <v>112</v>
      </c>
      <c r="B233" s="20">
        <f>D233/690</f>
        <v>0</v>
      </c>
      <c r="C233" s="8"/>
      <c r="D233" s="8"/>
    </row>
    <row r="234" spans="1:16" x14ac:dyDescent="0.3">
      <c r="A234" s="19" t="s">
        <v>113</v>
      </c>
      <c r="B234" s="20"/>
      <c r="C234" s="8"/>
      <c r="D234" s="8"/>
    </row>
    <row r="235" spans="1:16" x14ac:dyDescent="0.3">
      <c r="A235" s="12" t="s">
        <v>114</v>
      </c>
      <c r="B235" s="22">
        <f>B230+B231+B233+B234+B232</f>
        <v>790.72463768115938</v>
      </c>
      <c r="C235" s="8"/>
      <c r="D235" s="8"/>
    </row>
    <row r="236" spans="1:16" x14ac:dyDescent="0.3">
      <c r="A236" s="19" t="s">
        <v>6</v>
      </c>
      <c r="B236" s="20">
        <f>D236/690</f>
        <v>0</v>
      </c>
      <c r="C236" s="8"/>
      <c r="D236" s="8"/>
    </row>
    <row r="237" spans="1:16" x14ac:dyDescent="0.3">
      <c r="A237" s="19" t="s">
        <v>115</v>
      </c>
      <c r="B237" s="20">
        <f>C237/690</f>
        <v>1.0144927536231885</v>
      </c>
      <c r="C237" s="8">
        <v>700</v>
      </c>
      <c r="D237" s="8"/>
    </row>
    <row r="238" spans="1:16" x14ac:dyDescent="0.3">
      <c r="A238" s="19" t="s">
        <v>64</v>
      </c>
      <c r="B238" s="20">
        <f>C238/690</f>
        <v>58.724637681159422</v>
      </c>
      <c r="C238" s="8">
        <v>40520</v>
      </c>
      <c r="D238" s="8"/>
    </row>
    <row r="239" spans="1:16" x14ac:dyDescent="0.3">
      <c r="A239" s="19" t="s">
        <v>116</v>
      </c>
      <c r="B239" s="20"/>
      <c r="C239" s="8"/>
      <c r="D239" s="8"/>
    </row>
    <row r="240" spans="1:16" x14ac:dyDescent="0.3">
      <c r="A240" s="12" t="s">
        <v>117</v>
      </c>
      <c r="B240" s="20">
        <f>B236+B237+B238+B239</f>
        <v>59.739130434782609</v>
      </c>
      <c r="C240" s="8"/>
      <c r="D240" s="8"/>
    </row>
    <row r="241" spans="1:6" x14ac:dyDescent="0.3">
      <c r="A241" s="12" t="s">
        <v>118</v>
      </c>
      <c r="B241" s="22">
        <f>B235-B240</f>
        <v>730.98550724637676</v>
      </c>
      <c r="C241" s="8"/>
      <c r="D241" s="8"/>
    </row>
    <row r="242" spans="1:6" x14ac:dyDescent="0.3">
      <c r="A242" s="19" t="s">
        <v>119</v>
      </c>
      <c r="B242" s="20">
        <f>C242/690</f>
        <v>0</v>
      </c>
      <c r="C242" s="8"/>
      <c r="D242" s="8"/>
    </row>
    <row r="243" spans="1:6" x14ac:dyDescent="0.3">
      <c r="A243" s="19" t="s">
        <v>120</v>
      </c>
      <c r="B243" s="20"/>
      <c r="C243" s="8"/>
      <c r="D243" s="8"/>
    </row>
    <row r="244" spans="1:6" x14ac:dyDescent="0.3">
      <c r="A244" s="19" t="s">
        <v>121</v>
      </c>
      <c r="B244" s="20">
        <f>C244/2</f>
        <v>0</v>
      </c>
      <c r="C244" s="8"/>
      <c r="D244" s="8"/>
    </row>
    <row r="245" spans="1:6" x14ac:dyDescent="0.3">
      <c r="A245" s="12" t="s">
        <v>122</v>
      </c>
      <c r="B245" s="22">
        <f>B242+B243+B244</f>
        <v>0</v>
      </c>
      <c r="C245" s="8"/>
      <c r="D245" s="8"/>
    </row>
    <row r="246" spans="1:6" x14ac:dyDescent="0.3">
      <c r="A246" s="19" t="s">
        <v>123</v>
      </c>
      <c r="B246" s="20">
        <v>660</v>
      </c>
      <c r="C246" s="8"/>
      <c r="D246" s="8"/>
    </row>
    <row r="247" spans="1:6" x14ac:dyDescent="0.3">
      <c r="A247" s="19" t="s">
        <v>36</v>
      </c>
      <c r="B247" s="20"/>
      <c r="C247" s="8"/>
      <c r="D247" s="8"/>
    </row>
    <row r="248" spans="1:6" x14ac:dyDescent="0.3">
      <c r="A248" s="19" t="s">
        <v>124</v>
      </c>
      <c r="B248" s="20">
        <f>C248/2.3</f>
        <v>0</v>
      </c>
      <c r="C248" s="8"/>
      <c r="D248" s="8"/>
    </row>
    <row r="249" spans="1:6" x14ac:dyDescent="0.3">
      <c r="A249" s="19" t="s">
        <v>125</v>
      </c>
      <c r="B249" s="20">
        <f>C249/690</f>
        <v>70.985507246376812</v>
      </c>
      <c r="C249" s="8">
        <v>48980</v>
      </c>
      <c r="D249" s="8"/>
      <c r="F249" t="s">
        <v>126</v>
      </c>
    </row>
    <row r="250" spans="1:6" x14ac:dyDescent="0.3">
      <c r="A250" s="19" t="s">
        <v>127</v>
      </c>
      <c r="B250" s="20">
        <f>D250/690</f>
        <v>0</v>
      </c>
      <c r="C250" s="8"/>
      <c r="D250" s="8"/>
    </row>
    <row r="251" spans="1:6" x14ac:dyDescent="0.3">
      <c r="A251" s="12" t="s">
        <v>128</v>
      </c>
      <c r="B251" s="22">
        <f>B246+B247+B248+B249+B250</f>
        <v>730.98550724637676</v>
      </c>
      <c r="C251" s="8"/>
      <c r="D251" s="8"/>
    </row>
    <row r="252" spans="1:6" x14ac:dyDescent="0.3">
      <c r="A252" s="19" t="s">
        <v>129</v>
      </c>
      <c r="B252" s="20">
        <f>C252/690</f>
        <v>0</v>
      </c>
      <c r="C252" s="8"/>
      <c r="D252" s="8"/>
    </row>
    <row r="253" spans="1:6" x14ac:dyDescent="0.3">
      <c r="A253" s="12" t="s">
        <v>107</v>
      </c>
      <c r="B253" s="22">
        <f>B252</f>
        <v>0</v>
      </c>
      <c r="C253" s="8"/>
      <c r="D253" s="8"/>
    </row>
    <row r="254" spans="1:6" x14ac:dyDescent="0.3">
      <c r="A254" s="12" t="s">
        <v>130</v>
      </c>
      <c r="B254" s="20">
        <f>B241-B245-B251-B253</f>
        <v>0</v>
      </c>
      <c r="C254" s="8" t="s">
        <v>126</v>
      </c>
      <c r="D254" s="8"/>
    </row>
    <row r="256" spans="1:6" x14ac:dyDescent="0.3">
      <c r="A256" s="12" t="s">
        <v>131</v>
      </c>
      <c r="B256" s="23" t="s">
        <v>10</v>
      </c>
    </row>
    <row r="257" spans="1:2" x14ac:dyDescent="0.3">
      <c r="A257" s="12" t="s">
        <v>132</v>
      </c>
      <c r="B257" s="7"/>
    </row>
    <row r="258" spans="1:2" x14ac:dyDescent="0.3">
      <c r="A258" s="19" t="s">
        <v>133</v>
      </c>
      <c r="B258" s="7"/>
    </row>
    <row r="259" spans="1:2" x14ac:dyDescent="0.3">
      <c r="A259" s="12" t="s">
        <v>134</v>
      </c>
      <c r="B259" s="17">
        <f>B257-B258</f>
        <v>0</v>
      </c>
    </row>
    <row r="260" spans="1:2" x14ac:dyDescent="0.3">
      <c r="A260" s="12" t="s">
        <v>135</v>
      </c>
      <c r="B260" s="17">
        <f>B261+B262+B263+B264+B265+B266+B267+B268</f>
        <v>0</v>
      </c>
    </row>
    <row r="261" spans="1:2" x14ac:dyDescent="0.3">
      <c r="A261" s="19" t="s">
        <v>136</v>
      </c>
      <c r="B261" s="7"/>
    </row>
    <row r="262" spans="1:2" x14ac:dyDescent="0.3">
      <c r="A262" s="19" t="s">
        <v>137</v>
      </c>
      <c r="B262" s="7"/>
    </row>
    <row r="263" spans="1:2" x14ac:dyDescent="0.3">
      <c r="A263" s="19" t="s">
        <v>138</v>
      </c>
      <c r="B263" s="7"/>
    </row>
    <row r="264" spans="1:2" x14ac:dyDescent="0.3">
      <c r="A264" s="19" t="s">
        <v>139</v>
      </c>
      <c r="B264" s="7"/>
    </row>
    <row r="265" spans="1:2" x14ac:dyDescent="0.3">
      <c r="A265" s="19" t="s">
        <v>140</v>
      </c>
      <c r="B265" s="7"/>
    </row>
    <row r="266" spans="1:2" x14ac:dyDescent="0.3">
      <c r="A266" s="19" t="s">
        <v>141</v>
      </c>
      <c r="B266" s="7"/>
    </row>
    <row r="267" spans="1:2" x14ac:dyDescent="0.3">
      <c r="A267" s="19" t="s">
        <v>142</v>
      </c>
      <c r="B267" s="7"/>
    </row>
    <row r="268" spans="1:2" x14ac:dyDescent="0.3">
      <c r="A268" s="19" t="s">
        <v>143</v>
      </c>
      <c r="B268" s="7"/>
    </row>
    <row r="269" spans="1:2" x14ac:dyDescent="0.3">
      <c r="A269" s="12" t="s">
        <v>144</v>
      </c>
      <c r="B269" s="17">
        <f>B270+B271+B272</f>
        <v>0</v>
      </c>
    </row>
    <row r="270" spans="1:2" x14ac:dyDescent="0.3">
      <c r="A270" s="19" t="s">
        <v>145</v>
      </c>
      <c r="B270" s="7"/>
    </row>
    <row r="271" spans="1:2" x14ac:dyDescent="0.3">
      <c r="A271" s="19" t="s">
        <v>146</v>
      </c>
      <c r="B271" s="7"/>
    </row>
    <row r="272" spans="1:2" x14ac:dyDescent="0.3">
      <c r="A272" s="19" t="s">
        <v>147</v>
      </c>
      <c r="B272" s="7"/>
    </row>
    <row r="273" spans="1:5" x14ac:dyDescent="0.3">
      <c r="A273" s="12" t="s">
        <v>148</v>
      </c>
      <c r="B273" s="17">
        <f>B259-B260-B269</f>
        <v>0</v>
      </c>
    </row>
    <row r="279" spans="1:5" x14ac:dyDescent="0.3">
      <c r="A279" s="24"/>
    </row>
    <row r="280" spans="1:5" x14ac:dyDescent="0.3">
      <c r="A280" s="24"/>
    </row>
    <row r="281" spans="1:5" x14ac:dyDescent="0.3">
      <c r="A281" s="24"/>
    </row>
    <row r="282" spans="1:5" x14ac:dyDescent="0.3">
      <c r="A282" s="24"/>
    </row>
    <row r="283" spans="1:5" x14ac:dyDescent="0.3">
      <c r="A283" s="24"/>
    </row>
    <row r="284" spans="1:5" x14ac:dyDescent="0.3">
      <c r="A284" s="24"/>
    </row>
    <row r="285" spans="1:5" x14ac:dyDescent="0.3">
      <c r="A285" s="24"/>
    </row>
    <row r="286" spans="1:5" x14ac:dyDescent="0.3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3F82-D392-4816-9896-D0D21B2364EA}">
  <dimension ref="A1:Y286"/>
  <sheetViews>
    <sheetView zoomScale="80" zoomScaleNormal="80" workbookViewId="0">
      <pane ySplit="1" topLeftCell="A206" activePane="bottomLeft" state="frozen"/>
      <selection pane="bottomLeft" activeCell="G233" sqref="G233"/>
    </sheetView>
  </sheetViews>
  <sheetFormatPr baseColWidth="10" defaultRowHeight="14.4" x14ac:dyDescent="0.3"/>
  <cols>
    <col min="1" max="1" width="54.5546875" customWidth="1"/>
    <col min="3" max="3" width="20" customWidth="1"/>
    <col min="4" max="4" width="11.109375" customWidth="1"/>
    <col min="5" max="6" width="8.33203125" customWidth="1"/>
    <col min="7" max="7" width="12.33203125" customWidth="1"/>
    <col min="8" max="8" width="15" customWidth="1"/>
    <col min="9" max="9" width="12.6640625" customWidth="1"/>
    <col min="10" max="10" width="9.33203125" customWidth="1"/>
    <col min="11" max="11" width="9.109375" customWidth="1"/>
    <col min="12" max="12" width="11.33203125" customWidth="1"/>
    <col min="13" max="13" width="11.109375" customWidth="1"/>
    <col min="14" max="14" width="8.33203125" customWidth="1"/>
    <col min="15" max="15" width="9.6640625" customWidth="1"/>
    <col min="16" max="16" width="18.5546875" customWidth="1"/>
    <col min="18" max="18" width="13" customWidth="1"/>
    <col min="19" max="19" width="15.6640625" customWidth="1"/>
    <col min="21" max="21" width="17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3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3">
      <c r="A3" s="5" t="s">
        <v>270</v>
      </c>
      <c r="B3" s="6">
        <v>88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30</v>
      </c>
      <c r="M3" s="7"/>
      <c r="N3" s="7">
        <f>B3+C3-D3-E3-F3</f>
        <v>88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3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3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3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3">
      <c r="A7" s="5" t="s">
        <v>260</v>
      </c>
      <c r="B7" s="6">
        <v>1</v>
      </c>
      <c r="C7" s="7"/>
      <c r="D7" s="7"/>
      <c r="E7" s="8"/>
      <c r="F7" s="8"/>
      <c r="G7" s="9">
        <v>5000</v>
      </c>
      <c r="H7" s="26"/>
      <c r="I7" s="7"/>
      <c r="J7" s="7"/>
      <c r="K7" s="7"/>
      <c r="L7" s="7">
        <v>500</v>
      </c>
      <c r="M7" s="7"/>
      <c r="N7" s="7">
        <f t="shared" si="2"/>
        <v>1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3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3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3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3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3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3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3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3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5" t="s">
        <v>27</v>
      </c>
      <c r="B20" s="6">
        <v>1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180</v>
      </c>
      <c r="M20" s="7"/>
      <c r="N20" s="7">
        <f t="shared" si="2"/>
        <v>1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160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5" t="s">
        <v>307</v>
      </c>
      <c r="B28" s="6">
        <v>3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3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5" t="s">
        <v>263</v>
      </c>
      <c r="B31" s="6">
        <v>0</v>
      </c>
      <c r="C31" s="7"/>
      <c r="D31" s="7"/>
      <c r="E31" s="8"/>
      <c r="F31" s="8"/>
      <c r="G31" s="9"/>
      <c r="H31" s="26">
        <f t="shared" si="0"/>
        <v>0</v>
      </c>
      <c r="I31" s="7"/>
      <c r="J31" s="7"/>
      <c r="K31" s="7"/>
      <c r="L31" s="7">
        <v>600</v>
      </c>
      <c r="M31" s="7"/>
      <c r="N31" s="7">
        <f t="shared" si="2"/>
        <v>0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>
        <f t="shared" si="0"/>
        <v>0</v>
      </c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5" t="s">
        <v>294</v>
      </c>
      <c r="B33" s="6">
        <v>7</v>
      </c>
      <c r="C33" s="7"/>
      <c r="D33" s="7"/>
      <c r="E33" s="8">
        <v>2</v>
      </c>
      <c r="F33" s="8"/>
      <c r="G33" s="9">
        <v>1000</v>
      </c>
      <c r="H33" s="26">
        <v>1000</v>
      </c>
      <c r="I33" s="7"/>
      <c r="J33" s="7">
        <v>25</v>
      </c>
      <c r="K33" s="7"/>
      <c r="L33" s="7">
        <v>45</v>
      </c>
      <c r="M33" s="7"/>
      <c r="N33" s="7">
        <f t="shared" si="2"/>
        <v>5</v>
      </c>
      <c r="O33" s="7">
        <f t="shared" si="1"/>
        <v>90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3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3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3">
      <c r="A36" s="5" t="s">
        <v>287</v>
      </c>
      <c r="B36" s="6">
        <v>10</v>
      </c>
      <c r="C36" s="7"/>
      <c r="D36" s="7"/>
      <c r="E36" s="8"/>
      <c r="F36" s="8"/>
      <c r="G36" s="9">
        <v>200</v>
      </c>
      <c r="H36" s="26">
        <f t="shared" si="0"/>
        <v>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3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3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3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3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3">
      <c r="A41" s="5" t="s">
        <v>235</v>
      </c>
      <c r="B41" s="6">
        <v>4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4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3">
      <c r="A42" s="5" t="s">
        <v>38</v>
      </c>
      <c r="B42" s="6">
        <v>3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3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3">
      <c r="A43" s="5" t="s">
        <v>39</v>
      </c>
      <c r="B43" s="6">
        <v>5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230</v>
      </c>
      <c r="M43" s="7"/>
      <c r="N43" s="7">
        <f t="shared" si="2"/>
        <v>5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3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3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3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3">
      <c r="A47" s="5" t="s">
        <v>330</v>
      </c>
      <c r="B47" s="6">
        <v>2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1200</v>
      </c>
      <c r="M47" s="7"/>
      <c r="N47" s="7">
        <f t="shared" si="2"/>
        <v>2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3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3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3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3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3">
      <c r="A52" s="5" t="s">
        <v>151</v>
      </c>
      <c r="B52" s="6">
        <v>2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2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3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3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3">
      <c r="A55" s="5" t="s">
        <v>310</v>
      </c>
      <c r="B55" s="6">
        <v>1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1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3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3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3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3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3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3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3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3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3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3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3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3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3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3">
      <c r="A69" s="5" t="s">
        <v>278</v>
      </c>
      <c r="B69" s="6">
        <v>1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1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3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3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3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3">
      <c r="A73" s="5" t="s">
        <v>211</v>
      </c>
      <c r="B73" s="6">
        <v>1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1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3">
      <c r="A74" s="5" t="s">
        <v>54</v>
      </c>
      <c r="B74" s="6">
        <v>1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3">
      <c r="A75" s="5" t="s">
        <v>55</v>
      </c>
      <c r="B75" s="6">
        <v>2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2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3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3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3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3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3">
      <c r="A80" s="5" t="s">
        <v>326</v>
      </c>
      <c r="B80" s="6">
        <v>2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900</v>
      </c>
      <c r="M80" s="7"/>
      <c r="N80" s="7">
        <f t="shared" si="2"/>
        <v>2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3">
      <c r="A81" s="5" t="s">
        <v>328</v>
      </c>
      <c r="B81" s="6">
        <v>1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900</v>
      </c>
      <c r="M81" s="7"/>
      <c r="N81" s="7">
        <f t="shared" si="2"/>
        <v>1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3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3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3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3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3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3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3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3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3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3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3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3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3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3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3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3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3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3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3">
      <c r="A100" s="5" t="s">
        <v>212</v>
      </c>
      <c r="B100" s="6">
        <v>8</v>
      </c>
      <c r="C100" s="10"/>
      <c r="D100" s="7"/>
      <c r="E100" s="8">
        <v>1</v>
      </c>
      <c r="F100" s="8"/>
      <c r="G100" s="9">
        <v>3000</v>
      </c>
      <c r="H100" s="26">
        <f t="shared" si="3"/>
        <v>3000</v>
      </c>
      <c r="I100" s="7">
        <v>700</v>
      </c>
      <c r="J100" s="7">
        <v>190</v>
      </c>
      <c r="K100" s="7"/>
      <c r="L100" s="7">
        <v>200</v>
      </c>
      <c r="M100" s="7"/>
      <c r="N100" s="7">
        <f t="shared" si="4"/>
        <v>7</v>
      </c>
      <c r="O100" s="7">
        <f t="shared" si="1"/>
        <v>200</v>
      </c>
      <c r="P100" s="7"/>
      <c r="R100" s="4"/>
      <c r="S100" s="4"/>
      <c r="T100" s="4"/>
      <c r="U100" s="4"/>
    </row>
    <row r="101" spans="1:21" x14ac:dyDescent="0.3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3">
      <c r="A102" s="5" t="s">
        <v>191</v>
      </c>
      <c r="B102" s="6">
        <v>1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1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3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3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3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3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3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3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3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3">
      <c r="A110" s="5" t="s">
        <v>68</v>
      </c>
      <c r="B110" s="6">
        <v>1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1</v>
      </c>
      <c r="O110" s="7">
        <f t="shared" si="1"/>
        <v>0</v>
      </c>
      <c r="P110" s="7" t="s">
        <v>321</v>
      </c>
    </row>
    <row r="111" spans="1:21" x14ac:dyDescent="0.3">
      <c r="A111" s="5" t="s">
        <v>311</v>
      </c>
      <c r="B111" s="6">
        <v>1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1</v>
      </c>
      <c r="O111" s="7">
        <f t="shared" ref="O111:O183" si="5">E111*L111+F111*M111</f>
        <v>0</v>
      </c>
      <c r="P111" s="7"/>
    </row>
    <row r="112" spans="1:21" x14ac:dyDescent="0.3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3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3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3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3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3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3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3">
      <c r="A119" s="5" t="s">
        <v>290</v>
      </c>
      <c r="B119" s="6">
        <v>4</v>
      </c>
      <c r="C119" s="10"/>
      <c r="D119" s="7">
        <v>1</v>
      </c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3</v>
      </c>
      <c r="O119" s="7">
        <f t="shared" si="5"/>
        <v>0</v>
      </c>
      <c r="P119" s="7" t="s">
        <v>316</v>
      </c>
    </row>
    <row r="120" spans="1:16" x14ac:dyDescent="0.3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3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3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3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3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3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310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3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3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3">
      <c r="A128" s="5" t="s">
        <v>76</v>
      </c>
      <c r="B128" s="6">
        <v>31</v>
      </c>
      <c r="C128" s="10"/>
      <c r="D128" s="7"/>
      <c r="E128" s="8">
        <v>2</v>
      </c>
      <c r="F128" s="8"/>
      <c r="G128" s="9">
        <v>3000</v>
      </c>
      <c r="H128" s="26">
        <f t="shared" si="3"/>
        <v>6000</v>
      </c>
      <c r="I128" s="7"/>
      <c r="J128" s="7">
        <v>170</v>
      </c>
      <c r="K128" s="7"/>
      <c r="L128" s="7">
        <v>260</v>
      </c>
      <c r="M128" s="7">
        <v>200</v>
      </c>
      <c r="N128" s="7">
        <f t="shared" si="4"/>
        <v>29</v>
      </c>
      <c r="O128" s="7">
        <f t="shared" si="5"/>
        <v>520</v>
      </c>
      <c r="P128" s="7"/>
    </row>
    <row r="129" spans="1:16" x14ac:dyDescent="0.3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3">
      <c r="A130" s="5" t="s">
        <v>77</v>
      </c>
      <c r="B130" s="6">
        <v>2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2</v>
      </c>
      <c r="O130" s="7">
        <f t="shared" si="5"/>
        <v>0</v>
      </c>
      <c r="P130" s="7"/>
    </row>
    <row r="131" spans="1:16" x14ac:dyDescent="0.3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420</v>
      </c>
      <c r="M131" s="7"/>
      <c r="N131" s="7">
        <f t="shared" si="4"/>
        <v>0</v>
      </c>
      <c r="O131" s="7">
        <f t="shared" si="5"/>
        <v>0</v>
      </c>
      <c r="P131" s="7"/>
    </row>
    <row r="132" spans="1:16" x14ac:dyDescent="0.3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3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3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3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3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3">
      <c r="A137" s="5" t="s">
        <v>162</v>
      </c>
      <c r="B137" s="6">
        <v>5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5</v>
      </c>
      <c r="O137" s="7">
        <f t="shared" si="5"/>
        <v>0</v>
      </c>
      <c r="P137" s="7"/>
    </row>
    <row r="138" spans="1:16" x14ac:dyDescent="0.3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3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3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3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3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3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3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3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3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3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3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3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3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3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3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3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3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3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3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3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3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3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3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3">
      <c r="A161" s="5" t="s">
        <v>193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3">
      <c r="A162" s="5" t="s">
        <v>332</v>
      </c>
      <c r="B162" s="6">
        <v>27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195</v>
      </c>
      <c r="M162" s="7"/>
      <c r="N162" s="7">
        <f t="shared" si="4"/>
        <v>27</v>
      </c>
      <c r="O162" s="7">
        <f t="shared" si="5"/>
        <v>0</v>
      </c>
      <c r="P162" s="7"/>
    </row>
    <row r="163" spans="1:16" x14ac:dyDescent="0.3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230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3">
      <c r="A164" s="5" t="s">
        <v>292</v>
      </c>
      <c r="B164" s="6">
        <v>22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/>
      <c r="K164" s="7"/>
      <c r="L164" s="7">
        <v>230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3">
      <c r="A165" s="5" t="s">
        <v>297</v>
      </c>
      <c r="B165" s="6">
        <v>91</v>
      </c>
      <c r="C165" s="7"/>
      <c r="D165" s="7"/>
      <c r="E165" s="8"/>
      <c r="F165" s="8"/>
      <c r="G165" s="9">
        <v>1000</v>
      </c>
      <c r="H165" s="26">
        <f t="shared" si="6"/>
        <v>0</v>
      </c>
      <c r="I165" s="7"/>
      <c r="J165" s="7">
        <v>140</v>
      </c>
      <c r="K165" s="7"/>
      <c r="L165" s="7">
        <v>220</v>
      </c>
      <c r="M165" s="7"/>
      <c r="N165" s="7">
        <f t="shared" si="7"/>
        <v>91</v>
      </c>
      <c r="O165" s="7">
        <f t="shared" si="5"/>
        <v>0</v>
      </c>
      <c r="P165" s="7"/>
    </row>
    <row r="166" spans="1:16" x14ac:dyDescent="0.3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3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3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3">
      <c r="A169" s="5" t="s">
        <v>210</v>
      </c>
      <c r="B169" s="6">
        <v>4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4</v>
      </c>
      <c r="O169" s="7">
        <f t="shared" si="5"/>
        <v>0</v>
      </c>
      <c r="P169" s="7"/>
    </row>
    <row r="170" spans="1:16" x14ac:dyDescent="0.3">
      <c r="A170" s="5" t="s">
        <v>234</v>
      </c>
      <c r="B170" s="6">
        <v>0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0</v>
      </c>
      <c r="O170" s="7">
        <f t="shared" si="5"/>
        <v>0</v>
      </c>
      <c r="P170" s="7"/>
    </row>
    <row r="171" spans="1:16" x14ac:dyDescent="0.3">
      <c r="A171" s="5" t="s">
        <v>331</v>
      </c>
      <c r="B171" s="6">
        <v>1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1</v>
      </c>
      <c r="O171" s="7">
        <f t="shared" si="5"/>
        <v>0</v>
      </c>
      <c r="P171" s="7"/>
    </row>
    <row r="172" spans="1:16" x14ac:dyDescent="0.3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3">
      <c r="A173" s="5" t="s">
        <v>93</v>
      </c>
      <c r="B173" s="6">
        <v>3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3</v>
      </c>
      <c r="O173" s="7">
        <f t="shared" si="5"/>
        <v>0</v>
      </c>
      <c r="P173" s="7"/>
    </row>
    <row r="174" spans="1:16" x14ac:dyDescent="0.3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3">
      <c r="A175" s="5" t="s">
        <v>222</v>
      </c>
      <c r="B175" s="6">
        <v>2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2</v>
      </c>
      <c r="O175" s="7">
        <f t="shared" si="5"/>
        <v>0</v>
      </c>
      <c r="P175" s="7"/>
    </row>
    <row r="176" spans="1:16" x14ac:dyDescent="0.3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3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3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3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3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3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3">
      <c r="A182" s="5" t="s">
        <v>199</v>
      </c>
      <c r="B182" s="6">
        <v>1</v>
      </c>
      <c r="C182" s="10"/>
      <c r="D182" s="7"/>
      <c r="E182" s="8"/>
      <c r="F182" s="8"/>
      <c r="G182" s="9"/>
      <c r="H182" s="26"/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3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/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3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/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3">
      <c r="A185" s="5" t="s">
        <v>98</v>
      </c>
      <c r="B185" s="6">
        <v>2</v>
      </c>
      <c r="C185" s="10"/>
      <c r="D185" s="7"/>
      <c r="E185" s="8">
        <v>2</v>
      </c>
      <c r="F185" s="8"/>
      <c r="G185" s="9">
        <v>3000</v>
      </c>
      <c r="H185" s="26">
        <v>3000</v>
      </c>
      <c r="I185" s="7">
        <v>700</v>
      </c>
      <c r="J185" s="7">
        <v>250</v>
      </c>
      <c r="K185" s="7"/>
      <c r="L185" s="7">
        <v>375</v>
      </c>
      <c r="M185" s="7"/>
      <c r="N185" s="7">
        <f t="shared" si="7"/>
        <v>0</v>
      </c>
      <c r="O185" s="7">
        <f t="shared" si="8"/>
        <v>750</v>
      </c>
      <c r="P185" s="7"/>
    </row>
    <row r="186" spans="1:16" x14ac:dyDescent="0.3">
      <c r="A186" s="5" t="s">
        <v>189</v>
      </c>
      <c r="B186" s="6">
        <v>9</v>
      </c>
      <c r="C186" s="10"/>
      <c r="D186" s="7"/>
      <c r="E186" s="8"/>
      <c r="F186" s="8"/>
      <c r="G186" s="9">
        <v>3000</v>
      </c>
      <c r="H186" s="26">
        <f t="shared" ref="H186:H193" si="9">(E186+F186)*G186</f>
        <v>0</v>
      </c>
      <c r="I186" s="7"/>
      <c r="J186" s="7"/>
      <c r="K186" s="7"/>
      <c r="L186" s="7">
        <v>295</v>
      </c>
      <c r="M186" s="7"/>
      <c r="N186" s="7">
        <f t="shared" si="7"/>
        <v>9</v>
      </c>
      <c r="O186" s="7">
        <f t="shared" si="8"/>
        <v>0</v>
      </c>
      <c r="P186" s="7"/>
    </row>
    <row r="187" spans="1:16" x14ac:dyDescent="0.3">
      <c r="A187" s="5" t="s">
        <v>333</v>
      </c>
      <c r="B187" s="6">
        <v>3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630</v>
      </c>
      <c r="M187" s="7"/>
      <c r="N187" s="7">
        <f t="shared" si="7"/>
        <v>3</v>
      </c>
      <c r="O187" s="7">
        <f t="shared" si="8"/>
        <v>0</v>
      </c>
      <c r="P187" s="7"/>
    </row>
    <row r="188" spans="1:16" x14ac:dyDescent="0.3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3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3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3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3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3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3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3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3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3">
      <c r="A197" s="5" t="s">
        <v>101</v>
      </c>
      <c r="B197" s="6">
        <v>2</v>
      </c>
      <c r="C197" s="10"/>
      <c r="D197" s="7"/>
      <c r="E197" s="8">
        <v>1</v>
      </c>
      <c r="F197" s="8"/>
      <c r="G197" s="9">
        <v>3000</v>
      </c>
      <c r="H197" s="26">
        <f t="shared" si="6"/>
        <v>3000</v>
      </c>
      <c r="I197" s="7">
        <v>700</v>
      </c>
      <c r="J197" s="7">
        <v>160</v>
      </c>
      <c r="K197" s="7"/>
      <c r="L197" s="7">
        <v>175</v>
      </c>
      <c r="M197" s="7"/>
      <c r="N197" s="7">
        <f t="shared" si="7"/>
        <v>1</v>
      </c>
      <c r="O197" s="7">
        <f t="shared" si="8"/>
        <v>175</v>
      </c>
      <c r="P197" s="7"/>
    </row>
    <row r="198" spans="1:16" x14ac:dyDescent="0.3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3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3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3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3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3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3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3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3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3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3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3">
      <c r="A209" s="5" t="s">
        <v>264</v>
      </c>
      <c r="B209" s="6">
        <v>12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12</v>
      </c>
      <c r="O209" s="7">
        <f t="shared" si="8"/>
        <v>0</v>
      </c>
      <c r="P209" s="7"/>
    </row>
    <row r="210" spans="1:16" x14ac:dyDescent="0.3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3">
      <c r="A211" s="5" t="s">
        <v>329</v>
      </c>
      <c r="B211" s="6">
        <v>10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65</v>
      </c>
      <c r="M211" s="7"/>
      <c r="N211" s="7">
        <f t="shared" si="7"/>
        <v>10</v>
      </c>
      <c r="O211" s="7">
        <f t="shared" si="8"/>
        <v>0</v>
      </c>
      <c r="P211" s="7"/>
    </row>
    <row r="212" spans="1:16" x14ac:dyDescent="0.3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3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3">
      <c r="A214" s="5" t="s">
        <v>266</v>
      </c>
      <c r="B214" s="6">
        <v>2</v>
      </c>
      <c r="C214" s="10"/>
      <c r="D214" s="7"/>
      <c r="E214" s="8"/>
      <c r="F214" s="8"/>
      <c r="G214" s="9">
        <v>1000</v>
      </c>
      <c r="H214" s="26"/>
      <c r="I214" s="7"/>
      <c r="J214" s="7"/>
      <c r="K214" s="7"/>
      <c r="L214" s="7">
        <v>75</v>
      </c>
      <c r="M214" s="7"/>
      <c r="N214" s="7">
        <f t="shared" si="7"/>
        <v>2</v>
      </c>
      <c r="O214" s="7">
        <f t="shared" si="8"/>
        <v>0</v>
      </c>
      <c r="P214" s="7"/>
    </row>
    <row r="215" spans="1:16" x14ac:dyDescent="0.3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3">
      <c r="A216" s="5" t="s">
        <v>265</v>
      </c>
      <c r="B216" s="6">
        <v>15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15</v>
      </c>
      <c r="O216" s="7">
        <f t="shared" si="8"/>
        <v>0</v>
      </c>
      <c r="P216" s="7"/>
    </row>
    <row r="217" spans="1:16" x14ac:dyDescent="0.3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3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3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3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3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3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3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3">
      <c r="A224" s="5" t="s">
        <v>206</v>
      </c>
      <c r="B224" s="6">
        <v>44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44</v>
      </c>
      <c r="O224" s="7"/>
      <c r="P224" s="7"/>
    </row>
    <row r="225" spans="1:16" x14ac:dyDescent="0.3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3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3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3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3">
      <c r="A229" s="12" t="s">
        <v>107</v>
      </c>
      <c r="B229" s="13">
        <v>1004</v>
      </c>
      <c r="C229" s="14"/>
      <c r="D229" s="14"/>
      <c r="E229" s="15"/>
      <c r="F229" s="15"/>
      <c r="G229" s="16"/>
      <c r="H229" s="27">
        <f>SUM(H2:H219)</f>
        <v>16000</v>
      </c>
      <c r="I229" s="17">
        <f>SUM(I2:I218)</f>
        <v>2100</v>
      </c>
      <c r="J229" s="17"/>
      <c r="K229" s="17">
        <f>SUM(K2:K218)</f>
        <v>0</v>
      </c>
      <c r="L229" s="17"/>
      <c r="M229" s="17"/>
      <c r="N229" s="30">
        <f>SUM(N2:N228)</f>
        <v>999</v>
      </c>
      <c r="O229" s="17">
        <f>SUM(O2:O228)</f>
        <v>1735</v>
      </c>
      <c r="P229" s="17">
        <f>SUM(P2:P228)</f>
        <v>-6</v>
      </c>
    </row>
    <row r="230" spans="1:16" x14ac:dyDescent="0.3">
      <c r="A230" s="18" t="s">
        <v>108</v>
      </c>
      <c r="B230" s="18">
        <f>O229</f>
        <v>1735</v>
      </c>
      <c r="C230" s="2" t="s">
        <v>109</v>
      </c>
      <c r="D230" s="2" t="s">
        <v>110</v>
      </c>
      <c r="N230" s="31"/>
    </row>
    <row r="231" spans="1:16" x14ac:dyDescent="0.3">
      <c r="A231" s="19" t="s">
        <v>111</v>
      </c>
      <c r="B231" s="20">
        <f>(C231+D231)/690</f>
        <v>131.85507246376812</v>
      </c>
      <c r="C231" s="8">
        <v>48980</v>
      </c>
      <c r="D231" s="8">
        <v>42000</v>
      </c>
    </row>
    <row r="232" spans="1:16" x14ac:dyDescent="0.3">
      <c r="A232" s="19" t="s">
        <v>14</v>
      </c>
      <c r="B232" s="21">
        <v>150</v>
      </c>
      <c r="C232" s="8" t="s">
        <v>126</v>
      </c>
      <c r="D232" s="8"/>
    </row>
    <row r="233" spans="1:16" x14ac:dyDescent="0.3">
      <c r="A233" s="19" t="s">
        <v>112</v>
      </c>
      <c r="B233" s="20">
        <f>D233/690</f>
        <v>0</v>
      </c>
      <c r="C233" s="8"/>
      <c r="D233" s="8"/>
    </row>
    <row r="234" spans="1:16" x14ac:dyDescent="0.3">
      <c r="A234" s="19" t="s">
        <v>113</v>
      </c>
      <c r="B234" s="20"/>
      <c r="C234" s="8"/>
      <c r="D234" s="8"/>
    </row>
    <row r="235" spans="1:16" x14ac:dyDescent="0.3">
      <c r="A235" s="12" t="s">
        <v>114</v>
      </c>
      <c r="B235" s="22">
        <f>B230+B231+B233+B234+B232</f>
        <v>2016.855072463768</v>
      </c>
      <c r="C235" s="8"/>
      <c r="D235" s="8"/>
    </row>
    <row r="236" spans="1:16" x14ac:dyDescent="0.3">
      <c r="A236" s="19" t="s">
        <v>6</v>
      </c>
      <c r="B236" s="20">
        <f>D236/690</f>
        <v>39.130434782608695</v>
      </c>
      <c r="C236" s="8"/>
      <c r="D236" s="8">
        <v>27000</v>
      </c>
    </row>
    <row r="237" spans="1:16" x14ac:dyDescent="0.3">
      <c r="A237" s="19" t="s">
        <v>115</v>
      </c>
      <c r="B237" s="20">
        <f>C237/690</f>
        <v>3.0434782608695654</v>
      </c>
      <c r="C237" s="8">
        <v>2100</v>
      </c>
      <c r="D237" s="8"/>
    </row>
    <row r="238" spans="1:16" x14ac:dyDescent="0.3">
      <c r="A238" s="19" t="s">
        <v>64</v>
      </c>
      <c r="B238" s="20">
        <f>C238/690</f>
        <v>2.8985507246376812</v>
      </c>
      <c r="C238" s="8">
        <v>2000</v>
      </c>
      <c r="D238" s="8"/>
    </row>
    <row r="239" spans="1:16" x14ac:dyDescent="0.3">
      <c r="A239" s="19" t="s">
        <v>116</v>
      </c>
      <c r="B239" s="20">
        <v>15</v>
      </c>
      <c r="C239" s="8"/>
      <c r="D239" s="8"/>
    </row>
    <row r="240" spans="1:16" x14ac:dyDescent="0.3">
      <c r="A240" s="12" t="s">
        <v>117</v>
      </c>
      <c r="B240" s="20">
        <f>B236+B237+B238+B239</f>
        <v>60.072463768115938</v>
      </c>
      <c r="C240" s="8"/>
      <c r="D240" s="8"/>
    </row>
    <row r="241" spans="1:6" x14ac:dyDescent="0.3">
      <c r="A241" s="12" t="s">
        <v>118</v>
      </c>
      <c r="B241" s="22">
        <f>B235-B240</f>
        <v>1956.782608695652</v>
      </c>
      <c r="C241" s="8"/>
      <c r="D241" s="8"/>
    </row>
    <row r="242" spans="1:6" x14ac:dyDescent="0.3">
      <c r="A242" s="19" t="s">
        <v>119</v>
      </c>
      <c r="B242" s="20">
        <f>C242/690</f>
        <v>0</v>
      </c>
      <c r="C242" s="8"/>
      <c r="D242" s="8"/>
    </row>
    <row r="243" spans="1:6" x14ac:dyDescent="0.3">
      <c r="A243" s="19" t="s">
        <v>120</v>
      </c>
      <c r="B243" s="20"/>
      <c r="C243" s="8"/>
      <c r="D243" s="8"/>
    </row>
    <row r="244" spans="1:6" x14ac:dyDescent="0.3">
      <c r="A244" s="19" t="s">
        <v>121</v>
      </c>
      <c r="B244" s="20">
        <f>C244/2</f>
        <v>0</v>
      </c>
      <c r="C244" s="8"/>
      <c r="D244" s="8"/>
    </row>
    <row r="245" spans="1:6" x14ac:dyDescent="0.3">
      <c r="A245" s="12" t="s">
        <v>122</v>
      </c>
      <c r="B245" s="22">
        <f>B242+B243+B244</f>
        <v>0</v>
      </c>
      <c r="C245" s="8"/>
      <c r="D245" s="8"/>
    </row>
    <row r="246" spans="1:6" x14ac:dyDescent="0.3">
      <c r="A246" s="19" t="s">
        <v>123</v>
      </c>
      <c r="B246" s="20">
        <v>1870</v>
      </c>
      <c r="C246" s="8"/>
      <c r="D246" s="8"/>
    </row>
    <row r="247" spans="1:6" x14ac:dyDescent="0.3">
      <c r="A247" s="19" t="s">
        <v>36</v>
      </c>
      <c r="B247" s="20"/>
      <c r="C247" s="8"/>
      <c r="D247" s="8"/>
    </row>
    <row r="248" spans="1:6" x14ac:dyDescent="0.3">
      <c r="A248" s="19" t="s">
        <v>124</v>
      </c>
      <c r="B248" s="20">
        <f>C248/2.3</f>
        <v>0</v>
      </c>
      <c r="C248" s="8"/>
      <c r="D248" s="8"/>
    </row>
    <row r="249" spans="1:6" x14ac:dyDescent="0.3">
      <c r="A249" s="19" t="s">
        <v>125</v>
      </c>
      <c r="B249" s="20">
        <f>C249/690</f>
        <v>65.043478260869563</v>
      </c>
      <c r="C249" s="8">
        <v>44880</v>
      </c>
      <c r="D249" s="8"/>
      <c r="F249" t="s">
        <v>126</v>
      </c>
    </row>
    <row r="250" spans="1:6" x14ac:dyDescent="0.3">
      <c r="A250" s="19" t="s">
        <v>127</v>
      </c>
      <c r="B250" s="20">
        <f>D250/690</f>
        <v>21.739130434782609</v>
      </c>
      <c r="C250" s="8"/>
      <c r="D250" s="8">
        <v>15000</v>
      </c>
    </row>
    <row r="251" spans="1:6" x14ac:dyDescent="0.3">
      <c r="A251" s="12" t="s">
        <v>128</v>
      </c>
      <c r="B251" s="22">
        <f>B246+B247+B248+B249+B250</f>
        <v>1956.782608695652</v>
      </c>
      <c r="C251" s="8"/>
      <c r="D251" s="8"/>
    </row>
    <row r="252" spans="1:6" x14ac:dyDescent="0.3">
      <c r="A252" s="19" t="s">
        <v>129</v>
      </c>
      <c r="B252" s="20">
        <f>C252/690</f>
        <v>0</v>
      </c>
      <c r="C252" s="8"/>
      <c r="D252" s="8"/>
    </row>
    <row r="253" spans="1:6" x14ac:dyDescent="0.3">
      <c r="A253" s="12" t="s">
        <v>107</v>
      </c>
      <c r="B253" s="22">
        <f>B252</f>
        <v>0</v>
      </c>
      <c r="C253" s="8"/>
      <c r="D253" s="8"/>
    </row>
    <row r="254" spans="1:6" x14ac:dyDescent="0.3">
      <c r="A254" s="12" t="s">
        <v>130</v>
      </c>
      <c r="B254" s="20">
        <f>B241-B245-B251-B253</f>
        <v>0</v>
      </c>
      <c r="C254" s="8" t="s">
        <v>126</v>
      </c>
      <c r="D254" s="8"/>
    </row>
    <row r="256" spans="1:6" x14ac:dyDescent="0.3">
      <c r="A256" s="12" t="s">
        <v>131</v>
      </c>
      <c r="B256" s="23" t="s">
        <v>10</v>
      </c>
    </row>
    <row r="257" spans="1:2" x14ac:dyDescent="0.3">
      <c r="A257" s="12" t="s">
        <v>132</v>
      </c>
      <c r="B257" s="7"/>
    </row>
    <row r="258" spans="1:2" x14ac:dyDescent="0.3">
      <c r="A258" s="19" t="s">
        <v>133</v>
      </c>
      <c r="B258" s="7"/>
    </row>
    <row r="259" spans="1:2" x14ac:dyDescent="0.3">
      <c r="A259" s="12" t="s">
        <v>134</v>
      </c>
      <c r="B259" s="17">
        <f>B257-B258</f>
        <v>0</v>
      </c>
    </row>
    <row r="260" spans="1:2" x14ac:dyDescent="0.3">
      <c r="A260" s="12" t="s">
        <v>135</v>
      </c>
      <c r="B260" s="17">
        <f>B261+B262+B263+B264+B265+B266+B267+B268</f>
        <v>0</v>
      </c>
    </row>
    <row r="261" spans="1:2" x14ac:dyDescent="0.3">
      <c r="A261" s="19" t="s">
        <v>136</v>
      </c>
      <c r="B261" s="7"/>
    </row>
    <row r="262" spans="1:2" x14ac:dyDescent="0.3">
      <c r="A262" s="19" t="s">
        <v>137</v>
      </c>
      <c r="B262" s="7"/>
    </row>
    <row r="263" spans="1:2" x14ac:dyDescent="0.3">
      <c r="A263" s="19" t="s">
        <v>138</v>
      </c>
      <c r="B263" s="7"/>
    </row>
    <row r="264" spans="1:2" x14ac:dyDescent="0.3">
      <c r="A264" s="19" t="s">
        <v>139</v>
      </c>
      <c r="B264" s="7"/>
    </row>
    <row r="265" spans="1:2" x14ac:dyDescent="0.3">
      <c r="A265" s="19" t="s">
        <v>140</v>
      </c>
      <c r="B265" s="7"/>
    </row>
    <row r="266" spans="1:2" x14ac:dyDescent="0.3">
      <c r="A266" s="19" t="s">
        <v>141</v>
      </c>
      <c r="B266" s="7"/>
    </row>
    <row r="267" spans="1:2" x14ac:dyDescent="0.3">
      <c r="A267" s="19" t="s">
        <v>142</v>
      </c>
      <c r="B267" s="7"/>
    </row>
    <row r="268" spans="1:2" x14ac:dyDescent="0.3">
      <c r="A268" s="19" t="s">
        <v>143</v>
      </c>
      <c r="B268" s="7"/>
    </row>
    <row r="269" spans="1:2" x14ac:dyDescent="0.3">
      <c r="A269" s="12" t="s">
        <v>144</v>
      </c>
      <c r="B269" s="17">
        <f>B270+B271+B272</f>
        <v>0</v>
      </c>
    </row>
    <row r="270" spans="1:2" x14ac:dyDescent="0.3">
      <c r="A270" s="19" t="s">
        <v>145</v>
      </c>
      <c r="B270" s="7"/>
    </row>
    <row r="271" spans="1:2" x14ac:dyDescent="0.3">
      <c r="A271" s="19" t="s">
        <v>146</v>
      </c>
      <c r="B271" s="7"/>
    </row>
    <row r="272" spans="1:2" x14ac:dyDescent="0.3">
      <c r="A272" s="19" t="s">
        <v>147</v>
      </c>
      <c r="B272" s="7"/>
    </row>
    <row r="273" spans="1:5" x14ac:dyDescent="0.3">
      <c r="A273" s="12" t="s">
        <v>148</v>
      </c>
      <c r="B273" s="17">
        <f>B259-B260-B269</f>
        <v>0</v>
      </c>
    </row>
    <row r="279" spans="1:5" x14ac:dyDescent="0.3">
      <c r="A279" s="24"/>
    </row>
    <row r="280" spans="1:5" x14ac:dyDescent="0.3">
      <c r="A280" s="24"/>
    </row>
    <row r="281" spans="1:5" x14ac:dyDescent="0.3">
      <c r="A281" s="24"/>
    </row>
    <row r="282" spans="1:5" x14ac:dyDescent="0.3">
      <c r="A282" s="24"/>
    </row>
    <row r="283" spans="1:5" x14ac:dyDescent="0.3">
      <c r="A283" s="24"/>
    </row>
    <row r="284" spans="1:5" x14ac:dyDescent="0.3">
      <c r="A284" s="24"/>
    </row>
    <row r="285" spans="1:5" x14ac:dyDescent="0.3">
      <c r="A285" s="24"/>
    </row>
    <row r="286" spans="1:5" x14ac:dyDescent="0.3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376AB-0ED2-4B07-AD75-E662E49FCEC6}">
  <dimension ref="A1:Y286"/>
  <sheetViews>
    <sheetView zoomScale="80" zoomScaleNormal="80" workbookViewId="0">
      <pane ySplit="1" topLeftCell="A206" activePane="bottomLeft" state="frozen"/>
      <selection pane="bottomLeft" activeCell="I234" sqref="I234"/>
    </sheetView>
  </sheetViews>
  <sheetFormatPr baseColWidth="10" defaultRowHeight="14.4" x14ac:dyDescent="0.3"/>
  <cols>
    <col min="1" max="1" width="54.5546875" customWidth="1"/>
    <col min="3" max="3" width="20" customWidth="1"/>
    <col min="4" max="4" width="11.109375" customWidth="1"/>
    <col min="5" max="6" width="8.33203125" customWidth="1"/>
    <col min="7" max="7" width="12.33203125" customWidth="1"/>
    <col min="8" max="8" width="15" customWidth="1"/>
    <col min="9" max="9" width="12.6640625" customWidth="1"/>
    <col min="10" max="10" width="9.33203125" customWidth="1"/>
    <col min="11" max="11" width="9.109375" customWidth="1"/>
    <col min="12" max="12" width="11.33203125" customWidth="1"/>
    <col min="13" max="13" width="11.109375" customWidth="1"/>
    <col min="14" max="14" width="8.33203125" customWidth="1"/>
    <col min="15" max="15" width="9.6640625" customWidth="1"/>
    <col min="16" max="16" width="18.5546875" customWidth="1"/>
    <col min="18" max="18" width="13" customWidth="1"/>
    <col min="19" max="19" width="15.6640625" customWidth="1"/>
    <col min="21" max="21" width="17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3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3">
      <c r="A3" s="5" t="s">
        <v>270</v>
      </c>
      <c r="B3" s="6">
        <v>88</v>
      </c>
      <c r="C3" s="7"/>
      <c r="D3" s="7">
        <v>3</v>
      </c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30</v>
      </c>
      <c r="M3" s="7"/>
      <c r="N3" s="7">
        <f>B3+C3-D3-E3-F3</f>
        <v>85</v>
      </c>
      <c r="O3" s="7">
        <f t="shared" si="1"/>
        <v>0</v>
      </c>
      <c r="P3" s="7" t="s">
        <v>304</v>
      </c>
      <c r="R3" s="4"/>
      <c r="T3" s="4"/>
      <c r="U3" s="4"/>
      <c r="V3" s="4"/>
      <c r="W3" s="4"/>
      <c r="X3" s="4"/>
      <c r="Y3" s="4"/>
    </row>
    <row r="4" spans="1:25" x14ac:dyDescent="0.3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3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3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3">
      <c r="A7" s="5" t="s">
        <v>260</v>
      </c>
      <c r="B7" s="6">
        <v>1</v>
      </c>
      <c r="C7" s="7"/>
      <c r="D7" s="7"/>
      <c r="E7" s="8"/>
      <c r="F7" s="8"/>
      <c r="G7" s="9">
        <v>5000</v>
      </c>
      <c r="H7" s="26"/>
      <c r="I7" s="7"/>
      <c r="J7" s="7"/>
      <c r="K7" s="7"/>
      <c r="L7" s="7">
        <v>500</v>
      </c>
      <c r="M7" s="7"/>
      <c r="N7" s="7">
        <f t="shared" si="2"/>
        <v>1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3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3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3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3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3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3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3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3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5" t="s">
        <v>27</v>
      </c>
      <c r="B20" s="6">
        <v>1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180</v>
      </c>
      <c r="M20" s="7"/>
      <c r="N20" s="7">
        <f t="shared" si="2"/>
        <v>1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160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5" t="s">
        <v>29</v>
      </c>
      <c r="B23" s="6">
        <v>3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3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5" t="s">
        <v>307</v>
      </c>
      <c r="B28" s="6">
        <v>3</v>
      </c>
      <c r="C28" s="7"/>
      <c r="D28" s="7">
        <v>1</v>
      </c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2</v>
      </c>
      <c r="O28" s="7">
        <f t="shared" si="1"/>
        <v>0</v>
      </c>
      <c r="P28" s="7" t="s">
        <v>304</v>
      </c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5" t="s">
        <v>263</v>
      </c>
      <c r="B31" s="6">
        <v>0</v>
      </c>
      <c r="C31" s="7"/>
      <c r="D31" s="7"/>
      <c r="E31" s="8"/>
      <c r="F31" s="8"/>
      <c r="G31" s="9"/>
      <c r="H31" s="26">
        <f t="shared" si="0"/>
        <v>0</v>
      </c>
      <c r="I31" s="7"/>
      <c r="J31" s="7"/>
      <c r="K31" s="7"/>
      <c r="L31" s="7">
        <v>600</v>
      </c>
      <c r="M31" s="7"/>
      <c r="N31" s="7">
        <f t="shared" si="2"/>
        <v>0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>
        <f t="shared" si="0"/>
        <v>0</v>
      </c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5" t="s">
        <v>294</v>
      </c>
      <c r="B33" s="6">
        <v>5</v>
      </c>
      <c r="C33" s="7"/>
      <c r="D33" s="7"/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5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3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3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3">
      <c r="A36" s="5" t="s">
        <v>287</v>
      </c>
      <c r="B36" s="6">
        <v>10</v>
      </c>
      <c r="C36" s="7"/>
      <c r="D36" s="7"/>
      <c r="E36" s="8"/>
      <c r="F36" s="8"/>
      <c r="G36" s="9">
        <v>200</v>
      </c>
      <c r="H36" s="26">
        <f t="shared" si="0"/>
        <v>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3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3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3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3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3">
      <c r="A41" s="5" t="s">
        <v>235</v>
      </c>
      <c r="B41" s="6">
        <v>4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4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3">
      <c r="A42" s="5" t="s">
        <v>38</v>
      </c>
      <c r="B42" s="6">
        <v>3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3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3">
      <c r="A43" s="5" t="s">
        <v>39</v>
      </c>
      <c r="B43" s="6">
        <v>5</v>
      </c>
      <c r="C43" s="7"/>
      <c r="D43" s="7"/>
      <c r="E43" s="8">
        <v>1</v>
      </c>
      <c r="F43" s="8"/>
      <c r="G43" s="9">
        <v>3000</v>
      </c>
      <c r="H43" s="26">
        <f t="shared" si="0"/>
        <v>3000</v>
      </c>
      <c r="I43" s="7">
        <v>700</v>
      </c>
      <c r="J43" s="7">
        <v>220</v>
      </c>
      <c r="K43" s="7"/>
      <c r="L43" s="7">
        <v>200</v>
      </c>
      <c r="M43" s="7"/>
      <c r="N43" s="7">
        <f t="shared" si="2"/>
        <v>4</v>
      </c>
      <c r="O43" s="7">
        <f t="shared" si="1"/>
        <v>200</v>
      </c>
      <c r="P43" s="7"/>
      <c r="R43" s="4"/>
      <c r="S43" s="4"/>
      <c r="T43" s="4"/>
      <c r="U43" s="4"/>
    </row>
    <row r="44" spans="1:25" x14ac:dyDescent="0.3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3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3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3">
      <c r="A47" s="5" t="s">
        <v>330</v>
      </c>
      <c r="B47" s="6">
        <v>2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1200</v>
      </c>
      <c r="M47" s="7"/>
      <c r="N47" s="7">
        <f t="shared" si="2"/>
        <v>2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3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3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3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3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3">
      <c r="A52" s="5" t="s">
        <v>151</v>
      </c>
      <c r="B52" s="6">
        <v>2</v>
      </c>
      <c r="C52" s="7"/>
      <c r="D52" s="7">
        <v>2</v>
      </c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0</v>
      </c>
      <c r="O52" s="7">
        <f t="shared" si="1"/>
        <v>0</v>
      </c>
      <c r="P52" s="7" t="s">
        <v>304</v>
      </c>
      <c r="R52" s="4"/>
      <c r="S52" s="4"/>
      <c r="T52" s="4"/>
      <c r="U52" s="4"/>
    </row>
    <row r="53" spans="1:21" x14ac:dyDescent="0.3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3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3">
      <c r="A55" s="5" t="s">
        <v>310</v>
      </c>
      <c r="B55" s="6">
        <v>1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1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3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3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3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3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3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3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3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3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3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3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3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3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3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3">
      <c r="A69" s="5" t="s">
        <v>278</v>
      </c>
      <c r="B69" s="6">
        <v>1</v>
      </c>
      <c r="C69" s="7"/>
      <c r="D69" s="7">
        <v>1</v>
      </c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0</v>
      </c>
      <c r="O69" s="7">
        <f t="shared" si="1"/>
        <v>0</v>
      </c>
      <c r="P69" s="7" t="s">
        <v>304</v>
      </c>
      <c r="R69" s="4" t="s">
        <v>34</v>
      </c>
      <c r="S69" s="4"/>
      <c r="T69" s="4">
        <f>U69/370</f>
        <v>0</v>
      </c>
      <c r="U69" s="4"/>
      <c r="W69" s="4"/>
    </row>
    <row r="70" spans="1:23" x14ac:dyDescent="0.3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3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3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3">
      <c r="A73" s="5" t="s">
        <v>211</v>
      </c>
      <c r="B73" s="6">
        <v>1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1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3">
      <c r="A74" s="5" t="s">
        <v>54</v>
      </c>
      <c r="B74" s="6">
        <v>1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3">
      <c r="A75" s="5" t="s">
        <v>55</v>
      </c>
      <c r="B75" s="6">
        <v>2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2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3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3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3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3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3">
      <c r="A80" s="5" t="s">
        <v>326</v>
      </c>
      <c r="B80" s="6">
        <v>2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900</v>
      </c>
      <c r="M80" s="7"/>
      <c r="N80" s="7">
        <f t="shared" si="2"/>
        <v>2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3">
      <c r="A81" s="5" t="s">
        <v>328</v>
      </c>
      <c r="B81" s="6">
        <v>1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900</v>
      </c>
      <c r="M81" s="7"/>
      <c r="N81" s="7">
        <f t="shared" si="2"/>
        <v>1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3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3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3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3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3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3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3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3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3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3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3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3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3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3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3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3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3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3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3">
      <c r="A100" s="5" t="s">
        <v>212</v>
      </c>
      <c r="B100" s="6">
        <v>7</v>
      </c>
      <c r="C100" s="10"/>
      <c r="D100" s="7"/>
      <c r="E100" s="8">
        <v>1</v>
      </c>
      <c r="F100" s="8"/>
      <c r="G100" s="9">
        <v>3000</v>
      </c>
      <c r="H100" s="26">
        <f t="shared" si="3"/>
        <v>3000</v>
      </c>
      <c r="I100" s="7">
        <v>1500</v>
      </c>
      <c r="J100" s="7">
        <v>190</v>
      </c>
      <c r="K100" s="7"/>
      <c r="L100" s="7">
        <v>200</v>
      </c>
      <c r="M100" s="7"/>
      <c r="N100" s="7">
        <f t="shared" si="4"/>
        <v>6</v>
      </c>
      <c r="O100" s="7">
        <f t="shared" si="1"/>
        <v>200</v>
      </c>
      <c r="P100" s="7"/>
      <c r="R100" s="4"/>
      <c r="S100" s="4"/>
      <c r="T100" s="4"/>
      <c r="U100" s="4"/>
    </row>
    <row r="101" spans="1:21" x14ac:dyDescent="0.3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3">
      <c r="A102" s="5" t="s">
        <v>191</v>
      </c>
      <c r="B102" s="6">
        <v>1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1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3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3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3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3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3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3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3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3">
      <c r="A110" s="5" t="s">
        <v>68</v>
      </c>
      <c r="B110" s="6">
        <v>1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1</v>
      </c>
      <c r="O110" s="7">
        <f t="shared" si="1"/>
        <v>0</v>
      </c>
      <c r="P110" s="7" t="s">
        <v>321</v>
      </c>
    </row>
    <row r="111" spans="1:21" x14ac:dyDescent="0.3">
      <c r="A111" s="5" t="s">
        <v>311</v>
      </c>
      <c r="B111" s="6">
        <v>1</v>
      </c>
      <c r="C111" s="10"/>
      <c r="D111" s="7">
        <v>1</v>
      </c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0</v>
      </c>
      <c r="O111" s="7">
        <f t="shared" ref="O111:O183" si="5">E111*L111+F111*M111</f>
        <v>0</v>
      </c>
      <c r="P111" s="7" t="s">
        <v>304</v>
      </c>
    </row>
    <row r="112" spans="1:21" x14ac:dyDescent="0.3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3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3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3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3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3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3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3">
      <c r="A119" s="5" t="s">
        <v>290</v>
      </c>
      <c r="B119" s="6">
        <v>3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3</v>
      </c>
      <c r="O119" s="7">
        <f t="shared" si="5"/>
        <v>0</v>
      </c>
      <c r="P119" s="7"/>
    </row>
    <row r="120" spans="1:16" x14ac:dyDescent="0.3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3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3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3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3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3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310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3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3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3">
      <c r="A128" s="5" t="s">
        <v>76</v>
      </c>
      <c r="B128" s="6">
        <v>29</v>
      </c>
      <c r="C128" s="10"/>
      <c r="D128" s="7"/>
      <c r="E128" s="8">
        <v>1</v>
      </c>
      <c r="F128" s="8"/>
      <c r="G128" s="9">
        <v>3000</v>
      </c>
      <c r="H128" s="26">
        <f t="shared" si="3"/>
        <v>3000</v>
      </c>
      <c r="I128" s="7">
        <v>4000</v>
      </c>
      <c r="J128" s="7">
        <v>170</v>
      </c>
      <c r="K128" s="7"/>
      <c r="L128" s="7">
        <v>260</v>
      </c>
      <c r="M128" s="7">
        <v>200</v>
      </c>
      <c r="N128" s="7">
        <f t="shared" si="4"/>
        <v>28</v>
      </c>
      <c r="O128" s="7">
        <f t="shared" si="5"/>
        <v>260</v>
      </c>
      <c r="P128" s="7"/>
    </row>
    <row r="129" spans="1:16" x14ac:dyDescent="0.3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3">
      <c r="A130" s="5" t="s">
        <v>77</v>
      </c>
      <c r="B130" s="6">
        <v>2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2</v>
      </c>
      <c r="O130" s="7">
        <f t="shared" si="5"/>
        <v>0</v>
      </c>
      <c r="P130" s="7"/>
    </row>
    <row r="131" spans="1:16" x14ac:dyDescent="0.3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420</v>
      </c>
      <c r="M131" s="7"/>
      <c r="N131" s="7">
        <f t="shared" si="4"/>
        <v>0</v>
      </c>
      <c r="O131" s="7">
        <f t="shared" si="5"/>
        <v>0</v>
      </c>
      <c r="P131" s="7"/>
    </row>
    <row r="132" spans="1:16" x14ac:dyDescent="0.3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3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3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3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3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3">
      <c r="A137" s="5" t="s">
        <v>162</v>
      </c>
      <c r="B137" s="6">
        <v>5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5</v>
      </c>
      <c r="O137" s="7">
        <f t="shared" si="5"/>
        <v>0</v>
      </c>
      <c r="P137" s="7"/>
    </row>
    <row r="138" spans="1:16" x14ac:dyDescent="0.3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3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3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3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3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3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3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3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3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3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3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3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3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3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3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3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3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3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3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3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3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3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3">
      <c r="A160" s="5" t="s">
        <v>256</v>
      </c>
      <c r="B160" s="6">
        <v>6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/>
      <c r="M160" s="7"/>
      <c r="N160" s="7">
        <f t="shared" si="4"/>
        <v>6</v>
      </c>
      <c r="O160" s="7"/>
      <c r="P160" s="7"/>
    </row>
    <row r="161" spans="1:16" x14ac:dyDescent="0.3">
      <c r="A161" s="5" t="s">
        <v>193</v>
      </c>
      <c r="B161" s="6">
        <v>0</v>
      </c>
      <c r="C161" s="7"/>
      <c r="D161" s="7"/>
      <c r="E161" s="8"/>
      <c r="F161" s="8"/>
      <c r="G161" s="9">
        <v>1000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3">
      <c r="A162" s="5" t="s">
        <v>332</v>
      </c>
      <c r="B162" s="6">
        <v>27</v>
      </c>
      <c r="C162" s="7"/>
      <c r="D162" s="7"/>
      <c r="E162" s="8"/>
      <c r="F162" s="8"/>
      <c r="G162" s="9">
        <v>1000</v>
      </c>
      <c r="H162" s="26">
        <f t="shared" si="6"/>
        <v>0</v>
      </c>
      <c r="I162" s="7"/>
      <c r="J162" s="7"/>
      <c r="K162" s="7"/>
      <c r="L162" s="7">
        <v>180</v>
      </c>
      <c r="M162" s="7"/>
      <c r="N162" s="7">
        <f t="shared" si="4"/>
        <v>27</v>
      </c>
      <c r="O162" s="7">
        <f t="shared" si="5"/>
        <v>0</v>
      </c>
      <c r="P162" s="7"/>
    </row>
    <row r="163" spans="1:16" x14ac:dyDescent="0.3">
      <c r="A163" s="5" t="s">
        <v>90</v>
      </c>
      <c r="B163" s="6">
        <v>12</v>
      </c>
      <c r="C163" s="7"/>
      <c r="D163" s="7"/>
      <c r="E163" s="8"/>
      <c r="F163" s="8"/>
      <c r="G163" s="9">
        <v>1000</v>
      </c>
      <c r="H163" s="26">
        <f t="shared" si="6"/>
        <v>0</v>
      </c>
      <c r="I163" s="7"/>
      <c r="J163" s="7"/>
      <c r="K163" s="7"/>
      <c r="L163" s="7">
        <v>200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3">
      <c r="A164" s="5" t="s">
        <v>292</v>
      </c>
      <c r="B164" s="6">
        <v>22</v>
      </c>
      <c r="C164" s="7"/>
      <c r="D164" s="7"/>
      <c r="E164" s="8"/>
      <c r="F164" s="8"/>
      <c r="G164" s="9">
        <v>1000</v>
      </c>
      <c r="H164" s="26">
        <f t="shared" si="6"/>
        <v>0</v>
      </c>
      <c r="I164" s="7"/>
      <c r="J164" s="7"/>
      <c r="K164" s="7"/>
      <c r="L164" s="7">
        <v>180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3">
      <c r="A165" s="5" t="s">
        <v>297</v>
      </c>
      <c r="B165" s="6">
        <v>91</v>
      </c>
      <c r="C165" s="7"/>
      <c r="D165" s="7"/>
      <c r="E165" s="8">
        <v>1</v>
      </c>
      <c r="F165" s="8"/>
      <c r="G165" s="9">
        <v>1000</v>
      </c>
      <c r="H165" s="26"/>
      <c r="I165" s="7">
        <v>700</v>
      </c>
      <c r="J165" s="7">
        <v>140</v>
      </c>
      <c r="K165" s="7"/>
      <c r="L165" s="7">
        <v>180</v>
      </c>
      <c r="M165" s="7"/>
      <c r="N165" s="7">
        <f t="shared" si="7"/>
        <v>90</v>
      </c>
      <c r="O165" s="7">
        <f t="shared" si="5"/>
        <v>180</v>
      </c>
      <c r="P165" s="7"/>
    </row>
    <row r="166" spans="1:16" x14ac:dyDescent="0.3">
      <c r="A166" s="5" t="s">
        <v>275</v>
      </c>
      <c r="B166" s="6">
        <v>2</v>
      </c>
      <c r="C166" s="7"/>
      <c r="D166" s="7"/>
      <c r="E166" s="8"/>
      <c r="F166" s="8"/>
      <c r="G166" s="9">
        <v>1000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3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3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3">
      <c r="A169" s="5" t="s">
        <v>210</v>
      </c>
      <c r="B169" s="6">
        <v>4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395</v>
      </c>
      <c r="M169" s="7"/>
      <c r="N169" s="7">
        <f t="shared" si="7"/>
        <v>4</v>
      </c>
      <c r="O169" s="7">
        <f t="shared" si="5"/>
        <v>0</v>
      </c>
      <c r="P169" s="7"/>
    </row>
    <row r="170" spans="1:16" x14ac:dyDescent="0.3">
      <c r="A170" s="5" t="s">
        <v>234</v>
      </c>
      <c r="B170" s="6">
        <v>0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0</v>
      </c>
      <c r="O170" s="7">
        <f t="shared" si="5"/>
        <v>0</v>
      </c>
      <c r="P170" s="7"/>
    </row>
    <row r="171" spans="1:16" x14ac:dyDescent="0.3">
      <c r="A171" s="5" t="s">
        <v>331</v>
      </c>
      <c r="B171" s="6">
        <v>1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1</v>
      </c>
      <c r="O171" s="7">
        <f t="shared" si="5"/>
        <v>0</v>
      </c>
      <c r="P171" s="7"/>
    </row>
    <row r="172" spans="1:16" x14ac:dyDescent="0.3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3">
      <c r="A173" s="5" t="s">
        <v>93</v>
      </c>
      <c r="B173" s="6">
        <v>3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3</v>
      </c>
      <c r="O173" s="7">
        <f t="shared" si="5"/>
        <v>0</v>
      </c>
      <c r="P173" s="7"/>
    </row>
    <row r="174" spans="1:16" x14ac:dyDescent="0.3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3">
      <c r="A175" s="5" t="s">
        <v>222</v>
      </c>
      <c r="B175" s="6">
        <v>2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2</v>
      </c>
      <c r="O175" s="7">
        <f t="shared" si="5"/>
        <v>0</v>
      </c>
      <c r="P175" s="7"/>
    </row>
    <row r="176" spans="1:16" x14ac:dyDescent="0.3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3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3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3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3">
      <c r="A180" s="5" t="s">
        <v>163</v>
      </c>
      <c r="B180" s="6">
        <v>5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5</v>
      </c>
      <c r="O180" s="7">
        <f t="shared" si="5"/>
        <v>0</v>
      </c>
      <c r="P180" s="7"/>
    </row>
    <row r="181" spans="1:16" x14ac:dyDescent="0.3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3">
      <c r="A182" s="5" t="s">
        <v>199</v>
      </c>
      <c r="B182" s="6">
        <v>1</v>
      </c>
      <c r="C182" s="10"/>
      <c r="D182" s="7"/>
      <c r="E182" s="8"/>
      <c r="F182" s="8"/>
      <c r="G182" s="9"/>
      <c r="H182" s="26">
        <f t="shared" si="6"/>
        <v>0</v>
      </c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3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>
        <f t="shared" si="6"/>
        <v>0</v>
      </c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3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>
        <f t="shared" si="6"/>
        <v>0</v>
      </c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3">
      <c r="A185" s="5" t="s">
        <v>98</v>
      </c>
      <c r="B185" s="6">
        <v>0</v>
      </c>
      <c r="C185" s="10">
        <v>2</v>
      </c>
      <c r="D185" s="7"/>
      <c r="E185" s="8"/>
      <c r="F185" s="8"/>
      <c r="G185" s="9">
        <v>3000</v>
      </c>
      <c r="H185" s="26">
        <f t="shared" si="6"/>
        <v>0</v>
      </c>
      <c r="I185" s="7"/>
      <c r="J185" s="7">
        <v>250</v>
      </c>
      <c r="K185" s="7"/>
      <c r="L185" s="7">
        <v>375</v>
      </c>
      <c r="M185" s="7"/>
      <c r="N185" s="7">
        <f t="shared" si="7"/>
        <v>2</v>
      </c>
      <c r="O185" s="7">
        <f t="shared" si="8"/>
        <v>0</v>
      </c>
      <c r="P185" s="7" t="s">
        <v>304</v>
      </c>
    </row>
    <row r="186" spans="1:16" x14ac:dyDescent="0.3">
      <c r="A186" s="5" t="s">
        <v>189</v>
      </c>
      <c r="B186" s="6">
        <v>9</v>
      </c>
      <c r="C186" s="10"/>
      <c r="D186" s="7"/>
      <c r="E186" s="8"/>
      <c r="F186" s="8"/>
      <c r="G186" s="9">
        <v>3000</v>
      </c>
      <c r="H186" s="26">
        <f t="shared" ref="H186:H193" si="9">(E186+F186)*G186</f>
        <v>0</v>
      </c>
      <c r="I186" s="7"/>
      <c r="J186" s="7"/>
      <c r="K186" s="7"/>
      <c r="L186" s="7">
        <v>295</v>
      </c>
      <c r="M186" s="7"/>
      <c r="N186" s="7">
        <f t="shared" si="7"/>
        <v>9</v>
      </c>
      <c r="O186" s="7">
        <f t="shared" si="8"/>
        <v>0</v>
      </c>
      <c r="P186" s="7"/>
    </row>
    <row r="187" spans="1:16" x14ac:dyDescent="0.3">
      <c r="A187" s="5" t="s">
        <v>333</v>
      </c>
      <c r="B187" s="6">
        <v>3</v>
      </c>
      <c r="C187" s="10"/>
      <c r="D187" s="7"/>
      <c r="E187" s="8"/>
      <c r="F187" s="8"/>
      <c r="G187" s="9">
        <v>3000</v>
      </c>
      <c r="H187" s="26">
        <f t="shared" si="9"/>
        <v>0</v>
      </c>
      <c r="I187" s="7"/>
      <c r="J187" s="7"/>
      <c r="K187" s="7"/>
      <c r="L187" s="7">
        <v>630</v>
      </c>
      <c r="M187" s="7"/>
      <c r="N187" s="7">
        <f t="shared" si="7"/>
        <v>3</v>
      </c>
      <c r="O187" s="7">
        <f t="shared" si="8"/>
        <v>0</v>
      </c>
      <c r="P187" s="7"/>
    </row>
    <row r="188" spans="1:16" x14ac:dyDescent="0.3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9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3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9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3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9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3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9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3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3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9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3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3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3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3">
      <c r="A197" s="5" t="s">
        <v>101</v>
      </c>
      <c r="B197" s="6">
        <v>1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1</v>
      </c>
      <c r="O197" s="7">
        <f t="shared" si="8"/>
        <v>0</v>
      </c>
      <c r="P197" s="7"/>
    </row>
    <row r="198" spans="1:16" x14ac:dyDescent="0.3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3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3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3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3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3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3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3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3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3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3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3">
      <c r="A209" s="5" t="s">
        <v>264</v>
      </c>
      <c r="B209" s="6">
        <v>12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12</v>
      </c>
      <c r="O209" s="7">
        <f t="shared" si="8"/>
        <v>0</v>
      </c>
      <c r="P209" s="7"/>
    </row>
    <row r="210" spans="1:16" x14ac:dyDescent="0.3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3">
      <c r="A211" s="5" t="s">
        <v>329</v>
      </c>
      <c r="B211" s="6">
        <v>10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65</v>
      </c>
      <c r="M211" s="7"/>
      <c r="N211" s="7">
        <f t="shared" si="7"/>
        <v>10</v>
      </c>
      <c r="O211" s="7">
        <f t="shared" si="8"/>
        <v>0</v>
      </c>
      <c r="P211" s="7"/>
    </row>
    <row r="212" spans="1:16" x14ac:dyDescent="0.3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3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3">
      <c r="A214" s="5" t="s">
        <v>266</v>
      </c>
      <c r="B214" s="6">
        <v>2</v>
      </c>
      <c r="C214" s="10"/>
      <c r="D214" s="7"/>
      <c r="E214" s="8"/>
      <c r="F214" s="8"/>
      <c r="G214" s="9">
        <v>1000</v>
      </c>
      <c r="H214" s="26"/>
      <c r="I214" s="7"/>
      <c r="J214" s="7"/>
      <c r="K214" s="7"/>
      <c r="L214" s="7">
        <v>75</v>
      </c>
      <c r="M214" s="7"/>
      <c r="N214" s="7">
        <f t="shared" si="7"/>
        <v>2</v>
      </c>
      <c r="O214" s="7">
        <f t="shared" si="8"/>
        <v>0</v>
      </c>
      <c r="P214" s="7"/>
    </row>
    <row r="215" spans="1:16" x14ac:dyDescent="0.3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3">
      <c r="A216" s="5" t="s">
        <v>265</v>
      </c>
      <c r="B216" s="6">
        <v>15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15</v>
      </c>
      <c r="O216" s="7">
        <f t="shared" si="8"/>
        <v>0</v>
      </c>
      <c r="P216" s="7"/>
    </row>
    <row r="217" spans="1:16" x14ac:dyDescent="0.3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3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3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3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3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3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3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3">
      <c r="A224" s="5" t="s">
        <v>206</v>
      </c>
      <c r="B224" s="6">
        <v>44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44</v>
      </c>
      <c r="O224" s="7"/>
      <c r="P224" s="7"/>
    </row>
    <row r="225" spans="1:16" x14ac:dyDescent="0.3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3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3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3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3">
      <c r="A229" s="12" t="s">
        <v>107</v>
      </c>
      <c r="B229" s="13">
        <v>999</v>
      </c>
      <c r="C229" s="14"/>
      <c r="D229" s="14"/>
      <c r="E229" s="15"/>
      <c r="F229" s="15"/>
      <c r="G229" s="16"/>
      <c r="H229" s="27">
        <f>SUM(H2:H219)</f>
        <v>9000</v>
      </c>
      <c r="I229" s="17">
        <f>SUM(I2:I218)</f>
        <v>6900</v>
      </c>
      <c r="J229" s="17"/>
      <c r="K229" s="17">
        <f>SUM(K2:K218)</f>
        <v>0</v>
      </c>
      <c r="L229" s="17"/>
      <c r="M229" s="17"/>
      <c r="N229" s="30">
        <f>SUM(N2:N228)</f>
        <v>989</v>
      </c>
      <c r="O229" s="17">
        <f>SUM(O2:O228)</f>
        <v>840</v>
      </c>
      <c r="P229" s="17">
        <f>SUM(P2:P228)</f>
        <v>-6</v>
      </c>
    </row>
    <row r="230" spans="1:16" x14ac:dyDescent="0.3">
      <c r="A230" s="18" t="s">
        <v>108</v>
      </c>
      <c r="B230" s="18">
        <f>O229</f>
        <v>840</v>
      </c>
      <c r="C230" s="2" t="s">
        <v>109</v>
      </c>
      <c r="D230" s="2" t="s">
        <v>110</v>
      </c>
      <c r="N230" s="31"/>
    </row>
    <row r="231" spans="1:16" x14ac:dyDescent="0.3">
      <c r="A231" s="19" t="s">
        <v>111</v>
      </c>
      <c r="B231" s="20">
        <f>(C231+D231)/750</f>
        <v>59.84</v>
      </c>
      <c r="C231" s="8">
        <v>44880</v>
      </c>
      <c r="D231" s="8"/>
    </row>
    <row r="232" spans="1:16" x14ac:dyDescent="0.3">
      <c r="A232" s="19" t="s">
        <v>14</v>
      </c>
      <c r="B232" s="21">
        <v>150</v>
      </c>
      <c r="C232" s="8" t="s">
        <v>126</v>
      </c>
      <c r="D232" s="8"/>
    </row>
    <row r="233" spans="1:16" x14ac:dyDescent="0.3">
      <c r="A233" s="19" t="s">
        <v>112</v>
      </c>
      <c r="B233" s="20">
        <f>D233/750</f>
        <v>0</v>
      </c>
      <c r="C233" s="8"/>
      <c r="D233" s="8"/>
    </row>
    <row r="234" spans="1:16" x14ac:dyDescent="0.3">
      <c r="A234" s="19" t="s">
        <v>113</v>
      </c>
      <c r="B234" s="20"/>
      <c r="C234" s="8"/>
      <c r="D234" s="8"/>
    </row>
    <row r="235" spans="1:16" x14ac:dyDescent="0.3">
      <c r="A235" s="12" t="s">
        <v>114</v>
      </c>
      <c r="B235" s="22">
        <f>B230+B231+B233+B234+B232</f>
        <v>1049.8400000000001</v>
      </c>
      <c r="C235" s="8"/>
      <c r="D235" s="8"/>
    </row>
    <row r="236" spans="1:16" x14ac:dyDescent="0.3">
      <c r="A236" s="19" t="s">
        <v>6</v>
      </c>
      <c r="B236" s="20">
        <f>D236/750</f>
        <v>0</v>
      </c>
      <c r="C236" s="8"/>
      <c r="D236" s="8"/>
    </row>
    <row r="237" spans="1:16" x14ac:dyDescent="0.3">
      <c r="A237" s="19" t="s">
        <v>115</v>
      </c>
      <c r="B237" s="20">
        <f>C237/750</f>
        <v>9.1999999999999993</v>
      </c>
      <c r="C237" s="8">
        <v>6900</v>
      </c>
      <c r="D237" s="8"/>
    </row>
    <row r="238" spans="1:16" x14ac:dyDescent="0.3">
      <c r="A238" s="19" t="s">
        <v>64</v>
      </c>
      <c r="B238" s="20">
        <f>C238/750</f>
        <v>29.333333333333332</v>
      </c>
      <c r="C238" s="8">
        <v>22000</v>
      </c>
      <c r="D238" s="8"/>
    </row>
    <row r="239" spans="1:16" x14ac:dyDescent="0.3">
      <c r="A239" s="19" t="s">
        <v>116</v>
      </c>
      <c r="B239" s="20"/>
      <c r="C239" s="8"/>
      <c r="D239" s="8"/>
    </row>
    <row r="240" spans="1:16" x14ac:dyDescent="0.3">
      <c r="A240" s="12" t="s">
        <v>117</v>
      </c>
      <c r="B240" s="20">
        <f>B236+B237+B238+B239</f>
        <v>38.533333333333331</v>
      </c>
      <c r="C240" s="8"/>
      <c r="D240" s="8"/>
    </row>
    <row r="241" spans="1:6" x14ac:dyDescent="0.3">
      <c r="A241" s="12" t="s">
        <v>118</v>
      </c>
      <c r="B241" s="22">
        <f>B235-B240</f>
        <v>1011.3066666666668</v>
      </c>
      <c r="C241" s="8"/>
      <c r="D241" s="8"/>
    </row>
    <row r="242" spans="1:6" x14ac:dyDescent="0.3">
      <c r="A242" s="19" t="s">
        <v>119</v>
      </c>
      <c r="B242" s="20">
        <f>C242/750</f>
        <v>0</v>
      </c>
      <c r="C242" s="8"/>
      <c r="D242" s="8"/>
    </row>
    <row r="243" spans="1:6" x14ac:dyDescent="0.3">
      <c r="A243" s="19" t="s">
        <v>120</v>
      </c>
      <c r="B243" s="20"/>
      <c r="C243" s="8"/>
      <c r="D243" s="8"/>
    </row>
    <row r="244" spans="1:6" x14ac:dyDescent="0.3">
      <c r="A244" s="19" t="s">
        <v>121</v>
      </c>
      <c r="B244" s="20">
        <f>C244/2</f>
        <v>0</v>
      </c>
      <c r="C244" s="8"/>
      <c r="D244" s="8"/>
    </row>
    <row r="245" spans="1:6" x14ac:dyDescent="0.3">
      <c r="A245" s="12" t="s">
        <v>122</v>
      </c>
      <c r="B245" s="22">
        <f>B242+B243+B244</f>
        <v>0</v>
      </c>
      <c r="C245" s="8"/>
      <c r="D245" s="8"/>
    </row>
    <row r="246" spans="1:6" x14ac:dyDescent="0.3">
      <c r="A246" s="19" t="s">
        <v>123</v>
      </c>
      <c r="B246" s="20">
        <v>790</v>
      </c>
      <c r="C246" s="8"/>
      <c r="D246" s="8"/>
    </row>
    <row r="247" spans="1:6" x14ac:dyDescent="0.3">
      <c r="A247" s="19" t="s">
        <v>36</v>
      </c>
      <c r="B247" s="20"/>
      <c r="C247" s="8"/>
      <c r="D247" s="8"/>
    </row>
    <row r="248" spans="1:6" x14ac:dyDescent="0.3">
      <c r="A248" s="19" t="s">
        <v>124</v>
      </c>
      <c r="B248" s="20">
        <f>C248/2.3</f>
        <v>0</v>
      </c>
      <c r="C248" s="8"/>
      <c r="D248" s="8"/>
    </row>
    <row r="249" spans="1:6" x14ac:dyDescent="0.3">
      <c r="A249" s="19" t="s">
        <v>125</v>
      </c>
      <c r="B249" s="20">
        <f>C249/750</f>
        <v>221.30666666666667</v>
      </c>
      <c r="C249" s="8">
        <v>165980</v>
      </c>
      <c r="D249" s="8"/>
      <c r="F249" t="s">
        <v>126</v>
      </c>
    </row>
    <row r="250" spans="1:6" x14ac:dyDescent="0.3">
      <c r="A250" s="19" t="s">
        <v>127</v>
      </c>
      <c r="B250" s="20">
        <f>D250/750</f>
        <v>0</v>
      </c>
      <c r="C250" s="8"/>
      <c r="D250" s="8"/>
    </row>
    <row r="251" spans="1:6" x14ac:dyDescent="0.3">
      <c r="A251" s="12" t="s">
        <v>128</v>
      </c>
      <c r="B251" s="22">
        <f>B246+B247+B248+B249+B250</f>
        <v>1011.3066666666666</v>
      </c>
      <c r="C251" s="8"/>
      <c r="D251" s="8"/>
    </row>
    <row r="252" spans="1:6" x14ac:dyDescent="0.3">
      <c r="A252" s="19" t="s">
        <v>129</v>
      </c>
      <c r="B252" s="20">
        <f>C252/750</f>
        <v>0</v>
      </c>
      <c r="C252" s="8"/>
      <c r="D252" s="8"/>
    </row>
    <row r="253" spans="1:6" x14ac:dyDescent="0.3">
      <c r="A253" s="12" t="s">
        <v>107</v>
      </c>
      <c r="B253" s="22">
        <f>B252</f>
        <v>0</v>
      </c>
      <c r="C253" s="8"/>
      <c r="D253" s="8"/>
    </row>
    <row r="254" spans="1:6" x14ac:dyDescent="0.3">
      <c r="A254" s="12" t="s">
        <v>130</v>
      </c>
      <c r="B254" s="20">
        <f>B241-B245-B251-B253</f>
        <v>2.2737367544323206E-13</v>
      </c>
      <c r="C254" s="8" t="s">
        <v>126</v>
      </c>
      <c r="D254" s="8"/>
    </row>
    <row r="256" spans="1:6" x14ac:dyDescent="0.3">
      <c r="A256" s="12" t="s">
        <v>131</v>
      </c>
      <c r="B256" s="23" t="s">
        <v>10</v>
      </c>
    </row>
    <row r="257" spans="1:2" x14ac:dyDescent="0.3">
      <c r="A257" s="12" t="s">
        <v>132</v>
      </c>
      <c r="B257" s="7"/>
    </row>
    <row r="258" spans="1:2" x14ac:dyDescent="0.3">
      <c r="A258" s="19" t="s">
        <v>133</v>
      </c>
      <c r="B258" s="7"/>
    </row>
    <row r="259" spans="1:2" x14ac:dyDescent="0.3">
      <c r="A259" s="12" t="s">
        <v>134</v>
      </c>
      <c r="B259" s="17">
        <f>B257-B258</f>
        <v>0</v>
      </c>
    </row>
    <row r="260" spans="1:2" x14ac:dyDescent="0.3">
      <c r="A260" s="12" t="s">
        <v>135</v>
      </c>
      <c r="B260" s="17">
        <f>B261+B262+B263+B264+B265+B266+B267+B268</f>
        <v>0</v>
      </c>
    </row>
    <row r="261" spans="1:2" x14ac:dyDescent="0.3">
      <c r="A261" s="19" t="s">
        <v>136</v>
      </c>
      <c r="B261" s="7"/>
    </row>
    <row r="262" spans="1:2" x14ac:dyDescent="0.3">
      <c r="A262" s="19" t="s">
        <v>137</v>
      </c>
      <c r="B262" s="7"/>
    </row>
    <row r="263" spans="1:2" x14ac:dyDescent="0.3">
      <c r="A263" s="19" t="s">
        <v>138</v>
      </c>
      <c r="B263" s="7"/>
    </row>
    <row r="264" spans="1:2" x14ac:dyDescent="0.3">
      <c r="A264" s="19" t="s">
        <v>139</v>
      </c>
      <c r="B264" s="7"/>
    </row>
    <row r="265" spans="1:2" x14ac:dyDescent="0.3">
      <c r="A265" s="19" t="s">
        <v>140</v>
      </c>
      <c r="B265" s="7"/>
    </row>
    <row r="266" spans="1:2" x14ac:dyDescent="0.3">
      <c r="A266" s="19" t="s">
        <v>141</v>
      </c>
      <c r="B266" s="7"/>
    </row>
    <row r="267" spans="1:2" x14ac:dyDescent="0.3">
      <c r="A267" s="19" t="s">
        <v>142</v>
      </c>
      <c r="B267" s="7"/>
    </row>
    <row r="268" spans="1:2" x14ac:dyDescent="0.3">
      <c r="A268" s="19" t="s">
        <v>143</v>
      </c>
      <c r="B268" s="7"/>
    </row>
    <row r="269" spans="1:2" x14ac:dyDescent="0.3">
      <c r="A269" s="12" t="s">
        <v>144</v>
      </c>
      <c r="B269" s="17">
        <f>B270+B271+B272</f>
        <v>0</v>
      </c>
    </row>
    <row r="270" spans="1:2" x14ac:dyDescent="0.3">
      <c r="A270" s="19" t="s">
        <v>145</v>
      </c>
      <c r="B270" s="7"/>
    </row>
    <row r="271" spans="1:2" x14ac:dyDescent="0.3">
      <c r="A271" s="19" t="s">
        <v>146</v>
      </c>
      <c r="B271" s="7"/>
    </row>
    <row r="272" spans="1:2" x14ac:dyDescent="0.3">
      <c r="A272" s="19" t="s">
        <v>147</v>
      </c>
      <c r="B272" s="7"/>
    </row>
    <row r="273" spans="1:5" x14ac:dyDescent="0.3">
      <c r="A273" s="12" t="s">
        <v>148</v>
      </c>
      <c r="B273" s="17">
        <f>B259-B260-B269</f>
        <v>0</v>
      </c>
    </row>
    <row r="279" spans="1:5" x14ac:dyDescent="0.3">
      <c r="A279" s="24"/>
    </row>
    <row r="280" spans="1:5" x14ac:dyDescent="0.3">
      <c r="A280" s="24"/>
    </row>
    <row r="281" spans="1:5" x14ac:dyDescent="0.3">
      <c r="A281" s="24"/>
    </row>
    <row r="282" spans="1:5" x14ac:dyDescent="0.3">
      <c r="A282" s="24"/>
    </row>
    <row r="283" spans="1:5" x14ac:dyDescent="0.3">
      <c r="A283" s="24"/>
    </row>
    <row r="284" spans="1:5" x14ac:dyDescent="0.3">
      <c r="A284" s="24"/>
    </row>
    <row r="285" spans="1:5" x14ac:dyDescent="0.3">
      <c r="A285" s="24"/>
    </row>
    <row r="286" spans="1:5" x14ac:dyDescent="0.3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175EC-3259-4ED1-A238-6AB2025BDEEC}">
  <dimension ref="A1:Y286"/>
  <sheetViews>
    <sheetView zoomScale="80" zoomScaleNormal="80" workbookViewId="0">
      <pane ySplit="1" topLeftCell="A2" activePane="bottomLeft" state="frozen"/>
      <selection pane="bottomLeft" activeCell="H129" sqref="H129"/>
    </sheetView>
  </sheetViews>
  <sheetFormatPr baseColWidth="10" defaultRowHeight="14.4" x14ac:dyDescent="0.3"/>
  <cols>
    <col min="1" max="1" width="54.5546875" customWidth="1"/>
    <col min="3" max="3" width="20" customWidth="1"/>
    <col min="4" max="4" width="11.109375" customWidth="1"/>
    <col min="5" max="6" width="8.33203125" customWidth="1"/>
    <col min="7" max="7" width="12.33203125" customWidth="1"/>
    <col min="8" max="8" width="15" customWidth="1"/>
    <col min="9" max="9" width="12.6640625" customWidth="1"/>
    <col min="10" max="10" width="9.33203125" customWidth="1"/>
    <col min="11" max="11" width="9.109375" customWidth="1"/>
    <col min="12" max="12" width="11.33203125" customWidth="1"/>
    <col min="13" max="13" width="11.109375" customWidth="1"/>
    <col min="14" max="14" width="8.33203125" customWidth="1"/>
    <col min="15" max="15" width="9.6640625" customWidth="1"/>
    <col min="16" max="16" width="18.5546875" customWidth="1"/>
    <col min="18" max="18" width="13" customWidth="1"/>
    <col min="19" max="19" width="15.6640625" customWidth="1"/>
    <col min="21" max="21" width="17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3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3">
      <c r="A3" s="5" t="s">
        <v>270</v>
      </c>
      <c r="B3" s="6">
        <v>85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30</v>
      </c>
      <c r="M3" s="7"/>
      <c r="N3" s="7">
        <f>B3+C3-D3-E3-F3</f>
        <v>85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3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3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3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3">
      <c r="A7" s="5" t="s">
        <v>260</v>
      </c>
      <c r="B7" s="6">
        <v>1</v>
      </c>
      <c r="C7" s="7"/>
      <c r="D7" s="7"/>
      <c r="E7" s="8"/>
      <c r="F7" s="8"/>
      <c r="G7" s="9">
        <v>5000</v>
      </c>
      <c r="H7" s="26"/>
      <c r="I7" s="7"/>
      <c r="J7" s="7"/>
      <c r="K7" s="7"/>
      <c r="L7" s="7">
        <v>500</v>
      </c>
      <c r="M7" s="7"/>
      <c r="N7" s="7">
        <f t="shared" si="2"/>
        <v>1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3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3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3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3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3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3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3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3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5" t="s">
        <v>27</v>
      </c>
      <c r="B20" s="6">
        <v>1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180</v>
      </c>
      <c r="M20" s="7"/>
      <c r="N20" s="7">
        <f t="shared" si="2"/>
        <v>1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160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5" t="s">
        <v>29</v>
      </c>
      <c r="B23" s="6">
        <v>3</v>
      </c>
      <c r="C23" s="7"/>
      <c r="D23" s="7"/>
      <c r="E23" s="8">
        <v>1</v>
      </c>
      <c r="F23" s="8"/>
      <c r="G23" s="9">
        <v>1000</v>
      </c>
      <c r="H23" s="26">
        <f t="shared" si="0"/>
        <v>1000</v>
      </c>
      <c r="I23" s="7">
        <v>700</v>
      </c>
      <c r="J23" s="7">
        <v>30</v>
      </c>
      <c r="K23" s="7"/>
      <c r="L23" s="7">
        <v>45</v>
      </c>
      <c r="M23" s="7"/>
      <c r="N23" s="7">
        <f t="shared" si="2"/>
        <v>2</v>
      </c>
      <c r="O23" s="7">
        <f t="shared" si="1"/>
        <v>45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5" t="s">
        <v>307</v>
      </c>
      <c r="B28" s="6">
        <v>2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2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5" t="s">
        <v>263</v>
      </c>
      <c r="B31" s="6">
        <v>0</v>
      </c>
      <c r="C31" s="7"/>
      <c r="D31" s="7"/>
      <c r="E31" s="8"/>
      <c r="F31" s="8"/>
      <c r="G31" s="9"/>
      <c r="H31" s="26">
        <f t="shared" si="0"/>
        <v>0</v>
      </c>
      <c r="I31" s="7"/>
      <c r="J31" s="7"/>
      <c r="K31" s="7"/>
      <c r="L31" s="7">
        <v>600</v>
      </c>
      <c r="M31" s="7"/>
      <c r="N31" s="7">
        <f t="shared" si="2"/>
        <v>0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>
        <f t="shared" si="0"/>
        <v>0</v>
      </c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5" t="s">
        <v>294</v>
      </c>
      <c r="B33" s="6">
        <v>5</v>
      </c>
      <c r="C33" s="7"/>
      <c r="D33" s="7"/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5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3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3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3">
      <c r="A36" s="5" t="s">
        <v>287</v>
      </c>
      <c r="B36" s="6">
        <v>10</v>
      </c>
      <c r="C36" s="7"/>
      <c r="D36" s="7"/>
      <c r="E36" s="8"/>
      <c r="F36" s="8"/>
      <c r="G36" s="9">
        <v>200</v>
      </c>
      <c r="H36" s="26">
        <f t="shared" si="0"/>
        <v>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3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3">
      <c r="A38" s="5" t="s">
        <v>35</v>
      </c>
      <c r="B38" s="6">
        <v>3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3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3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3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3">
      <c r="A41" s="5" t="s">
        <v>235</v>
      </c>
      <c r="B41" s="6">
        <v>4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4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3">
      <c r="A42" s="5" t="s">
        <v>38</v>
      </c>
      <c r="B42" s="6">
        <v>3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3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3">
      <c r="A43" s="5" t="s">
        <v>39</v>
      </c>
      <c r="B43" s="6">
        <v>4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200</v>
      </c>
      <c r="M43" s="7"/>
      <c r="N43" s="7">
        <f t="shared" si="2"/>
        <v>4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3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3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3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3">
      <c r="A47" s="5" t="s">
        <v>330</v>
      </c>
      <c r="B47" s="6">
        <v>2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1200</v>
      </c>
      <c r="M47" s="7"/>
      <c r="N47" s="7">
        <f t="shared" si="2"/>
        <v>2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3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3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3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3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3">
      <c r="A52" s="5" t="s">
        <v>151</v>
      </c>
      <c r="B52" s="6">
        <v>0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0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3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3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3">
      <c r="A55" s="5" t="s">
        <v>310</v>
      </c>
      <c r="B55" s="6">
        <v>1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1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3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3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3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3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3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3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3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3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3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3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3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3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3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3">
      <c r="A69" s="5" t="s">
        <v>278</v>
      </c>
      <c r="B69" s="6">
        <v>0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0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3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3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3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3">
      <c r="A73" s="5" t="s">
        <v>211</v>
      </c>
      <c r="B73" s="6">
        <v>1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1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3">
      <c r="A74" s="5" t="s">
        <v>54</v>
      </c>
      <c r="B74" s="6">
        <v>1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3">
      <c r="A75" s="5" t="s">
        <v>55</v>
      </c>
      <c r="B75" s="6">
        <v>2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2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3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3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3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3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3">
      <c r="A80" s="5" t="s">
        <v>334</v>
      </c>
      <c r="B80" s="6">
        <v>3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900</v>
      </c>
      <c r="M80" s="7"/>
      <c r="N80" s="7">
        <f t="shared" si="2"/>
        <v>3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3">
      <c r="A81" s="5" t="s">
        <v>328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900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3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3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3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3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3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3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3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3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3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3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3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3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3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3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3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3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3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3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3">
      <c r="A100" s="5" t="s">
        <v>212</v>
      </c>
      <c r="B100" s="6">
        <v>6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6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3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3">
      <c r="A102" s="5" t="s">
        <v>191</v>
      </c>
      <c r="B102" s="6">
        <v>1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1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3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3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3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3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3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3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3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3">
      <c r="A110" s="5" t="s">
        <v>68</v>
      </c>
      <c r="B110" s="6">
        <v>1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1</v>
      </c>
      <c r="O110" s="7">
        <f t="shared" si="1"/>
        <v>0</v>
      </c>
      <c r="P110" s="7" t="s">
        <v>321</v>
      </c>
    </row>
    <row r="111" spans="1:21" x14ac:dyDescent="0.3">
      <c r="A111" s="5" t="s">
        <v>311</v>
      </c>
      <c r="B111" s="6">
        <v>0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0</v>
      </c>
      <c r="O111" s="7">
        <f t="shared" ref="O111:O183" si="5">E111*L111+F111*M111</f>
        <v>0</v>
      </c>
      <c r="P111" s="7"/>
    </row>
    <row r="112" spans="1:21" x14ac:dyDescent="0.3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3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3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3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3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3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3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3">
      <c r="A119" s="5" t="s">
        <v>290</v>
      </c>
      <c r="B119" s="6">
        <v>3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3</v>
      </c>
      <c r="O119" s="7">
        <f t="shared" si="5"/>
        <v>0</v>
      </c>
      <c r="P119" s="7"/>
    </row>
    <row r="120" spans="1:16" x14ac:dyDescent="0.3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3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3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3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3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3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310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3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3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3">
      <c r="A128" s="5" t="s">
        <v>76</v>
      </c>
      <c r="B128" s="6">
        <v>28</v>
      </c>
      <c r="C128" s="10"/>
      <c r="D128" s="7"/>
      <c r="E128" s="8">
        <v>2</v>
      </c>
      <c r="F128" s="8"/>
      <c r="G128" s="9">
        <v>3000</v>
      </c>
      <c r="H128" s="26">
        <v>3000</v>
      </c>
      <c r="I128" s="7">
        <v>2900</v>
      </c>
      <c r="J128" s="7">
        <v>170</v>
      </c>
      <c r="K128" s="7"/>
      <c r="L128" s="7">
        <v>260</v>
      </c>
      <c r="M128" s="7">
        <v>200</v>
      </c>
      <c r="N128" s="7">
        <f t="shared" si="4"/>
        <v>26</v>
      </c>
      <c r="O128" s="7">
        <f t="shared" si="5"/>
        <v>520</v>
      </c>
      <c r="P128" s="7"/>
    </row>
    <row r="129" spans="1:16" x14ac:dyDescent="0.3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3">
      <c r="A130" s="5" t="s">
        <v>77</v>
      </c>
      <c r="B130" s="6">
        <v>2</v>
      </c>
      <c r="C130" s="10"/>
      <c r="D130" s="7">
        <v>2</v>
      </c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 t="s">
        <v>316</v>
      </c>
    </row>
    <row r="131" spans="1:16" x14ac:dyDescent="0.3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420</v>
      </c>
      <c r="M131" s="7"/>
      <c r="N131" s="7">
        <f t="shared" si="4"/>
        <v>0</v>
      </c>
      <c r="O131" s="7">
        <f t="shared" si="5"/>
        <v>0</v>
      </c>
      <c r="P131" s="7"/>
    </row>
    <row r="132" spans="1:16" x14ac:dyDescent="0.3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3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3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3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3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3">
      <c r="A137" s="5" t="s">
        <v>162</v>
      </c>
      <c r="B137" s="6">
        <v>5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5</v>
      </c>
      <c r="O137" s="7">
        <f t="shared" si="5"/>
        <v>0</v>
      </c>
      <c r="P137" s="7"/>
    </row>
    <row r="138" spans="1:16" x14ac:dyDescent="0.3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3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3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3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3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3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3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3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3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3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3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3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3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3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3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3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3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3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3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3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3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3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3">
      <c r="A160" s="5" t="s">
        <v>256</v>
      </c>
      <c r="B160" s="6">
        <v>6</v>
      </c>
      <c r="C160" s="10"/>
      <c r="D160" s="7"/>
      <c r="E160" s="8">
        <v>1</v>
      </c>
      <c r="F160" s="8"/>
      <c r="G160" s="9"/>
      <c r="H160" s="26">
        <f t="shared" si="6"/>
        <v>0</v>
      </c>
      <c r="I160" s="7"/>
      <c r="J160" s="7"/>
      <c r="K160" s="7"/>
      <c r="L160" s="7">
        <v>20</v>
      </c>
      <c r="M160" s="7"/>
      <c r="N160" s="7">
        <f t="shared" si="4"/>
        <v>5</v>
      </c>
      <c r="O160" s="7">
        <f t="shared" si="5"/>
        <v>20</v>
      </c>
      <c r="P160" s="7"/>
    </row>
    <row r="161" spans="1:16" x14ac:dyDescent="0.3">
      <c r="A161" s="5" t="s">
        <v>193</v>
      </c>
      <c r="B161" s="6">
        <v>0</v>
      </c>
      <c r="C161" s="7"/>
      <c r="D161" s="7"/>
      <c r="E161" s="8"/>
      <c r="F161" s="8"/>
      <c r="G161" s="9">
        <v>2500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3">
      <c r="A162" s="5" t="s">
        <v>332</v>
      </c>
      <c r="B162" s="6">
        <v>27</v>
      </c>
      <c r="C162" s="7"/>
      <c r="D162" s="7"/>
      <c r="E162" s="8"/>
      <c r="F162" s="8"/>
      <c r="G162" s="9">
        <v>2500</v>
      </c>
      <c r="H162" s="26">
        <f t="shared" si="6"/>
        <v>0</v>
      </c>
      <c r="I162" s="7"/>
      <c r="J162" s="7"/>
      <c r="K162" s="7"/>
      <c r="L162" s="7">
        <v>180</v>
      </c>
      <c r="M162" s="7"/>
      <c r="N162" s="7">
        <f t="shared" si="4"/>
        <v>27</v>
      </c>
      <c r="O162" s="7">
        <f t="shared" si="5"/>
        <v>0</v>
      </c>
      <c r="P162" s="7"/>
    </row>
    <row r="163" spans="1:16" x14ac:dyDescent="0.3">
      <c r="A163" s="5" t="s">
        <v>90</v>
      </c>
      <c r="B163" s="6">
        <v>12</v>
      </c>
      <c r="C163" s="7"/>
      <c r="D163" s="7"/>
      <c r="E163" s="8"/>
      <c r="F163" s="8"/>
      <c r="G163" s="9">
        <v>2500</v>
      </c>
      <c r="H163" s="26">
        <f t="shared" si="6"/>
        <v>0</v>
      </c>
      <c r="I163" s="7"/>
      <c r="J163" s="7"/>
      <c r="K163" s="7"/>
      <c r="L163" s="7">
        <v>200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3">
      <c r="A164" s="5" t="s">
        <v>292</v>
      </c>
      <c r="B164" s="6">
        <v>22</v>
      </c>
      <c r="C164" s="7"/>
      <c r="D164" s="7"/>
      <c r="E164" s="8"/>
      <c r="F164" s="8"/>
      <c r="G164" s="9">
        <v>2500</v>
      </c>
      <c r="H164" s="26">
        <f t="shared" si="6"/>
        <v>0</v>
      </c>
      <c r="I164" s="7"/>
      <c r="J164" s="7"/>
      <c r="K164" s="7"/>
      <c r="L164" s="7">
        <v>180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3">
      <c r="A165" s="5" t="s">
        <v>297</v>
      </c>
      <c r="B165" s="6">
        <v>90</v>
      </c>
      <c r="C165" s="7"/>
      <c r="D165" s="7"/>
      <c r="E165" s="8">
        <v>1</v>
      </c>
      <c r="F165" s="8"/>
      <c r="G165" s="9">
        <v>2500</v>
      </c>
      <c r="H165" s="26">
        <f t="shared" si="6"/>
        <v>2500</v>
      </c>
      <c r="I165" s="7">
        <v>1500</v>
      </c>
      <c r="J165" s="7">
        <v>140</v>
      </c>
      <c r="K165" s="7"/>
      <c r="L165" s="7">
        <v>180</v>
      </c>
      <c r="M165" s="7"/>
      <c r="N165" s="7">
        <f t="shared" si="7"/>
        <v>89</v>
      </c>
      <c r="O165" s="7">
        <f t="shared" si="5"/>
        <v>180</v>
      </c>
      <c r="P165" s="7"/>
    </row>
    <row r="166" spans="1:16" x14ac:dyDescent="0.3">
      <c r="A166" s="5" t="s">
        <v>275</v>
      </c>
      <c r="B166" s="6">
        <v>2</v>
      </c>
      <c r="C166" s="7"/>
      <c r="D166" s="7"/>
      <c r="E166" s="8"/>
      <c r="F166" s="8"/>
      <c r="G166" s="9">
        <v>2500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3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3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3">
      <c r="A169" s="5" t="s">
        <v>210</v>
      </c>
      <c r="B169" s="6">
        <v>4</v>
      </c>
      <c r="C169" s="7"/>
      <c r="D169" s="7"/>
      <c r="E169" s="8">
        <v>1</v>
      </c>
      <c r="F169" s="8"/>
      <c r="G169" s="9">
        <v>4000</v>
      </c>
      <c r="H169" s="26">
        <f t="shared" si="6"/>
        <v>4000</v>
      </c>
      <c r="I169" s="7">
        <v>700</v>
      </c>
      <c r="J169" s="7">
        <v>365</v>
      </c>
      <c r="K169" s="7"/>
      <c r="L169" s="7">
        <v>400</v>
      </c>
      <c r="M169" s="7"/>
      <c r="N169" s="7">
        <f t="shared" si="7"/>
        <v>3</v>
      </c>
      <c r="O169" s="7">
        <f t="shared" si="5"/>
        <v>400</v>
      </c>
      <c r="P169" s="7"/>
    </row>
    <row r="170" spans="1:16" x14ac:dyDescent="0.3">
      <c r="A170" s="5" t="s">
        <v>234</v>
      </c>
      <c r="B170" s="6">
        <v>0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0</v>
      </c>
      <c r="O170" s="7">
        <f t="shared" si="5"/>
        <v>0</v>
      </c>
      <c r="P170" s="7"/>
    </row>
    <row r="171" spans="1:16" x14ac:dyDescent="0.3">
      <c r="A171" s="5" t="s">
        <v>331</v>
      </c>
      <c r="B171" s="6">
        <v>1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1</v>
      </c>
      <c r="O171" s="7">
        <f t="shared" si="5"/>
        <v>0</v>
      </c>
      <c r="P171" s="7"/>
    </row>
    <row r="172" spans="1:16" x14ac:dyDescent="0.3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3">
      <c r="A173" s="5" t="s">
        <v>93</v>
      </c>
      <c r="B173" s="6">
        <v>3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3</v>
      </c>
      <c r="O173" s="7">
        <f t="shared" si="5"/>
        <v>0</v>
      </c>
      <c r="P173" s="7"/>
    </row>
    <row r="174" spans="1:16" x14ac:dyDescent="0.3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3">
      <c r="A175" s="5" t="s">
        <v>222</v>
      </c>
      <c r="B175" s="6">
        <v>2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2</v>
      </c>
      <c r="O175" s="7">
        <f t="shared" si="5"/>
        <v>0</v>
      </c>
      <c r="P175" s="7"/>
    </row>
    <row r="176" spans="1:16" x14ac:dyDescent="0.3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3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3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3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3">
      <c r="A180" s="5" t="s">
        <v>163</v>
      </c>
      <c r="B180" s="6">
        <v>5</v>
      </c>
      <c r="C180" s="10"/>
      <c r="D180" s="7"/>
      <c r="E180" s="8">
        <v>1</v>
      </c>
      <c r="F180" s="8"/>
      <c r="G180" s="9">
        <v>3000</v>
      </c>
      <c r="H180" s="26">
        <f t="shared" si="6"/>
        <v>3000</v>
      </c>
      <c r="I180" s="7"/>
      <c r="J180" s="7">
        <v>260</v>
      </c>
      <c r="K180" s="7"/>
      <c r="L180" s="7">
        <v>295</v>
      </c>
      <c r="M180" s="7"/>
      <c r="N180" s="7">
        <f t="shared" si="7"/>
        <v>4</v>
      </c>
      <c r="O180" s="7">
        <f t="shared" si="5"/>
        <v>295</v>
      </c>
      <c r="P180" s="7"/>
    </row>
    <row r="181" spans="1:16" x14ac:dyDescent="0.3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3">
      <c r="A182" s="5" t="s">
        <v>199</v>
      </c>
      <c r="B182" s="6">
        <v>1</v>
      </c>
      <c r="C182" s="10"/>
      <c r="D182" s="7"/>
      <c r="E182" s="8"/>
      <c r="F182" s="8"/>
      <c r="G182" s="9"/>
      <c r="H182" s="26">
        <f t="shared" si="6"/>
        <v>0</v>
      </c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3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>
        <f t="shared" si="6"/>
        <v>0</v>
      </c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3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>
        <f t="shared" si="6"/>
        <v>0</v>
      </c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3">
      <c r="A185" s="5" t="s">
        <v>98</v>
      </c>
      <c r="B185" s="6">
        <v>2</v>
      </c>
      <c r="C185" s="10"/>
      <c r="D185" s="7"/>
      <c r="E185" s="8"/>
      <c r="F185" s="8"/>
      <c r="G185" s="9">
        <v>3000</v>
      </c>
      <c r="H185" s="26">
        <f t="shared" si="6"/>
        <v>0</v>
      </c>
      <c r="I185" s="7"/>
      <c r="J185" s="7">
        <v>250</v>
      </c>
      <c r="K185" s="7"/>
      <c r="L185" s="7">
        <v>375</v>
      </c>
      <c r="M185" s="7"/>
      <c r="N185" s="7">
        <f t="shared" si="7"/>
        <v>2</v>
      </c>
      <c r="O185" s="7">
        <f t="shared" si="8"/>
        <v>0</v>
      </c>
      <c r="P185" s="7"/>
    </row>
    <row r="186" spans="1:16" x14ac:dyDescent="0.3">
      <c r="A186" s="5" t="s">
        <v>189</v>
      </c>
      <c r="B186" s="6">
        <v>9</v>
      </c>
      <c r="C186" s="10"/>
      <c r="D186" s="7"/>
      <c r="E186" s="8">
        <v>1</v>
      </c>
      <c r="F186" s="8"/>
      <c r="G186" s="9">
        <v>3000</v>
      </c>
      <c r="H186" s="26">
        <f t="shared" si="6"/>
        <v>3000</v>
      </c>
      <c r="I186" s="7">
        <v>700</v>
      </c>
      <c r="J186" s="7"/>
      <c r="K186" s="7"/>
      <c r="L186" s="7">
        <v>295</v>
      </c>
      <c r="M186" s="7"/>
      <c r="N186" s="7">
        <f t="shared" si="7"/>
        <v>8</v>
      </c>
      <c r="O186" s="7">
        <f t="shared" si="8"/>
        <v>295</v>
      </c>
      <c r="P186" s="7"/>
    </row>
    <row r="187" spans="1:16" x14ac:dyDescent="0.3">
      <c r="A187" s="5" t="s">
        <v>333</v>
      </c>
      <c r="B187" s="6">
        <v>3</v>
      </c>
      <c r="C187" s="10"/>
      <c r="D187" s="7"/>
      <c r="E187" s="8"/>
      <c r="F187" s="8"/>
      <c r="G187" s="9">
        <v>3000</v>
      </c>
      <c r="H187" s="26">
        <f t="shared" si="6"/>
        <v>0</v>
      </c>
      <c r="I187" s="7"/>
      <c r="J187" s="7"/>
      <c r="K187" s="7"/>
      <c r="L187" s="7">
        <v>630</v>
      </c>
      <c r="M187" s="7"/>
      <c r="N187" s="7">
        <f t="shared" si="7"/>
        <v>3</v>
      </c>
      <c r="O187" s="7">
        <f t="shared" si="8"/>
        <v>0</v>
      </c>
      <c r="P187" s="7"/>
    </row>
    <row r="188" spans="1:16" x14ac:dyDescent="0.3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6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3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6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3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6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3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6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3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3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6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3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3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3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3">
      <c r="A197" s="5" t="s">
        <v>101</v>
      </c>
      <c r="B197" s="6">
        <v>1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1</v>
      </c>
      <c r="O197" s="7">
        <f t="shared" si="8"/>
        <v>0</v>
      </c>
      <c r="P197" s="7"/>
    </row>
    <row r="198" spans="1:16" x14ac:dyDescent="0.3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3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3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3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3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3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3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3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3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3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3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3">
      <c r="A209" s="5" t="s">
        <v>264</v>
      </c>
      <c r="B209" s="6">
        <v>12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12</v>
      </c>
      <c r="O209" s="7">
        <f t="shared" si="8"/>
        <v>0</v>
      </c>
      <c r="P209" s="7"/>
    </row>
    <row r="210" spans="1:16" x14ac:dyDescent="0.3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3">
      <c r="A211" s="5" t="s">
        <v>329</v>
      </c>
      <c r="B211" s="6">
        <v>10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65</v>
      </c>
      <c r="M211" s="7"/>
      <c r="N211" s="7">
        <f t="shared" si="7"/>
        <v>10</v>
      </c>
      <c r="O211" s="7">
        <f t="shared" si="8"/>
        <v>0</v>
      </c>
      <c r="P211" s="7"/>
    </row>
    <row r="212" spans="1:16" x14ac:dyDescent="0.3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3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3">
      <c r="A214" s="5" t="s">
        <v>266</v>
      </c>
      <c r="B214" s="6">
        <v>2</v>
      </c>
      <c r="C214" s="10"/>
      <c r="D214" s="7"/>
      <c r="E214" s="8"/>
      <c r="F214" s="8"/>
      <c r="G214" s="9">
        <v>1000</v>
      </c>
      <c r="H214" s="26"/>
      <c r="I214" s="7"/>
      <c r="J214" s="7"/>
      <c r="K214" s="7"/>
      <c r="L214" s="7">
        <v>75</v>
      </c>
      <c r="M214" s="7"/>
      <c r="N214" s="7">
        <f t="shared" si="7"/>
        <v>2</v>
      </c>
      <c r="O214" s="7">
        <f t="shared" si="8"/>
        <v>0</v>
      </c>
      <c r="P214" s="7"/>
    </row>
    <row r="215" spans="1:16" x14ac:dyDescent="0.3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3">
      <c r="A216" s="5" t="s">
        <v>265</v>
      </c>
      <c r="B216" s="6">
        <v>15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15</v>
      </c>
      <c r="O216" s="7">
        <f t="shared" si="8"/>
        <v>0</v>
      </c>
      <c r="P216" s="7"/>
    </row>
    <row r="217" spans="1:16" x14ac:dyDescent="0.3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3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3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3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3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3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3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3">
      <c r="A224" s="5" t="s">
        <v>206</v>
      </c>
      <c r="B224" s="6">
        <v>44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44</v>
      </c>
      <c r="O224" s="7"/>
      <c r="P224" s="7"/>
    </row>
    <row r="225" spans="1:16" x14ac:dyDescent="0.3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3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3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3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3">
      <c r="A229" s="12" t="s">
        <v>107</v>
      </c>
      <c r="B229" s="13">
        <v>989</v>
      </c>
      <c r="C229" s="14"/>
      <c r="D229" s="14"/>
      <c r="E229" s="15"/>
      <c r="F229" s="15"/>
      <c r="G229" s="16"/>
      <c r="H229" s="27">
        <f>SUM(H2:H219)</f>
        <v>16500</v>
      </c>
      <c r="I229" s="17">
        <f>SUM(I2:I218)</f>
        <v>6500</v>
      </c>
      <c r="J229" s="17"/>
      <c r="K229" s="17">
        <f>SUM(K2:K218)</f>
        <v>0</v>
      </c>
      <c r="L229" s="17"/>
      <c r="M229" s="17"/>
      <c r="N229" s="30">
        <f>SUM(N2:N228)</f>
        <v>979</v>
      </c>
      <c r="O229" s="17">
        <f>SUM(O2:O228)</f>
        <v>1755</v>
      </c>
      <c r="P229" s="17">
        <f>SUM(P2:P228)</f>
        <v>-6</v>
      </c>
    </row>
    <row r="230" spans="1:16" x14ac:dyDescent="0.3">
      <c r="A230" s="18" t="s">
        <v>108</v>
      </c>
      <c r="B230" s="18">
        <f>O229</f>
        <v>1755</v>
      </c>
      <c r="C230" s="2" t="s">
        <v>109</v>
      </c>
      <c r="D230" s="2" t="s">
        <v>110</v>
      </c>
      <c r="N230" s="31"/>
    </row>
    <row r="231" spans="1:16" x14ac:dyDescent="0.3">
      <c r="A231" s="19" t="s">
        <v>111</v>
      </c>
      <c r="B231" s="20">
        <f>(C231+D231)/750</f>
        <v>133.33333333333334</v>
      </c>
      <c r="C231" s="8">
        <v>100000</v>
      </c>
      <c r="D231" s="8"/>
    </row>
    <row r="232" spans="1:16" x14ac:dyDescent="0.3">
      <c r="A232" s="19" t="s">
        <v>14</v>
      </c>
      <c r="B232" s="21">
        <v>150</v>
      </c>
      <c r="C232" s="8" t="s">
        <v>126</v>
      </c>
      <c r="D232" s="8"/>
    </row>
    <row r="233" spans="1:16" x14ac:dyDescent="0.3">
      <c r="A233" s="19" t="s">
        <v>112</v>
      </c>
      <c r="B233" s="20">
        <f>D233/750</f>
        <v>0</v>
      </c>
      <c r="C233" s="8"/>
      <c r="D233" s="8"/>
    </row>
    <row r="234" spans="1:16" x14ac:dyDescent="0.3">
      <c r="A234" s="19" t="s">
        <v>113</v>
      </c>
      <c r="B234" s="20"/>
      <c r="C234" s="8"/>
      <c r="D234" s="8"/>
    </row>
    <row r="235" spans="1:16" x14ac:dyDescent="0.3">
      <c r="A235" s="12" t="s">
        <v>114</v>
      </c>
      <c r="B235" s="22">
        <f>B230+B231+B233+B234+B232</f>
        <v>2038.3333333333333</v>
      </c>
      <c r="C235" s="8"/>
      <c r="D235" s="8"/>
    </row>
    <row r="236" spans="1:16" x14ac:dyDescent="0.3">
      <c r="A236" s="19" t="s">
        <v>6</v>
      </c>
      <c r="B236" s="20">
        <f>D236/750</f>
        <v>0</v>
      </c>
      <c r="C236" s="8"/>
      <c r="D236" s="8"/>
    </row>
    <row r="237" spans="1:16" x14ac:dyDescent="0.3">
      <c r="A237" s="19" t="s">
        <v>115</v>
      </c>
      <c r="B237" s="20">
        <f>C237/750</f>
        <v>8.6666666666666661</v>
      </c>
      <c r="C237" s="8">
        <v>6500</v>
      </c>
      <c r="D237" s="8"/>
    </row>
    <row r="238" spans="1:16" x14ac:dyDescent="0.3">
      <c r="A238" s="19" t="s">
        <v>64</v>
      </c>
      <c r="B238" s="20">
        <f>C238/750</f>
        <v>14</v>
      </c>
      <c r="C238" s="8">
        <v>10500</v>
      </c>
      <c r="D238" s="8"/>
    </row>
    <row r="239" spans="1:16" x14ac:dyDescent="0.3">
      <c r="A239" s="19" t="s">
        <v>116</v>
      </c>
      <c r="B239" s="20"/>
      <c r="C239" s="8"/>
      <c r="D239" s="8"/>
    </row>
    <row r="240" spans="1:16" x14ac:dyDescent="0.3">
      <c r="A240" s="12" t="s">
        <v>117</v>
      </c>
      <c r="B240" s="20">
        <f>B236+B237+B238+B239</f>
        <v>22.666666666666664</v>
      </c>
      <c r="C240" s="8"/>
      <c r="D240" s="8"/>
    </row>
    <row r="241" spans="1:6" x14ac:dyDescent="0.3">
      <c r="A241" s="12" t="s">
        <v>118</v>
      </c>
      <c r="B241" s="22">
        <f>B235-B240</f>
        <v>2015.6666666666665</v>
      </c>
      <c r="C241" s="8"/>
      <c r="D241" s="8"/>
    </row>
    <row r="242" spans="1:6" x14ac:dyDescent="0.3">
      <c r="A242" s="19" t="s">
        <v>119</v>
      </c>
      <c r="B242" s="20">
        <f>C242/750</f>
        <v>0</v>
      </c>
      <c r="C242" s="8"/>
      <c r="D242" s="8"/>
    </row>
    <row r="243" spans="1:6" x14ac:dyDescent="0.3">
      <c r="A243" s="19" t="s">
        <v>120</v>
      </c>
      <c r="B243" s="20"/>
      <c r="C243" s="8"/>
      <c r="D243" s="8"/>
    </row>
    <row r="244" spans="1:6" x14ac:dyDescent="0.3">
      <c r="A244" s="19" t="s">
        <v>121</v>
      </c>
      <c r="B244" s="20">
        <f>C244/2</f>
        <v>0</v>
      </c>
      <c r="C244" s="8"/>
      <c r="D244" s="8"/>
    </row>
    <row r="245" spans="1:6" x14ac:dyDescent="0.3">
      <c r="A245" s="12" t="s">
        <v>122</v>
      </c>
      <c r="B245" s="22">
        <f>B242+B243+B244</f>
        <v>0</v>
      </c>
      <c r="C245" s="8"/>
      <c r="D245" s="8"/>
    </row>
    <row r="246" spans="1:6" x14ac:dyDescent="0.3">
      <c r="A246" s="19" t="s">
        <v>123</v>
      </c>
      <c r="B246" s="20">
        <v>1090</v>
      </c>
      <c r="C246" s="8"/>
      <c r="D246" s="8"/>
    </row>
    <row r="247" spans="1:6" x14ac:dyDescent="0.3">
      <c r="A247" s="19" t="s">
        <v>36</v>
      </c>
      <c r="B247" s="20">
        <v>815</v>
      </c>
      <c r="C247" s="8"/>
      <c r="D247" s="8"/>
    </row>
    <row r="248" spans="1:6" x14ac:dyDescent="0.3">
      <c r="A248" s="19" t="s">
        <v>124</v>
      </c>
      <c r="B248" s="20">
        <f>C248/2.3</f>
        <v>0</v>
      </c>
      <c r="C248" s="8"/>
      <c r="D248" s="8"/>
    </row>
    <row r="249" spans="1:6" x14ac:dyDescent="0.3">
      <c r="A249" s="19" t="s">
        <v>125</v>
      </c>
      <c r="B249" s="20">
        <f>C249/750</f>
        <v>110.66666666666667</v>
      </c>
      <c r="C249" s="8">
        <v>83000</v>
      </c>
      <c r="D249" s="8"/>
      <c r="F249" t="s">
        <v>126</v>
      </c>
    </row>
    <row r="250" spans="1:6" x14ac:dyDescent="0.3">
      <c r="A250" s="19" t="s">
        <v>127</v>
      </c>
      <c r="B250" s="20">
        <f>D250/750</f>
        <v>0</v>
      </c>
      <c r="C250" s="8"/>
      <c r="D250" s="8"/>
    </row>
    <row r="251" spans="1:6" x14ac:dyDescent="0.3">
      <c r="A251" s="12" t="s">
        <v>128</v>
      </c>
      <c r="B251" s="22">
        <f>B246+B247+B248+B249+B250</f>
        <v>2015.6666666666667</v>
      </c>
      <c r="C251" s="8"/>
      <c r="D251" s="8"/>
    </row>
    <row r="252" spans="1:6" x14ac:dyDescent="0.3">
      <c r="A252" s="19" t="s">
        <v>129</v>
      </c>
      <c r="B252" s="20">
        <f>C252/750</f>
        <v>0</v>
      </c>
      <c r="C252" s="8"/>
      <c r="D252" s="8"/>
    </row>
    <row r="253" spans="1:6" x14ac:dyDescent="0.3">
      <c r="A253" s="12" t="s">
        <v>107</v>
      </c>
      <c r="B253" s="22">
        <f>B252</f>
        <v>0</v>
      </c>
      <c r="C253" s="8"/>
      <c r="D253" s="8"/>
    </row>
    <row r="254" spans="1:6" x14ac:dyDescent="0.3">
      <c r="A254" s="12" t="s">
        <v>130</v>
      </c>
      <c r="B254" s="20">
        <f>B241-B245-B251-B253</f>
        <v>-2.2737367544323206E-13</v>
      </c>
      <c r="C254" s="8" t="s">
        <v>126</v>
      </c>
      <c r="D254" s="8"/>
    </row>
    <row r="256" spans="1:6" x14ac:dyDescent="0.3">
      <c r="A256" s="12" t="s">
        <v>131</v>
      </c>
      <c r="B256" s="23" t="s">
        <v>10</v>
      </c>
    </row>
    <row r="257" spans="1:2" x14ac:dyDescent="0.3">
      <c r="A257" s="12" t="s">
        <v>132</v>
      </c>
      <c r="B257" s="7"/>
    </row>
    <row r="258" spans="1:2" x14ac:dyDescent="0.3">
      <c r="A258" s="19" t="s">
        <v>133</v>
      </c>
      <c r="B258" s="7"/>
    </row>
    <row r="259" spans="1:2" x14ac:dyDescent="0.3">
      <c r="A259" s="12" t="s">
        <v>134</v>
      </c>
      <c r="B259" s="17">
        <f>B257-B258</f>
        <v>0</v>
      </c>
    </row>
    <row r="260" spans="1:2" x14ac:dyDescent="0.3">
      <c r="A260" s="12" t="s">
        <v>135</v>
      </c>
      <c r="B260" s="17">
        <f>B261+B262+B263+B264+B265+B266+B267+B268</f>
        <v>0</v>
      </c>
    </row>
    <row r="261" spans="1:2" x14ac:dyDescent="0.3">
      <c r="A261" s="19" t="s">
        <v>136</v>
      </c>
      <c r="B261" s="7"/>
    </row>
    <row r="262" spans="1:2" x14ac:dyDescent="0.3">
      <c r="A262" s="19" t="s">
        <v>137</v>
      </c>
      <c r="B262" s="7"/>
    </row>
    <row r="263" spans="1:2" x14ac:dyDescent="0.3">
      <c r="A263" s="19" t="s">
        <v>138</v>
      </c>
      <c r="B263" s="7"/>
    </row>
    <row r="264" spans="1:2" x14ac:dyDescent="0.3">
      <c r="A264" s="19" t="s">
        <v>139</v>
      </c>
      <c r="B264" s="7"/>
    </row>
    <row r="265" spans="1:2" x14ac:dyDescent="0.3">
      <c r="A265" s="19" t="s">
        <v>140</v>
      </c>
      <c r="B265" s="7"/>
    </row>
    <row r="266" spans="1:2" x14ac:dyDescent="0.3">
      <c r="A266" s="19" t="s">
        <v>141</v>
      </c>
      <c r="B266" s="7"/>
    </row>
    <row r="267" spans="1:2" x14ac:dyDescent="0.3">
      <c r="A267" s="19" t="s">
        <v>142</v>
      </c>
      <c r="B267" s="7"/>
    </row>
    <row r="268" spans="1:2" x14ac:dyDescent="0.3">
      <c r="A268" s="19" t="s">
        <v>143</v>
      </c>
      <c r="B268" s="7"/>
    </row>
    <row r="269" spans="1:2" x14ac:dyDescent="0.3">
      <c r="A269" s="12" t="s">
        <v>144</v>
      </c>
      <c r="B269" s="17">
        <f>B270+B271+B272</f>
        <v>0</v>
      </c>
    </row>
    <row r="270" spans="1:2" x14ac:dyDescent="0.3">
      <c r="A270" s="19" t="s">
        <v>145</v>
      </c>
      <c r="B270" s="7"/>
    </row>
    <row r="271" spans="1:2" x14ac:dyDescent="0.3">
      <c r="A271" s="19" t="s">
        <v>146</v>
      </c>
      <c r="B271" s="7"/>
    </row>
    <row r="272" spans="1:2" x14ac:dyDescent="0.3">
      <c r="A272" s="19" t="s">
        <v>147</v>
      </c>
      <c r="B272" s="7"/>
    </row>
    <row r="273" spans="1:5" x14ac:dyDescent="0.3">
      <c r="A273" s="12" t="s">
        <v>148</v>
      </c>
      <c r="B273" s="17">
        <f>B259-B260-B269</f>
        <v>0</v>
      </c>
    </row>
    <row r="279" spans="1:5" x14ac:dyDescent="0.3">
      <c r="A279" s="24"/>
    </row>
    <row r="280" spans="1:5" x14ac:dyDescent="0.3">
      <c r="A280" s="24"/>
    </row>
    <row r="281" spans="1:5" x14ac:dyDescent="0.3">
      <c r="A281" s="24"/>
    </row>
    <row r="282" spans="1:5" x14ac:dyDescent="0.3">
      <c r="A282" s="24"/>
    </row>
    <row r="283" spans="1:5" x14ac:dyDescent="0.3">
      <c r="A283" s="24"/>
    </row>
    <row r="284" spans="1:5" x14ac:dyDescent="0.3">
      <c r="A284" s="24"/>
    </row>
    <row r="285" spans="1:5" x14ac:dyDescent="0.3">
      <c r="A285" s="24"/>
    </row>
    <row r="286" spans="1:5" x14ac:dyDescent="0.3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824F-E64F-4688-83A1-21D50ADAABE6}">
  <dimension ref="A1:Y286"/>
  <sheetViews>
    <sheetView zoomScale="80" zoomScaleNormal="80" workbookViewId="0">
      <pane ySplit="1" topLeftCell="A23" activePane="bottomLeft" state="frozen"/>
      <selection pane="bottomLeft" activeCell="F239" sqref="F239"/>
    </sheetView>
  </sheetViews>
  <sheetFormatPr baseColWidth="10" defaultRowHeight="14.4" x14ac:dyDescent="0.3"/>
  <cols>
    <col min="1" max="1" width="54.5546875" customWidth="1"/>
    <col min="3" max="3" width="20" customWidth="1"/>
    <col min="4" max="4" width="11.109375" customWidth="1"/>
    <col min="5" max="6" width="8.33203125" customWidth="1"/>
    <col min="7" max="7" width="12.33203125" customWidth="1"/>
    <col min="8" max="8" width="15" customWidth="1"/>
    <col min="9" max="9" width="12.6640625" customWidth="1"/>
    <col min="10" max="10" width="9.33203125" customWidth="1"/>
    <col min="11" max="11" width="9.109375" customWidth="1"/>
    <col min="12" max="12" width="11.33203125" customWidth="1"/>
    <col min="13" max="13" width="11.109375" customWidth="1"/>
    <col min="14" max="14" width="8.33203125" customWidth="1"/>
    <col min="15" max="15" width="9.6640625" customWidth="1"/>
    <col min="16" max="16" width="18.5546875" customWidth="1"/>
    <col min="18" max="18" width="13" customWidth="1"/>
    <col min="19" max="19" width="15.6640625" customWidth="1"/>
    <col min="21" max="21" width="17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3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3">
      <c r="A3" s="5" t="s">
        <v>270</v>
      </c>
      <c r="B3" s="6">
        <v>85</v>
      </c>
      <c r="C3" s="7"/>
      <c r="D3" s="7">
        <v>60</v>
      </c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30</v>
      </c>
      <c r="M3" s="7"/>
      <c r="N3" s="7">
        <f>B3+C3-D3-E3-F3</f>
        <v>25</v>
      </c>
      <c r="O3" s="7">
        <f t="shared" si="1"/>
        <v>0</v>
      </c>
      <c r="P3" s="7" t="s">
        <v>304</v>
      </c>
      <c r="R3" s="4"/>
      <c r="T3" s="4"/>
      <c r="U3" s="4"/>
      <c r="V3" s="4"/>
      <c r="W3" s="4"/>
      <c r="X3" s="4"/>
      <c r="Y3" s="4"/>
    </row>
    <row r="4" spans="1:25" x14ac:dyDescent="0.3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3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3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3">
      <c r="A7" s="5" t="s">
        <v>260</v>
      </c>
      <c r="B7" s="6">
        <v>1</v>
      </c>
      <c r="C7" s="7"/>
      <c r="D7" s="7"/>
      <c r="E7" s="8"/>
      <c r="F7" s="8"/>
      <c r="G7" s="9">
        <v>5000</v>
      </c>
      <c r="H7" s="26"/>
      <c r="I7" s="7"/>
      <c r="J7" s="7"/>
      <c r="K7" s="7"/>
      <c r="L7" s="7">
        <v>500</v>
      </c>
      <c r="M7" s="7"/>
      <c r="N7" s="7">
        <f t="shared" si="2"/>
        <v>1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3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3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3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3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3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3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3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3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5" t="s">
        <v>27</v>
      </c>
      <c r="B20" s="6">
        <v>1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180</v>
      </c>
      <c r="M20" s="7"/>
      <c r="N20" s="7">
        <f t="shared" si="2"/>
        <v>1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160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5" t="s">
        <v>29</v>
      </c>
      <c r="B23" s="6">
        <v>2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2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5" t="s">
        <v>307</v>
      </c>
      <c r="B28" s="6">
        <v>2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2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5" t="s">
        <v>263</v>
      </c>
      <c r="B31" s="6">
        <v>0</v>
      </c>
      <c r="C31" s="7"/>
      <c r="D31" s="7"/>
      <c r="E31" s="8"/>
      <c r="F31" s="8"/>
      <c r="G31" s="9"/>
      <c r="H31" s="26">
        <f t="shared" si="0"/>
        <v>0</v>
      </c>
      <c r="I31" s="7"/>
      <c r="J31" s="7"/>
      <c r="K31" s="7"/>
      <c r="L31" s="7">
        <v>600</v>
      </c>
      <c r="M31" s="7"/>
      <c r="N31" s="7">
        <f t="shared" si="2"/>
        <v>0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>
        <f t="shared" si="0"/>
        <v>0</v>
      </c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5" t="s">
        <v>294</v>
      </c>
      <c r="B33" s="6">
        <v>5</v>
      </c>
      <c r="C33" s="7"/>
      <c r="D33" s="7"/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5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3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3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3">
      <c r="A36" s="5" t="s">
        <v>287</v>
      </c>
      <c r="B36" s="6">
        <v>10</v>
      </c>
      <c r="C36" s="7"/>
      <c r="D36" s="7"/>
      <c r="E36" s="8"/>
      <c r="F36" s="8"/>
      <c r="G36" s="9">
        <v>200</v>
      </c>
      <c r="H36" s="26">
        <f t="shared" si="0"/>
        <v>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3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3">
      <c r="A38" s="5" t="s">
        <v>35</v>
      </c>
      <c r="B38" s="6">
        <v>3</v>
      </c>
      <c r="C38" s="7"/>
      <c r="D38" s="7">
        <v>2</v>
      </c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1</v>
      </c>
      <c r="O38" s="7">
        <f t="shared" si="1"/>
        <v>0</v>
      </c>
      <c r="P38" s="7" t="s">
        <v>304</v>
      </c>
      <c r="R38" s="11"/>
      <c r="S38" s="11"/>
      <c r="T38" s="11"/>
      <c r="U38" s="11"/>
    </row>
    <row r="39" spans="1:25" x14ac:dyDescent="0.3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3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3">
      <c r="A41" s="5" t="s">
        <v>235</v>
      </c>
      <c r="B41" s="6">
        <v>4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4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3">
      <c r="A42" s="5" t="s">
        <v>38</v>
      </c>
      <c r="B42" s="6">
        <v>3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3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3">
      <c r="A43" s="5" t="s">
        <v>39</v>
      </c>
      <c r="B43" s="6">
        <v>4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200</v>
      </c>
      <c r="M43" s="7"/>
      <c r="N43" s="7">
        <f t="shared" si="2"/>
        <v>4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3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3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3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3">
      <c r="A47" s="5" t="s">
        <v>330</v>
      </c>
      <c r="B47" s="6">
        <v>2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1200</v>
      </c>
      <c r="M47" s="7"/>
      <c r="N47" s="7">
        <f t="shared" si="2"/>
        <v>2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3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3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3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3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3">
      <c r="A52" s="5" t="s">
        <v>151</v>
      </c>
      <c r="B52" s="6">
        <v>0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0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3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3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3">
      <c r="A55" s="5" t="s">
        <v>310</v>
      </c>
      <c r="B55" s="6">
        <v>1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1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3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3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3">
      <c r="A58" s="5" t="s">
        <v>48</v>
      </c>
      <c r="B58" s="6">
        <v>1</v>
      </c>
      <c r="C58" s="7"/>
      <c r="D58" s="7"/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1</v>
      </c>
      <c r="O58" s="7">
        <f t="shared" si="1"/>
        <v>0</v>
      </c>
      <c r="P58" s="7" t="s">
        <v>319</v>
      </c>
      <c r="R58" s="4"/>
      <c r="S58" s="4"/>
      <c r="T58" s="4"/>
      <c r="U58" s="4"/>
    </row>
    <row r="59" spans="1:21" x14ac:dyDescent="0.3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3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3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3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3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3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3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3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3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3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3">
      <c r="A69" s="5" t="s">
        <v>278</v>
      </c>
      <c r="B69" s="6">
        <v>0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0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3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3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3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3">
      <c r="A73" s="5" t="s">
        <v>211</v>
      </c>
      <c r="B73" s="6">
        <v>1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1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3">
      <c r="A74" s="5" t="s">
        <v>54</v>
      </c>
      <c r="B74" s="6">
        <v>1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3">
      <c r="A75" s="5" t="s">
        <v>55</v>
      </c>
      <c r="B75" s="6">
        <v>2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2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3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3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3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3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3">
      <c r="A80" s="5" t="s">
        <v>334</v>
      </c>
      <c r="B80" s="6">
        <v>3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900</v>
      </c>
      <c r="M80" s="7"/>
      <c r="N80" s="7">
        <f t="shared" si="2"/>
        <v>3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3">
      <c r="A81" s="5" t="s">
        <v>328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900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3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3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3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3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3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3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3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3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3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3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3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3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3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3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3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3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3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3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3">
      <c r="A100" s="5" t="s">
        <v>212</v>
      </c>
      <c r="B100" s="6">
        <v>6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6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3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3">
      <c r="A102" s="5" t="s">
        <v>191</v>
      </c>
      <c r="B102" s="6">
        <v>1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1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3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3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3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3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3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3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3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3">
      <c r="A110" s="5" t="s">
        <v>68</v>
      </c>
      <c r="B110" s="6">
        <v>1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1</v>
      </c>
      <c r="O110" s="7">
        <f t="shared" si="1"/>
        <v>0</v>
      </c>
      <c r="P110" s="7" t="s">
        <v>321</v>
      </c>
    </row>
    <row r="111" spans="1:21" x14ac:dyDescent="0.3">
      <c r="A111" s="5" t="s">
        <v>311</v>
      </c>
      <c r="B111" s="6">
        <v>0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0</v>
      </c>
      <c r="O111" s="7">
        <f t="shared" ref="O111:O183" si="5">E111*L111+F111*M111</f>
        <v>0</v>
      </c>
      <c r="P111" s="7"/>
    </row>
    <row r="112" spans="1:21" x14ac:dyDescent="0.3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3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3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3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3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3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3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3">
      <c r="A119" s="5" t="s">
        <v>290</v>
      </c>
      <c r="B119" s="6">
        <v>3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3</v>
      </c>
      <c r="O119" s="7">
        <f t="shared" si="5"/>
        <v>0</v>
      </c>
      <c r="P119" s="7"/>
    </row>
    <row r="120" spans="1:16" x14ac:dyDescent="0.3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3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3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3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3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3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310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3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3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3">
      <c r="A128" s="5" t="s">
        <v>76</v>
      </c>
      <c r="B128" s="6">
        <v>26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260</v>
      </c>
      <c r="M128" s="7">
        <v>200</v>
      </c>
      <c r="N128" s="7">
        <f t="shared" si="4"/>
        <v>26</v>
      </c>
      <c r="O128" s="7">
        <f t="shared" si="5"/>
        <v>0</v>
      </c>
      <c r="P128" s="7"/>
    </row>
    <row r="129" spans="1:16" x14ac:dyDescent="0.3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3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3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420</v>
      </c>
      <c r="M131" s="7"/>
      <c r="N131" s="7">
        <f t="shared" si="4"/>
        <v>0</v>
      </c>
      <c r="O131" s="7">
        <f t="shared" si="5"/>
        <v>0</v>
      </c>
      <c r="P131" s="7"/>
    </row>
    <row r="132" spans="1:16" x14ac:dyDescent="0.3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3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3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3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3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3">
      <c r="A137" s="5" t="s">
        <v>162</v>
      </c>
      <c r="B137" s="6">
        <v>5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5</v>
      </c>
      <c r="O137" s="7">
        <f t="shared" si="5"/>
        <v>0</v>
      </c>
      <c r="P137" s="7"/>
    </row>
    <row r="138" spans="1:16" x14ac:dyDescent="0.3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3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3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3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3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3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3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3">
      <c r="A145" s="5" t="s">
        <v>273</v>
      </c>
      <c r="B145" s="6">
        <v>3</v>
      </c>
      <c r="C145" s="10"/>
      <c r="D145" s="7"/>
      <c r="E145" s="8"/>
      <c r="F145" s="8"/>
      <c r="G145" s="9">
        <v>1000</v>
      </c>
      <c r="H145" s="26">
        <f t="shared" si="6"/>
        <v>0</v>
      </c>
      <c r="I145" s="7"/>
      <c r="J145" s="7">
        <v>45</v>
      </c>
      <c r="K145" s="7"/>
      <c r="L145" s="7">
        <v>65</v>
      </c>
      <c r="M145" s="7"/>
      <c r="N145" s="7">
        <f t="shared" si="4"/>
        <v>3</v>
      </c>
      <c r="O145" s="7">
        <f t="shared" si="5"/>
        <v>0</v>
      </c>
      <c r="P145" s="7"/>
    </row>
    <row r="146" spans="1:16" x14ac:dyDescent="0.3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3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3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3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3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3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3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3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3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3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3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3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3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3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3">
      <c r="A160" s="5" t="s">
        <v>256</v>
      </c>
      <c r="B160" s="6">
        <v>5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>
        <v>20</v>
      </c>
      <c r="M160" s="7"/>
      <c r="N160" s="7">
        <f t="shared" si="4"/>
        <v>5</v>
      </c>
      <c r="O160" s="7">
        <f t="shared" si="5"/>
        <v>0</v>
      </c>
      <c r="P160" s="7"/>
    </row>
    <row r="161" spans="1:16" x14ac:dyDescent="0.3">
      <c r="A161" s="5" t="s">
        <v>193</v>
      </c>
      <c r="B161" s="6">
        <v>0</v>
      </c>
      <c r="C161" s="7"/>
      <c r="D161" s="7"/>
      <c r="E161" s="8"/>
      <c r="F161" s="8"/>
      <c r="G161" s="9">
        <v>2500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3">
      <c r="A162" s="5" t="s">
        <v>332</v>
      </c>
      <c r="B162" s="6">
        <v>27</v>
      </c>
      <c r="C162" s="7"/>
      <c r="D162" s="7"/>
      <c r="E162" s="8"/>
      <c r="F162" s="8"/>
      <c r="G162" s="9">
        <v>2500</v>
      </c>
      <c r="H162" s="26">
        <f t="shared" si="6"/>
        <v>0</v>
      </c>
      <c r="I162" s="7"/>
      <c r="J162" s="7"/>
      <c r="K162" s="7"/>
      <c r="L162" s="7">
        <v>180</v>
      </c>
      <c r="M162" s="7"/>
      <c r="N162" s="7">
        <f t="shared" si="4"/>
        <v>27</v>
      </c>
      <c r="O162" s="7">
        <f t="shared" si="5"/>
        <v>0</v>
      </c>
      <c r="P162" s="7"/>
    </row>
    <row r="163" spans="1:16" x14ac:dyDescent="0.3">
      <c r="A163" s="5" t="s">
        <v>90</v>
      </c>
      <c r="B163" s="6">
        <v>12</v>
      </c>
      <c r="C163" s="7"/>
      <c r="D163" s="7"/>
      <c r="E163" s="8"/>
      <c r="F163" s="8"/>
      <c r="G163" s="9">
        <v>2500</v>
      </c>
      <c r="H163" s="26">
        <f t="shared" si="6"/>
        <v>0</v>
      </c>
      <c r="I163" s="7"/>
      <c r="J163" s="7"/>
      <c r="K163" s="7"/>
      <c r="L163" s="7">
        <v>200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3">
      <c r="A164" s="5" t="s">
        <v>292</v>
      </c>
      <c r="B164" s="6">
        <v>22</v>
      </c>
      <c r="C164" s="7"/>
      <c r="D164" s="7"/>
      <c r="E164" s="8"/>
      <c r="F164" s="8"/>
      <c r="G164" s="9">
        <v>2500</v>
      </c>
      <c r="H164" s="26">
        <f t="shared" si="6"/>
        <v>0</v>
      </c>
      <c r="I164" s="7"/>
      <c r="J164" s="7"/>
      <c r="K164" s="7"/>
      <c r="L164" s="7">
        <v>180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3">
      <c r="A165" s="5" t="s">
        <v>297</v>
      </c>
      <c r="B165" s="6">
        <v>89</v>
      </c>
      <c r="C165" s="7"/>
      <c r="D165" s="7"/>
      <c r="E165" s="8"/>
      <c r="F165" s="8"/>
      <c r="G165" s="9">
        <v>2500</v>
      </c>
      <c r="H165" s="26">
        <f t="shared" si="6"/>
        <v>0</v>
      </c>
      <c r="I165" s="7"/>
      <c r="J165" s="7">
        <v>140</v>
      </c>
      <c r="K165" s="7"/>
      <c r="L165" s="7">
        <v>180</v>
      </c>
      <c r="M165" s="7"/>
      <c r="N165" s="7">
        <f t="shared" si="7"/>
        <v>89</v>
      </c>
      <c r="O165" s="7">
        <f t="shared" si="5"/>
        <v>0</v>
      </c>
      <c r="P165" s="7"/>
    </row>
    <row r="166" spans="1:16" x14ac:dyDescent="0.3">
      <c r="A166" s="5" t="s">
        <v>275</v>
      </c>
      <c r="B166" s="6">
        <v>2</v>
      </c>
      <c r="C166" s="7"/>
      <c r="D166" s="7"/>
      <c r="E166" s="8"/>
      <c r="F166" s="8"/>
      <c r="G166" s="9">
        <v>2500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3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3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3">
      <c r="A169" s="5" t="s">
        <v>210</v>
      </c>
      <c r="B169" s="6">
        <v>3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400</v>
      </c>
      <c r="M169" s="7"/>
      <c r="N169" s="7">
        <f t="shared" si="7"/>
        <v>3</v>
      </c>
      <c r="O169" s="7">
        <f t="shared" si="5"/>
        <v>0</v>
      </c>
      <c r="P169" s="7"/>
    </row>
    <row r="170" spans="1:16" x14ac:dyDescent="0.3">
      <c r="A170" s="5" t="s">
        <v>234</v>
      </c>
      <c r="B170" s="6">
        <v>0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0</v>
      </c>
      <c r="O170" s="7">
        <f t="shared" si="5"/>
        <v>0</v>
      </c>
      <c r="P170" s="7"/>
    </row>
    <row r="171" spans="1:16" x14ac:dyDescent="0.3">
      <c r="A171" s="5" t="s">
        <v>331</v>
      </c>
      <c r="B171" s="6">
        <v>1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1</v>
      </c>
      <c r="O171" s="7">
        <f t="shared" si="5"/>
        <v>0</v>
      </c>
      <c r="P171" s="7"/>
    </row>
    <row r="172" spans="1:16" x14ac:dyDescent="0.3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3">
      <c r="A173" s="5" t="s">
        <v>93</v>
      </c>
      <c r="B173" s="6">
        <v>3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3</v>
      </c>
      <c r="O173" s="7">
        <f t="shared" si="5"/>
        <v>0</v>
      </c>
      <c r="P173" s="7"/>
    </row>
    <row r="174" spans="1:16" x14ac:dyDescent="0.3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3">
      <c r="A175" s="5" t="s">
        <v>222</v>
      </c>
      <c r="B175" s="6">
        <v>2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2</v>
      </c>
      <c r="O175" s="7">
        <f t="shared" si="5"/>
        <v>0</v>
      </c>
      <c r="P175" s="7"/>
    </row>
    <row r="176" spans="1:16" x14ac:dyDescent="0.3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3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3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3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3">
      <c r="A180" s="5" t="s">
        <v>163</v>
      </c>
      <c r="B180" s="6">
        <v>4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4</v>
      </c>
      <c r="O180" s="7">
        <f t="shared" si="5"/>
        <v>0</v>
      </c>
      <c r="P180" s="7"/>
    </row>
    <row r="181" spans="1:16" x14ac:dyDescent="0.3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3">
      <c r="A182" s="5" t="s">
        <v>199</v>
      </c>
      <c r="B182" s="6">
        <v>1</v>
      </c>
      <c r="C182" s="10"/>
      <c r="D182" s="7"/>
      <c r="E182" s="8"/>
      <c r="F182" s="8"/>
      <c r="G182" s="9"/>
      <c r="H182" s="26">
        <f t="shared" si="6"/>
        <v>0</v>
      </c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3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>
        <f t="shared" si="6"/>
        <v>0</v>
      </c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3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>
        <f t="shared" si="6"/>
        <v>0</v>
      </c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3">
      <c r="A185" s="5" t="s">
        <v>98</v>
      </c>
      <c r="B185" s="6">
        <v>2</v>
      </c>
      <c r="C185" s="10"/>
      <c r="D185" s="7"/>
      <c r="E185" s="8">
        <v>2</v>
      </c>
      <c r="F185" s="8"/>
      <c r="G185" s="9">
        <v>3000</v>
      </c>
      <c r="H185" s="26">
        <f t="shared" si="6"/>
        <v>6000</v>
      </c>
      <c r="I185" s="7"/>
      <c r="J185" s="7">
        <v>250</v>
      </c>
      <c r="K185" s="7"/>
      <c r="L185" s="7">
        <v>375</v>
      </c>
      <c r="M185" s="7"/>
      <c r="N185" s="7">
        <f t="shared" si="7"/>
        <v>0</v>
      </c>
      <c r="O185" s="7">
        <f t="shared" si="8"/>
        <v>750</v>
      </c>
      <c r="P185" s="7"/>
    </row>
    <row r="186" spans="1:16" x14ac:dyDescent="0.3">
      <c r="A186" s="5" t="s">
        <v>189</v>
      </c>
      <c r="B186" s="6">
        <v>8</v>
      </c>
      <c r="C186" s="10"/>
      <c r="D186" s="7"/>
      <c r="E186" s="8"/>
      <c r="F186" s="8"/>
      <c r="G186" s="9">
        <v>3000</v>
      </c>
      <c r="H186" s="26">
        <f t="shared" si="6"/>
        <v>0</v>
      </c>
      <c r="I186" s="7"/>
      <c r="J186" s="7"/>
      <c r="K186" s="7"/>
      <c r="L186" s="7">
        <v>295</v>
      </c>
      <c r="M186" s="7"/>
      <c r="N186" s="7">
        <f t="shared" si="7"/>
        <v>8</v>
      </c>
      <c r="O186" s="7">
        <f t="shared" si="8"/>
        <v>0</v>
      </c>
      <c r="P186" s="7"/>
    </row>
    <row r="187" spans="1:16" x14ac:dyDescent="0.3">
      <c r="A187" s="5" t="s">
        <v>333</v>
      </c>
      <c r="B187" s="6">
        <v>3</v>
      </c>
      <c r="C187" s="10"/>
      <c r="D187" s="7"/>
      <c r="E187" s="8"/>
      <c r="F187" s="8"/>
      <c r="G187" s="9">
        <v>3000</v>
      </c>
      <c r="H187" s="26">
        <f t="shared" si="6"/>
        <v>0</v>
      </c>
      <c r="I187" s="7"/>
      <c r="J187" s="7"/>
      <c r="K187" s="7"/>
      <c r="L187" s="7">
        <v>630</v>
      </c>
      <c r="M187" s="7"/>
      <c r="N187" s="7">
        <f t="shared" si="7"/>
        <v>3</v>
      </c>
      <c r="O187" s="7">
        <f t="shared" si="8"/>
        <v>0</v>
      </c>
      <c r="P187" s="7"/>
    </row>
    <row r="188" spans="1:16" x14ac:dyDescent="0.3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6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3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6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3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6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3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6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3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3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6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3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3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3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3">
      <c r="A197" s="5" t="s">
        <v>101</v>
      </c>
      <c r="B197" s="6">
        <v>1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1</v>
      </c>
      <c r="O197" s="7">
        <f t="shared" si="8"/>
        <v>0</v>
      </c>
      <c r="P197" s="7"/>
    </row>
    <row r="198" spans="1:16" x14ac:dyDescent="0.3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3">
      <c r="A199" s="5" t="s">
        <v>262</v>
      </c>
      <c r="B199" s="6">
        <v>2</v>
      </c>
      <c r="C199" s="10"/>
      <c r="D199" s="7"/>
      <c r="E199" s="8"/>
      <c r="F199" s="8"/>
      <c r="G199" s="9">
        <v>3000</v>
      </c>
      <c r="H199" s="26">
        <f t="shared" si="6"/>
        <v>0</v>
      </c>
      <c r="I199" s="7"/>
      <c r="J199" s="7"/>
      <c r="K199" s="7"/>
      <c r="L199" s="7">
        <v>175</v>
      </c>
      <c r="M199" s="7">
        <v>0</v>
      </c>
      <c r="N199" s="7">
        <f t="shared" si="7"/>
        <v>2</v>
      </c>
      <c r="O199" s="7">
        <f t="shared" si="8"/>
        <v>0</v>
      </c>
      <c r="P199" s="7"/>
    </row>
    <row r="200" spans="1:16" x14ac:dyDescent="0.3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3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3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3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3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3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3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3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3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3">
      <c r="A209" s="5" t="s">
        <v>264</v>
      </c>
      <c r="B209" s="6">
        <v>12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12</v>
      </c>
      <c r="O209" s="7">
        <f t="shared" si="8"/>
        <v>0</v>
      </c>
      <c r="P209" s="7"/>
    </row>
    <row r="210" spans="1:16" x14ac:dyDescent="0.3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3">
      <c r="A211" s="5" t="s">
        <v>329</v>
      </c>
      <c r="B211" s="6">
        <v>10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65</v>
      </c>
      <c r="M211" s="7"/>
      <c r="N211" s="7">
        <f t="shared" si="7"/>
        <v>10</v>
      </c>
      <c r="O211" s="7">
        <f t="shared" si="8"/>
        <v>0</v>
      </c>
      <c r="P211" s="7"/>
    </row>
    <row r="212" spans="1:16" x14ac:dyDescent="0.3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3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3">
      <c r="A214" s="5" t="s">
        <v>266</v>
      </c>
      <c r="B214" s="6">
        <v>2</v>
      </c>
      <c r="C214" s="10"/>
      <c r="D214" s="7"/>
      <c r="E214" s="8"/>
      <c r="F214" s="8"/>
      <c r="G214" s="9">
        <v>1000</v>
      </c>
      <c r="H214" s="26"/>
      <c r="I214" s="7"/>
      <c r="J214" s="7"/>
      <c r="K214" s="7"/>
      <c r="L214" s="7">
        <v>75</v>
      </c>
      <c r="M214" s="7"/>
      <c r="N214" s="7">
        <f t="shared" si="7"/>
        <v>2</v>
      </c>
      <c r="O214" s="7">
        <f t="shared" si="8"/>
        <v>0</v>
      </c>
      <c r="P214" s="7"/>
    </row>
    <row r="215" spans="1:16" x14ac:dyDescent="0.3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3">
      <c r="A216" s="5" t="s">
        <v>265</v>
      </c>
      <c r="B216" s="6">
        <v>15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15</v>
      </c>
      <c r="O216" s="7">
        <f t="shared" si="8"/>
        <v>0</v>
      </c>
      <c r="P216" s="7"/>
    </row>
    <row r="217" spans="1:16" x14ac:dyDescent="0.3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3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3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3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3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3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3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3">
      <c r="A224" s="5" t="s">
        <v>206</v>
      </c>
      <c r="B224" s="6">
        <v>44</v>
      </c>
      <c r="C224" s="7"/>
      <c r="D224" s="7"/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44</v>
      </c>
      <c r="O224" s="7"/>
      <c r="P224" s="7"/>
    </row>
    <row r="225" spans="1:16" x14ac:dyDescent="0.3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3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3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3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3">
      <c r="A229" s="12" t="s">
        <v>107</v>
      </c>
      <c r="B229" s="13">
        <v>979</v>
      </c>
      <c r="C229" s="14"/>
      <c r="D229" s="14"/>
      <c r="E229" s="15"/>
      <c r="F229" s="15"/>
      <c r="G229" s="16"/>
      <c r="H229" s="27">
        <f>SUM(H2:H219)</f>
        <v>6000</v>
      </c>
      <c r="I229" s="17">
        <f>SUM(I2:I218)</f>
        <v>0</v>
      </c>
      <c r="J229" s="17"/>
      <c r="K229" s="17">
        <f>SUM(K2:K218)</f>
        <v>0</v>
      </c>
      <c r="L229" s="17"/>
      <c r="M229" s="17"/>
      <c r="N229" s="30">
        <f>SUM(N2:N228)</f>
        <v>915</v>
      </c>
      <c r="O229" s="17">
        <f>SUM(O2:O228)</f>
        <v>750</v>
      </c>
      <c r="P229" s="17">
        <f>SUM(P2:P228)</f>
        <v>-6</v>
      </c>
    </row>
    <row r="230" spans="1:16" x14ac:dyDescent="0.3">
      <c r="A230" s="18" t="s">
        <v>108</v>
      </c>
      <c r="B230" s="18">
        <f>O229</f>
        <v>750</v>
      </c>
      <c r="C230" s="2" t="s">
        <v>109</v>
      </c>
      <c r="D230" s="2" t="s">
        <v>110</v>
      </c>
      <c r="N230" s="31"/>
    </row>
    <row r="231" spans="1:16" x14ac:dyDescent="0.3">
      <c r="A231" s="19" t="s">
        <v>111</v>
      </c>
      <c r="B231" s="20">
        <f>(C231+D231)/750</f>
        <v>110.66666666666667</v>
      </c>
      <c r="C231" s="8">
        <v>83000</v>
      </c>
      <c r="D231" s="8"/>
    </row>
    <row r="232" spans="1:16" x14ac:dyDescent="0.3">
      <c r="A232" s="19" t="s">
        <v>14</v>
      </c>
      <c r="B232" s="21">
        <v>150</v>
      </c>
      <c r="C232" s="8" t="s">
        <v>126</v>
      </c>
      <c r="D232" s="8"/>
    </row>
    <row r="233" spans="1:16" x14ac:dyDescent="0.3">
      <c r="A233" s="19" t="s">
        <v>112</v>
      </c>
      <c r="B233" s="20">
        <f>D233/750</f>
        <v>0</v>
      </c>
      <c r="C233" s="8"/>
      <c r="D233" s="8"/>
    </row>
    <row r="234" spans="1:16" x14ac:dyDescent="0.3">
      <c r="A234" s="19" t="s">
        <v>113</v>
      </c>
      <c r="B234" s="20"/>
      <c r="C234" s="8"/>
      <c r="D234" s="8"/>
    </row>
    <row r="235" spans="1:16" x14ac:dyDescent="0.3">
      <c r="A235" s="12" t="s">
        <v>114</v>
      </c>
      <c r="B235" s="22">
        <f>B230+B231+B233+B234+B232</f>
        <v>1010.6666666666666</v>
      </c>
      <c r="C235" s="8"/>
      <c r="D235" s="8"/>
    </row>
    <row r="236" spans="1:16" x14ac:dyDescent="0.3">
      <c r="A236" s="19" t="s">
        <v>6</v>
      </c>
      <c r="B236" s="20">
        <f>D236/750</f>
        <v>0</v>
      </c>
      <c r="C236" s="8"/>
      <c r="D236" s="8"/>
    </row>
    <row r="237" spans="1:16" x14ac:dyDescent="0.3">
      <c r="A237" s="19" t="s">
        <v>115</v>
      </c>
      <c r="B237" s="20">
        <f>C237/750</f>
        <v>0</v>
      </c>
      <c r="C237" s="8"/>
      <c r="D237" s="8"/>
    </row>
    <row r="238" spans="1:16" x14ac:dyDescent="0.3">
      <c r="A238" s="19" t="s">
        <v>64</v>
      </c>
      <c r="B238" s="20">
        <f>C238/750</f>
        <v>1.3333333333333333</v>
      </c>
      <c r="C238" s="8">
        <v>1000</v>
      </c>
      <c r="D238" s="8"/>
    </row>
    <row r="239" spans="1:16" x14ac:dyDescent="0.3">
      <c r="A239" s="19" t="s">
        <v>116</v>
      </c>
      <c r="B239" s="20"/>
      <c r="C239" s="8"/>
      <c r="D239" s="8"/>
    </row>
    <row r="240" spans="1:16" x14ac:dyDescent="0.3">
      <c r="A240" s="12" t="s">
        <v>117</v>
      </c>
      <c r="B240" s="20">
        <f>B236+B237+B238+B239</f>
        <v>1.3333333333333333</v>
      </c>
      <c r="C240" s="8"/>
      <c r="D240" s="8"/>
    </row>
    <row r="241" spans="1:6" x14ac:dyDescent="0.3">
      <c r="A241" s="12" t="s">
        <v>118</v>
      </c>
      <c r="B241" s="22">
        <f>B235-B240</f>
        <v>1009.3333333333333</v>
      </c>
      <c r="C241" s="8"/>
      <c r="D241" s="8"/>
    </row>
    <row r="242" spans="1:6" x14ac:dyDescent="0.3">
      <c r="A242" s="19" t="s">
        <v>119</v>
      </c>
      <c r="B242" s="20">
        <f>C242/750</f>
        <v>0</v>
      </c>
      <c r="C242" s="8"/>
      <c r="D242" s="8"/>
    </row>
    <row r="243" spans="1:6" x14ac:dyDescent="0.3">
      <c r="A243" s="19" t="s">
        <v>120</v>
      </c>
      <c r="B243" s="20"/>
      <c r="C243" s="8"/>
      <c r="D243" s="8"/>
    </row>
    <row r="244" spans="1:6" x14ac:dyDescent="0.3">
      <c r="A244" s="19" t="s">
        <v>121</v>
      </c>
      <c r="B244" s="20">
        <f>C244/2</f>
        <v>0</v>
      </c>
      <c r="C244" s="8"/>
      <c r="D244" s="8"/>
    </row>
    <row r="245" spans="1:6" x14ac:dyDescent="0.3">
      <c r="A245" s="12" t="s">
        <v>122</v>
      </c>
      <c r="B245" s="22">
        <f>B242+B243+B244</f>
        <v>0</v>
      </c>
      <c r="C245" s="8"/>
      <c r="D245" s="8"/>
    </row>
    <row r="246" spans="1:6" x14ac:dyDescent="0.3">
      <c r="A246" s="19" t="s">
        <v>123</v>
      </c>
      <c r="B246" s="20">
        <v>900</v>
      </c>
      <c r="C246" s="8"/>
      <c r="D246" s="8"/>
    </row>
    <row r="247" spans="1:6" x14ac:dyDescent="0.3">
      <c r="A247" s="19" t="s">
        <v>36</v>
      </c>
      <c r="B247" s="20"/>
      <c r="C247" s="8"/>
      <c r="D247" s="8"/>
    </row>
    <row r="248" spans="1:6" x14ac:dyDescent="0.3">
      <c r="A248" s="19" t="s">
        <v>124</v>
      </c>
      <c r="B248" s="20">
        <f>C248/2.3</f>
        <v>0</v>
      </c>
      <c r="C248" s="8"/>
      <c r="D248" s="8"/>
    </row>
    <row r="249" spans="1:6" x14ac:dyDescent="0.3">
      <c r="A249" s="19" t="s">
        <v>125</v>
      </c>
      <c r="B249" s="20">
        <f>C249/750</f>
        <v>109.33333333333333</v>
      </c>
      <c r="C249" s="8">
        <v>82000</v>
      </c>
      <c r="D249" s="8"/>
      <c r="F249" t="s">
        <v>126</v>
      </c>
    </row>
    <row r="250" spans="1:6" x14ac:dyDescent="0.3">
      <c r="A250" s="19" t="s">
        <v>127</v>
      </c>
      <c r="B250" s="20">
        <f>D250/750</f>
        <v>0</v>
      </c>
      <c r="C250" s="8"/>
      <c r="D250" s="8"/>
    </row>
    <row r="251" spans="1:6" x14ac:dyDescent="0.3">
      <c r="A251" s="12" t="s">
        <v>128</v>
      </c>
      <c r="B251" s="22">
        <f>B246+B247+B248+B249+B250</f>
        <v>1009.3333333333334</v>
      </c>
      <c r="C251" s="8"/>
      <c r="D251" s="8"/>
    </row>
    <row r="252" spans="1:6" x14ac:dyDescent="0.3">
      <c r="A252" s="19" t="s">
        <v>129</v>
      </c>
      <c r="B252" s="20">
        <f>C252/750</f>
        <v>0</v>
      </c>
      <c r="C252" s="8"/>
      <c r="D252" s="8"/>
    </row>
    <row r="253" spans="1:6" x14ac:dyDescent="0.3">
      <c r="A253" s="12" t="s">
        <v>107</v>
      </c>
      <c r="B253" s="22">
        <f>B252</f>
        <v>0</v>
      </c>
      <c r="C253" s="8"/>
      <c r="D253" s="8"/>
    </row>
    <row r="254" spans="1:6" x14ac:dyDescent="0.3">
      <c r="A254" s="12" t="s">
        <v>130</v>
      </c>
      <c r="B254" s="20">
        <f>B241-B245-B251-B253</f>
        <v>-1.1368683772161603E-13</v>
      </c>
      <c r="C254" s="8" t="s">
        <v>126</v>
      </c>
      <c r="D254" s="8"/>
    </row>
    <row r="256" spans="1:6" x14ac:dyDescent="0.3">
      <c r="A256" s="12" t="s">
        <v>131</v>
      </c>
      <c r="B256" s="23" t="s">
        <v>10</v>
      </c>
    </row>
    <row r="257" spans="1:2" x14ac:dyDescent="0.3">
      <c r="A257" s="12" t="s">
        <v>132</v>
      </c>
      <c r="B257" s="7"/>
    </row>
    <row r="258" spans="1:2" x14ac:dyDescent="0.3">
      <c r="A258" s="19" t="s">
        <v>133</v>
      </c>
      <c r="B258" s="7"/>
    </row>
    <row r="259" spans="1:2" x14ac:dyDescent="0.3">
      <c r="A259" s="12" t="s">
        <v>134</v>
      </c>
      <c r="B259" s="17">
        <f>B257-B258</f>
        <v>0</v>
      </c>
    </row>
    <row r="260" spans="1:2" x14ac:dyDescent="0.3">
      <c r="A260" s="12" t="s">
        <v>135</v>
      </c>
      <c r="B260" s="17">
        <f>B261+B262+B263+B264+B265+B266+B267+B268</f>
        <v>0</v>
      </c>
    </row>
    <row r="261" spans="1:2" x14ac:dyDescent="0.3">
      <c r="A261" s="19" t="s">
        <v>136</v>
      </c>
      <c r="B261" s="7"/>
    </row>
    <row r="262" spans="1:2" x14ac:dyDescent="0.3">
      <c r="A262" s="19" t="s">
        <v>137</v>
      </c>
      <c r="B262" s="7"/>
    </row>
    <row r="263" spans="1:2" x14ac:dyDescent="0.3">
      <c r="A263" s="19" t="s">
        <v>138</v>
      </c>
      <c r="B263" s="7"/>
    </row>
    <row r="264" spans="1:2" x14ac:dyDescent="0.3">
      <c r="A264" s="19" t="s">
        <v>139</v>
      </c>
      <c r="B264" s="7"/>
    </row>
    <row r="265" spans="1:2" x14ac:dyDescent="0.3">
      <c r="A265" s="19" t="s">
        <v>140</v>
      </c>
      <c r="B265" s="7"/>
    </row>
    <row r="266" spans="1:2" x14ac:dyDescent="0.3">
      <c r="A266" s="19" t="s">
        <v>141</v>
      </c>
      <c r="B266" s="7"/>
    </row>
    <row r="267" spans="1:2" x14ac:dyDescent="0.3">
      <c r="A267" s="19" t="s">
        <v>142</v>
      </c>
      <c r="B267" s="7"/>
    </row>
    <row r="268" spans="1:2" x14ac:dyDescent="0.3">
      <c r="A268" s="19" t="s">
        <v>143</v>
      </c>
      <c r="B268" s="7"/>
    </row>
    <row r="269" spans="1:2" x14ac:dyDescent="0.3">
      <c r="A269" s="12" t="s">
        <v>144</v>
      </c>
      <c r="B269" s="17">
        <f>B270+B271+B272</f>
        <v>0</v>
      </c>
    </row>
    <row r="270" spans="1:2" x14ac:dyDescent="0.3">
      <c r="A270" s="19" t="s">
        <v>145</v>
      </c>
      <c r="B270" s="7"/>
    </row>
    <row r="271" spans="1:2" x14ac:dyDescent="0.3">
      <c r="A271" s="19" t="s">
        <v>146</v>
      </c>
      <c r="B271" s="7"/>
    </row>
    <row r="272" spans="1:2" x14ac:dyDescent="0.3">
      <c r="A272" s="19" t="s">
        <v>147</v>
      </c>
      <c r="B272" s="7"/>
    </row>
    <row r="273" spans="1:5" x14ac:dyDescent="0.3">
      <c r="A273" s="12" t="s">
        <v>148</v>
      </c>
      <c r="B273" s="17">
        <f>B259-B260-B269</f>
        <v>0</v>
      </c>
    </row>
    <row r="279" spans="1:5" x14ac:dyDescent="0.3">
      <c r="A279" s="24"/>
    </row>
    <row r="280" spans="1:5" x14ac:dyDescent="0.3">
      <c r="A280" s="24"/>
    </row>
    <row r="281" spans="1:5" x14ac:dyDescent="0.3">
      <c r="A281" s="24"/>
    </row>
    <row r="282" spans="1:5" x14ac:dyDescent="0.3">
      <c r="A282" s="24"/>
    </row>
    <row r="283" spans="1:5" x14ac:dyDescent="0.3">
      <c r="A283" s="24"/>
    </row>
    <row r="284" spans="1:5" x14ac:dyDescent="0.3">
      <c r="A284" s="24"/>
    </row>
    <row r="285" spans="1:5" x14ac:dyDescent="0.3">
      <c r="A285" s="24"/>
    </row>
    <row r="286" spans="1:5" x14ac:dyDescent="0.3">
      <c r="A286" s="25"/>
      <c r="B286" s="25"/>
      <c r="C286" s="25"/>
      <c r="D286" s="25"/>
      <c r="E286" s="2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7725A-0ECD-430D-BBBE-44C4B4D9ADA6}">
  <dimension ref="A1:Y286"/>
  <sheetViews>
    <sheetView zoomScale="80" zoomScaleNormal="80" workbookViewId="0">
      <pane ySplit="1" topLeftCell="A2" activePane="bottomLeft" state="frozen"/>
      <selection pane="bottomLeft" sqref="A1:XFD1"/>
    </sheetView>
  </sheetViews>
  <sheetFormatPr baseColWidth="10" defaultRowHeight="14.4" x14ac:dyDescent="0.3"/>
  <cols>
    <col min="1" max="1" width="54.5546875" customWidth="1"/>
    <col min="3" max="3" width="20" customWidth="1"/>
    <col min="4" max="4" width="11.109375" customWidth="1"/>
    <col min="5" max="6" width="8.33203125" customWidth="1"/>
    <col min="7" max="7" width="12.33203125" customWidth="1"/>
    <col min="8" max="8" width="15" customWidth="1"/>
    <col min="9" max="9" width="12.6640625" customWidth="1"/>
    <col min="10" max="10" width="9.33203125" customWidth="1"/>
    <col min="11" max="11" width="9.109375" customWidth="1"/>
    <col min="12" max="12" width="11.33203125" customWidth="1"/>
    <col min="13" max="13" width="11.109375" customWidth="1"/>
    <col min="14" max="14" width="8.33203125" customWidth="1"/>
    <col min="15" max="15" width="9.6640625" customWidth="1"/>
    <col min="16" max="16" width="18.5546875" customWidth="1"/>
    <col min="18" max="18" width="13" customWidth="1"/>
    <col min="19" max="19" width="15.6640625" customWidth="1"/>
    <col min="21" max="21" width="17.109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186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16</v>
      </c>
      <c r="W1" s="4" t="s">
        <v>3</v>
      </c>
      <c r="X1" s="4" t="s">
        <v>16</v>
      </c>
      <c r="Y1" s="4" t="s">
        <v>13</v>
      </c>
    </row>
    <row r="2" spans="1:25" x14ac:dyDescent="0.3">
      <c r="A2" s="5" t="s">
        <v>18</v>
      </c>
      <c r="B2" s="6">
        <v>0</v>
      </c>
      <c r="C2" s="7"/>
      <c r="D2" s="7"/>
      <c r="E2" s="8"/>
      <c r="F2" s="8"/>
      <c r="G2" s="9">
        <v>100</v>
      </c>
      <c r="H2" s="26">
        <f t="shared" ref="H2:H72" si="0">(E2+F2)*G2</f>
        <v>0</v>
      </c>
      <c r="I2" s="7"/>
      <c r="J2" s="7"/>
      <c r="K2" s="7"/>
      <c r="L2" s="7">
        <v>2.86</v>
      </c>
      <c r="M2" s="7"/>
      <c r="N2" s="7">
        <f>B2+C2-D2-E2-F2</f>
        <v>0</v>
      </c>
      <c r="O2" s="7">
        <f t="shared" ref="O2:O110" si="1">E2*L2+F2*M2</f>
        <v>0</v>
      </c>
      <c r="P2" s="7"/>
      <c r="R2" s="4"/>
      <c r="S2">
        <v>78265</v>
      </c>
      <c r="T2" s="4" t="s">
        <v>19</v>
      </c>
      <c r="U2" s="4"/>
      <c r="V2" s="4"/>
      <c r="W2" s="4"/>
      <c r="X2" s="4"/>
      <c r="Y2" s="4"/>
    </row>
    <row r="3" spans="1:25" x14ac:dyDescent="0.3">
      <c r="A3" s="5" t="s">
        <v>270</v>
      </c>
      <c r="B3" s="6">
        <v>25</v>
      </c>
      <c r="C3" s="7"/>
      <c r="D3" s="7"/>
      <c r="E3" s="8"/>
      <c r="F3" s="8"/>
      <c r="G3" s="9">
        <v>500</v>
      </c>
      <c r="H3" s="26">
        <f t="shared" si="0"/>
        <v>0</v>
      </c>
      <c r="I3" s="7"/>
      <c r="J3" s="7"/>
      <c r="K3" s="7"/>
      <c r="L3" s="7">
        <v>30</v>
      </c>
      <c r="M3" s="7"/>
      <c r="N3" s="7">
        <f>B3+C3-D3-E3-F3</f>
        <v>25</v>
      </c>
      <c r="O3" s="7">
        <f t="shared" si="1"/>
        <v>0</v>
      </c>
      <c r="P3" s="7"/>
      <c r="R3" s="4"/>
      <c r="T3" s="4"/>
      <c r="U3" s="4"/>
      <c r="V3" s="4"/>
      <c r="W3" s="4"/>
      <c r="X3" s="4"/>
      <c r="Y3" s="4"/>
    </row>
    <row r="4" spans="1:25" x14ac:dyDescent="0.3">
      <c r="A4" s="5" t="s">
        <v>229</v>
      </c>
      <c r="B4" s="6">
        <v>0</v>
      </c>
      <c r="C4" s="7"/>
      <c r="D4" s="7"/>
      <c r="E4" s="8"/>
      <c r="F4" s="8"/>
      <c r="G4" s="9">
        <v>5000</v>
      </c>
      <c r="H4" s="26">
        <f t="shared" si="0"/>
        <v>0</v>
      </c>
      <c r="I4" s="7"/>
      <c r="J4" s="7"/>
      <c r="K4" s="7"/>
      <c r="L4" s="7">
        <v>1600</v>
      </c>
      <c r="M4" s="7"/>
      <c r="N4" s="7">
        <f>B4+C4-D4-E4-F4</f>
        <v>0</v>
      </c>
      <c r="O4" s="7">
        <f t="shared" si="1"/>
        <v>0</v>
      </c>
      <c r="P4" s="7"/>
      <c r="R4" s="4"/>
      <c r="T4" s="4"/>
      <c r="U4" s="4"/>
      <c r="V4" s="4"/>
      <c r="W4" s="4"/>
      <c r="X4" s="4"/>
      <c r="Y4" s="4"/>
    </row>
    <row r="5" spans="1:25" x14ac:dyDescent="0.3">
      <c r="A5" s="5" t="s">
        <v>267</v>
      </c>
      <c r="B5" s="6">
        <v>1</v>
      </c>
      <c r="C5" s="7"/>
      <c r="D5" s="7"/>
      <c r="E5" s="8"/>
      <c r="F5" s="8"/>
      <c r="G5" s="9">
        <v>5000</v>
      </c>
      <c r="H5" s="26">
        <f t="shared" si="0"/>
        <v>0</v>
      </c>
      <c r="I5" s="7"/>
      <c r="J5" s="7"/>
      <c r="K5" s="7"/>
      <c r="L5" s="7">
        <v>780</v>
      </c>
      <c r="M5" s="7"/>
      <c r="N5" s="7">
        <f t="shared" ref="N5:N85" si="2">B5+C5-D5-E5-F5</f>
        <v>1</v>
      </c>
      <c r="O5" s="7">
        <f t="shared" si="1"/>
        <v>0</v>
      </c>
      <c r="P5" s="7"/>
      <c r="R5" s="4"/>
      <c r="T5" s="4"/>
      <c r="U5" s="4"/>
      <c r="V5" s="4"/>
      <c r="W5" s="4"/>
      <c r="X5" s="4"/>
      <c r="Y5" s="4"/>
    </row>
    <row r="6" spans="1:25" x14ac:dyDescent="0.3">
      <c r="A6" s="5" t="s">
        <v>279</v>
      </c>
      <c r="B6" s="6">
        <v>4</v>
      </c>
      <c r="C6" s="7"/>
      <c r="D6" s="7"/>
      <c r="E6" s="8"/>
      <c r="F6" s="8"/>
      <c r="G6" s="9">
        <v>5000</v>
      </c>
      <c r="H6" s="26">
        <f t="shared" si="0"/>
        <v>0</v>
      </c>
      <c r="I6" s="7"/>
      <c r="J6" s="7"/>
      <c r="K6" s="7"/>
      <c r="L6" s="7">
        <v>350</v>
      </c>
      <c r="M6" s="7"/>
      <c r="N6" s="7">
        <f t="shared" si="2"/>
        <v>4</v>
      </c>
      <c r="O6" s="7">
        <f t="shared" si="1"/>
        <v>0</v>
      </c>
      <c r="P6" s="7"/>
      <c r="R6" s="4"/>
      <c r="T6" s="4"/>
      <c r="U6" s="4"/>
      <c r="V6" s="4"/>
      <c r="W6" s="4"/>
      <c r="X6" s="4"/>
      <c r="Y6" s="4"/>
    </row>
    <row r="7" spans="1:25" x14ac:dyDescent="0.3">
      <c r="A7" s="5" t="s">
        <v>260</v>
      </c>
      <c r="B7" s="6">
        <v>1</v>
      </c>
      <c r="C7" s="7"/>
      <c r="D7" s="7"/>
      <c r="E7" s="8"/>
      <c r="F7" s="8"/>
      <c r="G7" s="9">
        <v>5000</v>
      </c>
      <c r="H7" s="26"/>
      <c r="I7" s="7"/>
      <c r="J7" s="7"/>
      <c r="K7" s="7"/>
      <c r="L7" s="7">
        <v>500</v>
      </c>
      <c r="M7" s="7"/>
      <c r="N7" s="7">
        <f t="shared" si="2"/>
        <v>1</v>
      </c>
      <c r="O7" s="7">
        <f t="shared" si="1"/>
        <v>0</v>
      </c>
      <c r="P7" s="7"/>
      <c r="R7" s="4"/>
      <c r="T7" s="4"/>
      <c r="U7" s="4"/>
      <c r="V7" s="4"/>
      <c r="W7" s="4"/>
      <c r="X7" s="4"/>
      <c r="Y7" s="4"/>
    </row>
    <row r="8" spans="1:25" x14ac:dyDescent="0.3">
      <c r="A8" s="5" t="s">
        <v>209</v>
      </c>
      <c r="B8" s="6">
        <v>1</v>
      </c>
      <c r="C8" s="10"/>
      <c r="D8" s="7"/>
      <c r="E8" s="8"/>
      <c r="F8" s="8"/>
      <c r="G8" s="9">
        <v>5000</v>
      </c>
      <c r="H8" s="26">
        <f t="shared" si="0"/>
        <v>0</v>
      </c>
      <c r="I8" s="7"/>
      <c r="J8" s="7">
        <v>30</v>
      </c>
      <c r="K8" s="7"/>
      <c r="L8" s="7">
        <v>1300</v>
      </c>
      <c r="M8" s="7"/>
      <c r="N8" s="7">
        <f t="shared" si="2"/>
        <v>1</v>
      </c>
      <c r="O8" s="7">
        <f t="shared" si="1"/>
        <v>0</v>
      </c>
      <c r="P8" s="7"/>
      <c r="R8" s="4"/>
      <c r="S8">
        <v>298745</v>
      </c>
      <c r="T8" s="4" t="s">
        <v>20</v>
      </c>
      <c r="U8" s="4"/>
      <c r="V8" s="4" t="s">
        <v>21</v>
      </c>
      <c r="W8" s="4"/>
      <c r="X8" s="4"/>
      <c r="Y8" s="4"/>
    </row>
    <row r="9" spans="1:25" x14ac:dyDescent="0.3">
      <c r="A9" s="5" t="s">
        <v>167</v>
      </c>
      <c r="B9" s="6">
        <v>8</v>
      </c>
      <c r="C9" s="10"/>
      <c r="D9" s="7"/>
      <c r="E9" s="8"/>
      <c r="F9" s="8"/>
      <c r="G9" s="9">
        <v>1000</v>
      </c>
      <c r="H9" s="26"/>
      <c r="I9" s="7"/>
      <c r="J9" s="7"/>
      <c r="K9" s="7"/>
      <c r="L9" s="7">
        <v>100</v>
      </c>
      <c r="M9" s="7"/>
      <c r="N9" s="7">
        <f t="shared" si="2"/>
        <v>8</v>
      </c>
      <c r="O9" s="7">
        <f t="shared" si="1"/>
        <v>0</v>
      </c>
      <c r="P9" s="7"/>
      <c r="R9" s="4"/>
      <c r="T9" s="4"/>
      <c r="U9" s="4"/>
      <c r="V9" s="4"/>
      <c r="W9" s="4"/>
      <c r="X9" s="4"/>
      <c r="Y9" s="4"/>
    </row>
    <row r="10" spans="1:25" x14ac:dyDescent="0.3">
      <c r="A10" s="5" t="s">
        <v>22</v>
      </c>
      <c r="B10" s="6">
        <v>0</v>
      </c>
      <c r="C10" s="7"/>
      <c r="D10" s="7"/>
      <c r="E10" s="8"/>
      <c r="F10" s="8"/>
      <c r="G10" s="9">
        <v>1000</v>
      </c>
      <c r="H10" s="26"/>
      <c r="I10" s="7"/>
      <c r="J10" s="7"/>
      <c r="K10" s="7"/>
      <c r="L10" s="7">
        <v>50</v>
      </c>
      <c r="M10" s="7"/>
      <c r="N10" s="7">
        <f t="shared" si="2"/>
        <v>0</v>
      </c>
      <c r="O10" s="7">
        <f t="shared" si="1"/>
        <v>0</v>
      </c>
      <c r="P10" s="7"/>
      <c r="R10" s="4"/>
      <c r="T10" s="4"/>
      <c r="U10" s="4"/>
      <c r="V10" s="4"/>
      <c r="W10" s="4"/>
      <c r="X10" s="4"/>
      <c r="Y10" s="4"/>
    </row>
    <row r="11" spans="1:25" x14ac:dyDescent="0.3">
      <c r="A11" s="5" t="s">
        <v>214</v>
      </c>
      <c r="B11" s="6">
        <v>0</v>
      </c>
      <c r="C11" s="7"/>
      <c r="D11" s="7"/>
      <c r="E11" s="8"/>
      <c r="F11" s="8"/>
      <c r="G11" s="9">
        <v>500</v>
      </c>
      <c r="H11" s="26">
        <f t="shared" si="0"/>
        <v>0</v>
      </c>
      <c r="I11" s="7"/>
      <c r="J11" s="7">
        <v>7</v>
      </c>
      <c r="K11" s="7"/>
      <c r="L11" s="7">
        <v>20</v>
      </c>
      <c r="M11" s="7"/>
      <c r="N11" s="7">
        <f t="shared" si="2"/>
        <v>0</v>
      </c>
      <c r="O11" s="7">
        <f t="shared" si="1"/>
        <v>0</v>
      </c>
      <c r="P11" s="7"/>
      <c r="R11" s="4"/>
      <c r="S11" s="4"/>
      <c r="T11" s="4"/>
      <c r="U11" s="4"/>
      <c r="V11" s="4" t="s">
        <v>23</v>
      </c>
      <c r="W11" s="4"/>
      <c r="X11" s="4"/>
      <c r="Y11" s="4"/>
    </row>
    <row r="12" spans="1:25" x14ac:dyDescent="0.3">
      <c r="A12" s="5" t="s">
        <v>24</v>
      </c>
      <c r="B12" s="6">
        <v>0</v>
      </c>
      <c r="C12" s="7"/>
      <c r="D12" s="7"/>
      <c r="E12" s="8"/>
      <c r="F12" s="8"/>
      <c r="G12" s="9">
        <v>500</v>
      </c>
      <c r="H12" s="26">
        <f t="shared" si="0"/>
        <v>0</v>
      </c>
      <c r="I12" s="7"/>
      <c r="J12" s="7"/>
      <c r="K12" s="7"/>
      <c r="L12" s="7">
        <v>25</v>
      </c>
      <c r="M12" s="7"/>
      <c r="N12" s="7">
        <f t="shared" si="2"/>
        <v>0</v>
      </c>
      <c r="O12" s="7">
        <f t="shared" si="1"/>
        <v>0</v>
      </c>
      <c r="P12" s="7"/>
      <c r="R12" s="4"/>
      <c r="S12" s="4"/>
      <c r="T12" s="4"/>
      <c r="U12" s="4"/>
      <c r="V12" s="4" t="s">
        <v>25</v>
      </c>
      <c r="W12" s="4"/>
      <c r="X12" s="4"/>
      <c r="Y12" s="4"/>
    </row>
    <row r="13" spans="1:25" x14ac:dyDescent="0.3">
      <c r="A13" s="5" t="s">
        <v>261</v>
      </c>
      <c r="B13" s="6">
        <v>0</v>
      </c>
      <c r="C13" s="7"/>
      <c r="D13" s="7"/>
      <c r="E13" s="8"/>
      <c r="F13" s="8"/>
      <c r="G13" s="9">
        <v>500</v>
      </c>
      <c r="H13" s="26">
        <f t="shared" si="0"/>
        <v>0</v>
      </c>
      <c r="I13" s="7"/>
      <c r="J13" s="7"/>
      <c r="K13" s="7"/>
      <c r="L13" s="7">
        <v>20</v>
      </c>
      <c r="M13" s="7"/>
      <c r="N13" s="7">
        <f t="shared" si="2"/>
        <v>0</v>
      </c>
      <c r="O13" s="7">
        <f t="shared" si="1"/>
        <v>0</v>
      </c>
      <c r="P13" s="7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5" t="s">
        <v>217</v>
      </c>
      <c r="B14" s="6">
        <v>0</v>
      </c>
      <c r="C14" s="7"/>
      <c r="D14" s="7"/>
      <c r="E14" s="8"/>
      <c r="F14" s="8"/>
      <c r="G14" s="9">
        <v>5000</v>
      </c>
      <c r="H14" s="26"/>
      <c r="I14" s="7"/>
      <c r="J14" s="7">
        <v>25</v>
      </c>
      <c r="K14" s="7"/>
      <c r="L14" s="7">
        <v>3200</v>
      </c>
      <c r="M14" s="7"/>
      <c r="N14" s="7">
        <f t="shared" si="2"/>
        <v>0</v>
      </c>
      <c r="O14" s="7">
        <f t="shared" si="1"/>
        <v>0</v>
      </c>
      <c r="P14" s="7"/>
      <c r="R14" s="4"/>
      <c r="S14" s="4">
        <f>S2+S8</f>
        <v>377010</v>
      </c>
      <c r="T14" s="4"/>
      <c r="U14" s="4"/>
      <c r="V14" s="4"/>
      <c r="W14" s="4"/>
      <c r="X14" s="4"/>
      <c r="Y14" s="4"/>
    </row>
    <row r="15" spans="1:25" x14ac:dyDescent="0.3">
      <c r="A15" s="5" t="s">
        <v>149</v>
      </c>
      <c r="B15" s="6">
        <v>1</v>
      </c>
      <c r="C15" s="7"/>
      <c r="D15" s="7"/>
      <c r="E15" s="8"/>
      <c r="F15" s="8"/>
      <c r="G15" s="9"/>
      <c r="H15" s="26">
        <f t="shared" si="0"/>
        <v>0</v>
      </c>
      <c r="I15" s="7"/>
      <c r="J15" s="7"/>
      <c r="K15" s="7"/>
      <c r="L15" s="7">
        <v>20</v>
      </c>
      <c r="M15" s="7"/>
      <c r="N15" s="7">
        <f t="shared" si="2"/>
        <v>1</v>
      </c>
      <c r="O15" s="7">
        <f t="shared" si="1"/>
        <v>0</v>
      </c>
      <c r="P15" s="7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5" t="s">
        <v>215</v>
      </c>
      <c r="B16" s="6">
        <v>0</v>
      </c>
      <c r="C16" s="7"/>
      <c r="D16" s="7"/>
      <c r="E16" s="8"/>
      <c r="F16" s="8"/>
      <c r="G16" s="9">
        <v>5000</v>
      </c>
      <c r="H16" s="26"/>
      <c r="I16" s="7"/>
      <c r="J16" s="7"/>
      <c r="K16" s="7"/>
      <c r="L16" s="7">
        <v>2550</v>
      </c>
      <c r="M16" s="7"/>
      <c r="N16" s="7">
        <f t="shared" si="2"/>
        <v>0</v>
      </c>
      <c r="O16" s="7">
        <f t="shared" si="1"/>
        <v>0</v>
      </c>
      <c r="P16" s="7"/>
      <c r="R16" s="4"/>
      <c r="S16" s="4"/>
      <c r="T16" s="4"/>
      <c r="U16" s="4"/>
      <c r="V16" s="4" t="s">
        <v>8</v>
      </c>
      <c r="W16" s="4"/>
      <c r="X16" s="4"/>
      <c r="Y16" s="4"/>
    </row>
    <row r="17" spans="1:25" x14ac:dyDescent="0.3">
      <c r="A17" s="5" t="s">
        <v>201</v>
      </c>
      <c r="B17" s="6">
        <v>0</v>
      </c>
      <c r="C17" s="7"/>
      <c r="D17" s="7"/>
      <c r="E17" s="8"/>
      <c r="F17" s="8"/>
      <c r="G17" s="9"/>
      <c r="H17" s="26"/>
      <c r="I17" s="7"/>
      <c r="J17" s="7"/>
      <c r="K17" s="7"/>
      <c r="L17" s="7"/>
      <c r="M17" s="7"/>
      <c r="N17" s="7">
        <f t="shared" si="2"/>
        <v>0</v>
      </c>
      <c r="O17" s="7"/>
      <c r="P17" s="7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5" t="s">
        <v>200</v>
      </c>
      <c r="B18" s="6">
        <v>0</v>
      </c>
      <c r="C18" s="7"/>
      <c r="D18" s="7"/>
      <c r="E18" s="8"/>
      <c r="F18" s="8"/>
      <c r="G18" s="9">
        <v>1000</v>
      </c>
      <c r="H18" s="26"/>
      <c r="I18" s="7"/>
      <c r="J18" s="7"/>
      <c r="K18" s="7"/>
      <c r="L18" s="7"/>
      <c r="M18" s="7"/>
      <c r="N18" s="7">
        <f t="shared" si="2"/>
        <v>0</v>
      </c>
      <c r="O18" s="7">
        <f t="shared" si="1"/>
        <v>0</v>
      </c>
      <c r="P18" s="7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5" t="s">
        <v>26</v>
      </c>
      <c r="B19" s="6">
        <v>0</v>
      </c>
      <c r="C19" s="7"/>
      <c r="D19" s="7"/>
      <c r="E19" s="8"/>
      <c r="F19" s="8"/>
      <c r="G19" s="9">
        <v>1000</v>
      </c>
      <c r="H19" s="26">
        <f t="shared" si="0"/>
        <v>0</v>
      </c>
      <c r="I19" s="7"/>
      <c r="J19" s="7"/>
      <c r="K19" s="7"/>
      <c r="L19" s="7">
        <v>35</v>
      </c>
      <c r="M19" s="7"/>
      <c r="N19" s="7">
        <f t="shared" si="2"/>
        <v>0</v>
      </c>
      <c r="O19" s="7">
        <f t="shared" si="1"/>
        <v>0</v>
      </c>
      <c r="P19" s="7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5" t="s">
        <v>27</v>
      </c>
      <c r="B20" s="6">
        <v>1</v>
      </c>
      <c r="C20" s="7"/>
      <c r="D20" s="7"/>
      <c r="E20" s="8"/>
      <c r="F20" s="8"/>
      <c r="G20" s="9">
        <v>1000</v>
      </c>
      <c r="H20" s="26">
        <f t="shared" si="0"/>
        <v>0</v>
      </c>
      <c r="I20" s="7"/>
      <c r="J20" s="7">
        <v>85</v>
      </c>
      <c r="K20" s="7"/>
      <c r="L20" s="7">
        <v>180</v>
      </c>
      <c r="M20" s="7"/>
      <c r="N20" s="7">
        <f t="shared" si="2"/>
        <v>1</v>
      </c>
      <c r="O20" s="7">
        <f t="shared" si="1"/>
        <v>0</v>
      </c>
      <c r="P20" s="7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5" t="s">
        <v>295</v>
      </c>
      <c r="B21" s="6">
        <v>2</v>
      </c>
      <c r="C21" s="7"/>
      <c r="D21" s="7"/>
      <c r="E21" s="8"/>
      <c r="F21" s="8"/>
      <c r="G21" s="9">
        <v>3000</v>
      </c>
      <c r="H21" s="26">
        <f t="shared" si="0"/>
        <v>0</v>
      </c>
      <c r="I21" s="7"/>
      <c r="J21" s="7">
        <v>160</v>
      </c>
      <c r="K21" s="7"/>
      <c r="L21" s="7">
        <v>160</v>
      </c>
      <c r="M21" s="7"/>
      <c r="N21" s="7">
        <f t="shared" si="2"/>
        <v>2</v>
      </c>
      <c r="O21" s="7">
        <f t="shared" si="1"/>
        <v>0</v>
      </c>
      <c r="P21" s="7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5" t="s">
        <v>28</v>
      </c>
      <c r="B22" s="6">
        <v>1</v>
      </c>
      <c r="C22" s="7"/>
      <c r="D22" s="7"/>
      <c r="E22" s="8"/>
      <c r="F22" s="8"/>
      <c r="G22" s="9">
        <v>1000</v>
      </c>
      <c r="H22" s="26">
        <f t="shared" si="0"/>
        <v>0</v>
      </c>
      <c r="I22" s="7"/>
      <c r="J22" s="7">
        <v>50</v>
      </c>
      <c r="K22" s="7"/>
      <c r="L22" s="7">
        <v>60</v>
      </c>
      <c r="M22" s="7"/>
      <c r="N22" s="7">
        <f t="shared" si="2"/>
        <v>1</v>
      </c>
      <c r="O22" s="7">
        <f t="shared" si="1"/>
        <v>0</v>
      </c>
      <c r="P22" s="7">
        <v>-1</v>
      </c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5" t="s">
        <v>29</v>
      </c>
      <c r="B23" s="6">
        <v>2</v>
      </c>
      <c r="C23" s="7"/>
      <c r="D23" s="7"/>
      <c r="E23" s="8"/>
      <c r="F23" s="8"/>
      <c r="G23" s="9">
        <v>1000</v>
      </c>
      <c r="H23" s="26">
        <f t="shared" si="0"/>
        <v>0</v>
      </c>
      <c r="I23" s="7"/>
      <c r="J23" s="7">
        <v>30</v>
      </c>
      <c r="K23" s="7"/>
      <c r="L23" s="7">
        <v>45</v>
      </c>
      <c r="M23" s="7"/>
      <c r="N23" s="7">
        <f t="shared" si="2"/>
        <v>2</v>
      </c>
      <c r="O23" s="7">
        <f t="shared" si="1"/>
        <v>0</v>
      </c>
      <c r="P23" s="7">
        <v>-1</v>
      </c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5" t="s">
        <v>158</v>
      </c>
      <c r="B24" s="6">
        <v>0</v>
      </c>
      <c r="C24" s="7"/>
      <c r="D24" s="7"/>
      <c r="E24" s="8"/>
      <c r="F24" s="8"/>
      <c r="G24" s="9">
        <v>2000</v>
      </c>
      <c r="H24" s="26">
        <f t="shared" si="0"/>
        <v>0</v>
      </c>
      <c r="I24" s="7"/>
      <c r="J24" s="7"/>
      <c r="K24" s="7"/>
      <c r="L24" s="7">
        <v>130</v>
      </c>
      <c r="M24" s="7"/>
      <c r="N24" s="7">
        <f t="shared" si="2"/>
        <v>0</v>
      </c>
      <c r="O24" s="7">
        <f t="shared" si="1"/>
        <v>0</v>
      </c>
      <c r="P24" s="7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5" t="s">
        <v>232</v>
      </c>
      <c r="B25" s="6">
        <v>6</v>
      </c>
      <c r="C25" s="7"/>
      <c r="D25" s="7"/>
      <c r="E25" s="8"/>
      <c r="F25" s="8"/>
      <c r="G25" s="9">
        <v>2000</v>
      </c>
      <c r="H25" s="26">
        <f t="shared" si="0"/>
        <v>0</v>
      </c>
      <c r="I25" s="7"/>
      <c r="J25" s="7"/>
      <c r="K25" s="7"/>
      <c r="L25" s="7">
        <v>130</v>
      </c>
      <c r="M25" s="7"/>
      <c r="N25" s="7">
        <f t="shared" si="2"/>
        <v>6</v>
      </c>
      <c r="O25" s="7">
        <f t="shared" si="1"/>
        <v>0</v>
      </c>
      <c r="P25" s="7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5" t="s">
        <v>308</v>
      </c>
      <c r="B26" s="6">
        <v>5</v>
      </c>
      <c r="C26" s="7"/>
      <c r="D26" s="7"/>
      <c r="E26" s="8"/>
      <c r="F26" s="8"/>
      <c r="G26" s="9">
        <v>2000</v>
      </c>
      <c r="H26" s="26">
        <f t="shared" si="0"/>
        <v>0</v>
      </c>
      <c r="I26" s="7"/>
      <c r="J26" s="7"/>
      <c r="K26" s="7"/>
      <c r="L26" s="7">
        <v>190</v>
      </c>
      <c r="M26" s="7"/>
      <c r="N26" s="7">
        <f t="shared" si="2"/>
        <v>5</v>
      </c>
      <c r="O26" s="7">
        <f t="shared" si="1"/>
        <v>0</v>
      </c>
      <c r="P26" s="7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5" t="s">
        <v>305</v>
      </c>
      <c r="B27" s="6">
        <v>5</v>
      </c>
      <c r="C27" s="7"/>
      <c r="D27" s="7"/>
      <c r="E27" s="8"/>
      <c r="F27" s="8"/>
      <c r="G27" s="9">
        <v>2000</v>
      </c>
      <c r="H27" s="26">
        <f t="shared" si="0"/>
        <v>0</v>
      </c>
      <c r="I27" s="7"/>
      <c r="J27" s="7"/>
      <c r="K27" s="7"/>
      <c r="L27" s="7">
        <v>185</v>
      </c>
      <c r="M27" s="7"/>
      <c r="N27" s="7">
        <f t="shared" si="2"/>
        <v>5</v>
      </c>
      <c r="O27" s="7">
        <f t="shared" si="1"/>
        <v>0</v>
      </c>
      <c r="P27" s="7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5" t="s">
        <v>307</v>
      </c>
      <c r="B28" s="6">
        <v>2</v>
      </c>
      <c r="C28" s="7"/>
      <c r="D28" s="7"/>
      <c r="E28" s="8"/>
      <c r="F28" s="8"/>
      <c r="G28" s="9">
        <v>2000</v>
      </c>
      <c r="H28" s="26">
        <f t="shared" si="0"/>
        <v>0</v>
      </c>
      <c r="I28" s="7"/>
      <c r="J28" s="7"/>
      <c r="K28" s="7"/>
      <c r="L28" s="7">
        <v>185</v>
      </c>
      <c r="M28" s="7"/>
      <c r="N28" s="7">
        <f t="shared" si="2"/>
        <v>2</v>
      </c>
      <c r="O28" s="7">
        <f t="shared" si="1"/>
        <v>0</v>
      </c>
      <c r="P28" s="7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5" t="s">
        <v>302</v>
      </c>
      <c r="B29" s="6">
        <v>4</v>
      </c>
      <c r="C29" s="7"/>
      <c r="D29" s="7"/>
      <c r="E29" s="8"/>
      <c r="F29" s="8"/>
      <c r="G29" s="9">
        <v>2000</v>
      </c>
      <c r="H29" s="26">
        <f t="shared" si="0"/>
        <v>0</v>
      </c>
      <c r="I29" s="7"/>
      <c r="J29" s="7"/>
      <c r="K29" s="7"/>
      <c r="L29" s="7">
        <v>130</v>
      </c>
      <c r="M29" s="7"/>
      <c r="N29" s="7">
        <f t="shared" si="2"/>
        <v>4</v>
      </c>
      <c r="O29" s="7">
        <f t="shared" si="1"/>
        <v>0</v>
      </c>
      <c r="P29" s="7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5" t="s">
        <v>306</v>
      </c>
      <c r="B30" s="6">
        <v>3</v>
      </c>
      <c r="C30" s="7"/>
      <c r="D30" s="7"/>
      <c r="E30" s="8"/>
      <c r="F30" s="8"/>
      <c r="G30" s="9">
        <v>2000</v>
      </c>
      <c r="H30" s="26">
        <f t="shared" si="0"/>
        <v>0</v>
      </c>
      <c r="I30" s="7"/>
      <c r="J30" s="7"/>
      <c r="K30" s="7"/>
      <c r="L30" s="7">
        <v>190</v>
      </c>
      <c r="M30" s="7"/>
      <c r="N30" s="7">
        <f t="shared" si="2"/>
        <v>3</v>
      </c>
      <c r="O30" s="7">
        <f t="shared" si="1"/>
        <v>0</v>
      </c>
      <c r="P30" s="7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5" t="s">
        <v>263</v>
      </c>
      <c r="B31" s="6">
        <v>0</v>
      </c>
      <c r="C31" s="7"/>
      <c r="D31" s="7"/>
      <c r="E31" s="8"/>
      <c r="F31" s="8"/>
      <c r="G31" s="9"/>
      <c r="H31" s="26">
        <f t="shared" si="0"/>
        <v>0</v>
      </c>
      <c r="I31" s="7"/>
      <c r="J31" s="7"/>
      <c r="K31" s="7"/>
      <c r="L31" s="7">
        <v>600</v>
      </c>
      <c r="M31" s="7"/>
      <c r="N31" s="7">
        <f t="shared" si="2"/>
        <v>0</v>
      </c>
      <c r="O31" s="7">
        <f t="shared" si="1"/>
        <v>0</v>
      </c>
      <c r="P31" s="7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5" t="s">
        <v>30</v>
      </c>
      <c r="B32" s="6">
        <v>1</v>
      </c>
      <c r="C32" s="7"/>
      <c r="D32" s="7"/>
      <c r="E32" s="8"/>
      <c r="F32" s="8"/>
      <c r="G32" s="9">
        <v>1000</v>
      </c>
      <c r="H32" s="26">
        <f t="shared" si="0"/>
        <v>0</v>
      </c>
      <c r="I32" s="7"/>
      <c r="J32" s="7"/>
      <c r="K32" s="7"/>
      <c r="L32" s="7"/>
      <c r="M32" s="7"/>
      <c r="N32" s="7">
        <f t="shared" si="2"/>
        <v>1</v>
      </c>
      <c r="O32" s="7">
        <f t="shared" si="1"/>
        <v>0</v>
      </c>
      <c r="P32" s="7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5" t="s">
        <v>294</v>
      </c>
      <c r="B33" s="6">
        <v>5</v>
      </c>
      <c r="C33" s="7"/>
      <c r="D33" s="7"/>
      <c r="E33" s="8"/>
      <c r="F33" s="8"/>
      <c r="G33" s="9">
        <v>1000</v>
      </c>
      <c r="H33" s="26">
        <f t="shared" si="0"/>
        <v>0</v>
      </c>
      <c r="I33" s="7"/>
      <c r="J33" s="7">
        <v>25</v>
      </c>
      <c r="K33" s="7"/>
      <c r="L33" s="7">
        <v>45</v>
      </c>
      <c r="M33" s="7"/>
      <c r="N33" s="7">
        <f t="shared" si="2"/>
        <v>5</v>
      </c>
      <c r="O33" s="7">
        <f t="shared" si="1"/>
        <v>0</v>
      </c>
      <c r="P33" s="7"/>
      <c r="R33" s="4"/>
      <c r="S33" s="4"/>
      <c r="T33" s="4"/>
      <c r="U33" s="4"/>
      <c r="V33" s="4" t="s">
        <v>31</v>
      </c>
      <c r="W33" s="4"/>
      <c r="X33" s="4"/>
      <c r="Y33" s="4"/>
    </row>
    <row r="34" spans="1:25" x14ac:dyDescent="0.3">
      <c r="A34" s="5" t="s">
        <v>218</v>
      </c>
      <c r="B34" s="6">
        <v>3</v>
      </c>
      <c r="C34" s="7"/>
      <c r="D34" s="7"/>
      <c r="E34" s="8"/>
      <c r="F34" s="8"/>
      <c r="G34" s="9"/>
      <c r="H34" s="26">
        <f t="shared" si="0"/>
        <v>0</v>
      </c>
      <c r="I34" s="7"/>
      <c r="J34" s="7"/>
      <c r="K34" s="7"/>
      <c r="L34" s="7"/>
      <c r="M34" s="7"/>
      <c r="N34" s="7">
        <f t="shared" si="2"/>
        <v>3</v>
      </c>
      <c r="O34" s="7"/>
      <c r="P34" s="7"/>
      <c r="R34" s="11"/>
      <c r="S34" s="11"/>
      <c r="T34" s="11"/>
      <c r="U34" s="11"/>
    </row>
    <row r="35" spans="1:25" x14ac:dyDescent="0.3">
      <c r="A35" s="5" t="s">
        <v>219</v>
      </c>
      <c r="B35" s="6">
        <v>0</v>
      </c>
      <c r="C35" s="7"/>
      <c r="D35" s="7"/>
      <c r="E35" s="8"/>
      <c r="F35" s="8"/>
      <c r="G35" s="9"/>
      <c r="H35" s="26">
        <f t="shared" si="0"/>
        <v>0</v>
      </c>
      <c r="I35" s="7"/>
      <c r="J35" s="7"/>
      <c r="K35" s="7"/>
      <c r="L35" s="7">
        <v>15</v>
      </c>
      <c r="M35" s="7"/>
      <c r="N35" s="7">
        <f t="shared" si="2"/>
        <v>0</v>
      </c>
      <c r="O35" s="7">
        <f t="shared" si="1"/>
        <v>0</v>
      </c>
      <c r="P35" s="7"/>
      <c r="R35" s="11" t="s">
        <v>32</v>
      </c>
      <c r="S35" s="11"/>
      <c r="T35" s="11" t="s">
        <v>33</v>
      </c>
      <c r="U35" s="11" t="s">
        <v>34</v>
      </c>
    </row>
    <row r="36" spans="1:25" x14ac:dyDescent="0.3">
      <c r="A36" s="5" t="s">
        <v>287</v>
      </c>
      <c r="B36" s="6">
        <v>10</v>
      </c>
      <c r="C36" s="7"/>
      <c r="D36" s="7"/>
      <c r="E36" s="8"/>
      <c r="F36" s="8"/>
      <c r="G36" s="9">
        <v>200</v>
      </c>
      <c r="H36" s="26">
        <f t="shared" si="0"/>
        <v>0</v>
      </c>
      <c r="I36" s="7"/>
      <c r="J36" s="7"/>
      <c r="K36" s="7"/>
      <c r="L36" s="7">
        <v>20</v>
      </c>
      <c r="M36" s="7"/>
      <c r="N36" s="7">
        <f t="shared" si="2"/>
        <v>10</v>
      </c>
      <c r="O36" s="7">
        <f t="shared" si="1"/>
        <v>0</v>
      </c>
      <c r="P36" s="7"/>
      <c r="R36" s="11"/>
      <c r="S36" s="11"/>
      <c r="T36" s="11"/>
      <c r="U36" s="11"/>
    </row>
    <row r="37" spans="1:25" x14ac:dyDescent="0.3">
      <c r="A37" s="5" t="s">
        <v>160</v>
      </c>
      <c r="B37" s="6">
        <v>0</v>
      </c>
      <c r="C37" s="7"/>
      <c r="D37" s="7"/>
      <c r="E37" s="8"/>
      <c r="F37" s="8"/>
      <c r="G37" s="9">
        <v>1500</v>
      </c>
      <c r="H37" s="26">
        <f t="shared" si="0"/>
        <v>0</v>
      </c>
      <c r="I37" s="7"/>
      <c r="J37" s="7"/>
      <c r="K37" s="7"/>
      <c r="L37" s="7">
        <v>160</v>
      </c>
      <c r="M37" s="7"/>
      <c r="N37" s="7">
        <f t="shared" si="2"/>
        <v>0</v>
      </c>
      <c r="O37" s="7">
        <f t="shared" si="1"/>
        <v>0</v>
      </c>
      <c r="P37" s="7"/>
      <c r="R37" s="11"/>
      <c r="S37" s="11"/>
      <c r="T37" s="11"/>
      <c r="U37" s="11"/>
    </row>
    <row r="38" spans="1:25" x14ac:dyDescent="0.3">
      <c r="A38" s="5" t="s">
        <v>35</v>
      </c>
      <c r="B38" s="6">
        <v>1</v>
      </c>
      <c r="C38" s="7"/>
      <c r="D38" s="7"/>
      <c r="E38" s="8"/>
      <c r="F38" s="8"/>
      <c r="G38" s="9">
        <v>1500</v>
      </c>
      <c r="H38" s="26">
        <f t="shared" si="0"/>
        <v>0</v>
      </c>
      <c r="I38" s="7"/>
      <c r="J38" s="7">
        <v>23</v>
      </c>
      <c r="K38" s="7"/>
      <c r="L38" s="7">
        <v>190</v>
      </c>
      <c r="M38" s="7"/>
      <c r="N38" s="7">
        <f t="shared" si="2"/>
        <v>1</v>
      </c>
      <c r="O38" s="7">
        <f t="shared" si="1"/>
        <v>0</v>
      </c>
      <c r="P38" s="7"/>
      <c r="R38" s="11"/>
      <c r="S38" s="11"/>
      <c r="T38" s="11"/>
      <c r="U38" s="11"/>
    </row>
    <row r="39" spans="1:25" x14ac:dyDescent="0.3">
      <c r="A39" s="5" t="s">
        <v>179</v>
      </c>
      <c r="B39" s="6">
        <v>2</v>
      </c>
      <c r="C39" s="7"/>
      <c r="D39" s="7"/>
      <c r="E39" s="8"/>
      <c r="F39" s="8"/>
      <c r="G39" s="9">
        <v>1250</v>
      </c>
      <c r="H39" s="26">
        <f t="shared" si="0"/>
        <v>0</v>
      </c>
      <c r="I39" s="7"/>
      <c r="J39" s="7"/>
      <c r="K39" s="7"/>
      <c r="L39" s="7">
        <v>36.409999999999997</v>
      </c>
      <c r="M39" s="7"/>
      <c r="N39" s="7">
        <f t="shared" si="2"/>
        <v>2</v>
      </c>
      <c r="O39" s="7">
        <f t="shared" si="1"/>
        <v>0</v>
      </c>
      <c r="P39" s="7"/>
      <c r="R39" s="4" t="s">
        <v>36</v>
      </c>
      <c r="S39" s="4"/>
      <c r="T39" s="4"/>
      <c r="U39" s="4"/>
    </row>
    <row r="40" spans="1:25" x14ac:dyDescent="0.3">
      <c r="A40" s="5" t="s">
        <v>37</v>
      </c>
      <c r="B40" s="6">
        <v>1</v>
      </c>
      <c r="C40" s="7"/>
      <c r="D40" s="7"/>
      <c r="E40" s="8"/>
      <c r="F40" s="8"/>
      <c r="G40" s="9">
        <v>500</v>
      </c>
      <c r="H40" s="26">
        <f t="shared" si="0"/>
        <v>0</v>
      </c>
      <c r="I40" s="7"/>
      <c r="J40" s="7">
        <v>5.5</v>
      </c>
      <c r="K40" s="7"/>
      <c r="L40" s="7">
        <v>15</v>
      </c>
      <c r="M40" s="7"/>
      <c r="N40" s="7">
        <f t="shared" si="2"/>
        <v>1</v>
      </c>
      <c r="O40" s="7">
        <f t="shared" si="1"/>
        <v>0</v>
      </c>
      <c r="P40" s="7"/>
      <c r="R40" s="4"/>
      <c r="S40" s="4"/>
      <c r="T40" s="4"/>
      <c r="U40" s="4"/>
    </row>
    <row r="41" spans="1:25" x14ac:dyDescent="0.3">
      <c r="A41" s="5" t="s">
        <v>235</v>
      </c>
      <c r="B41" s="6">
        <v>4</v>
      </c>
      <c r="C41" s="7"/>
      <c r="D41" s="7"/>
      <c r="E41" s="8"/>
      <c r="F41" s="8"/>
      <c r="G41" s="9">
        <v>1000</v>
      </c>
      <c r="H41" s="26">
        <f t="shared" si="0"/>
        <v>0</v>
      </c>
      <c r="I41" s="7"/>
      <c r="J41" s="7">
        <v>7</v>
      </c>
      <c r="K41" s="7"/>
      <c r="L41" s="7">
        <v>70</v>
      </c>
      <c r="M41" s="7"/>
      <c r="N41" s="7">
        <f t="shared" si="2"/>
        <v>4</v>
      </c>
      <c r="O41" s="7">
        <f t="shared" si="1"/>
        <v>0</v>
      </c>
      <c r="P41" s="7"/>
      <c r="R41" s="4"/>
      <c r="S41" s="4"/>
      <c r="T41" s="4"/>
      <c r="U41" s="4"/>
    </row>
    <row r="42" spans="1:25" x14ac:dyDescent="0.3">
      <c r="A42" s="5" t="s">
        <v>38</v>
      </c>
      <c r="B42" s="6">
        <v>3</v>
      </c>
      <c r="C42" s="7"/>
      <c r="D42" s="7"/>
      <c r="E42" s="8"/>
      <c r="F42" s="8"/>
      <c r="G42" s="9">
        <v>1000</v>
      </c>
      <c r="H42" s="26">
        <f t="shared" si="0"/>
        <v>0</v>
      </c>
      <c r="I42" s="7"/>
      <c r="J42" s="7">
        <v>21</v>
      </c>
      <c r="K42" s="7"/>
      <c r="L42" s="7">
        <v>40</v>
      </c>
      <c r="M42" s="7"/>
      <c r="N42" s="7">
        <f t="shared" si="2"/>
        <v>3</v>
      </c>
      <c r="O42" s="7">
        <f t="shared" si="1"/>
        <v>0</v>
      </c>
      <c r="P42" s="7">
        <v>-1</v>
      </c>
      <c r="R42" s="4"/>
      <c r="S42" s="4"/>
      <c r="T42" s="4"/>
      <c r="U42" s="4"/>
    </row>
    <row r="43" spans="1:25" x14ac:dyDescent="0.3">
      <c r="A43" s="5" t="s">
        <v>39</v>
      </c>
      <c r="B43" s="6">
        <v>4</v>
      </c>
      <c r="C43" s="7"/>
      <c r="D43" s="7"/>
      <c r="E43" s="8"/>
      <c r="F43" s="8"/>
      <c r="G43" s="9">
        <v>3000</v>
      </c>
      <c r="H43" s="26">
        <f t="shared" si="0"/>
        <v>0</v>
      </c>
      <c r="I43" s="7"/>
      <c r="J43" s="7">
        <v>220</v>
      </c>
      <c r="K43" s="7"/>
      <c r="L43" s="7">
        <v>200</v>
      </c>
      <c r="M43" s="7"/>
      <c r="N43" s="7">
        <f t="shared" si="2"/>
        <v>4</v>
      </c>
      <c r="O43" s="7">
        <f t="shared" si="1"/>
        <v>0</v>
      </c>
      <c r="P43" s="7"/>
      <c r="R43" s="4"/>
      <c r="S43" s="4"/>
      <c r="T43" s="4"/>
      <c r="U43" s="4"/>
    </row>
    <row r="44" spans="1:25" x14ac:dyDescent="0.3">
      <c r="A44" s="5" t="s">
        <v>40</v>
      </c>
      <c r="B44" s="6">
        <v>0</v>
      </c>
      <c r="C44" s="7"/>
      <c r="D44" s="7"/>
      <c r="E44" s="8"/>
      <c r="F44" s="8"/>
      <c r="G44" s="9">
        <v>3000</v>
      </c>
      <c r="H44" s="26">
        <f t="shared" si="0"/>
        <v>0</v>
      </c>
      <c r="I44" s="7"/>
      <c r="J44" s="7">
        <v>180</v>
      </c>
      <c r="K44" s="7"/>
      <c r="L44" s="7">
        <v>180</v>
      </c>
      <c r="M44" s="7"/>
      <c r="N44" s="7">
        <f t="shared" si="2"/>
        <v>0</v>
      </c>
      <c r="O44" s="7">
        <f t="shared" si="1"/>
        <v>0</v>
      </c>
      <c r="P44" s="7"/>
      <c r="R44" s="4"/>
      <c r="S44" s="4"/>
      <c r="T44" s="4"/>
      <c r="U44" s="4"/>
    </row>
    <row r="45" spans="1:25" x14ac:dyDescent="0.3">
      <c r="A45" s="5" t="s">
        <v>41</v>
      </c>
      <c r="B45" s="6">
        <v>0</v>
      </c>
      <c r="C45" s="7"/>
      <c r="D45" s="7"/>
      <c r="E45" s="8"/>
      <c r="F45" s="8"/>
      <c r="G45" s="9">
        <v>2000</v>
      </c>
      <c r="H45" s="26">
        <f t="shared" si="0"/>
        <v>0</v>
      </c>
      <c r="I45" s="7"/>
      <c r="J45" s="7">
        <v>105</v>
      </c>
      <c r="K45" s="7"/>
      <c r="L45" s="7">
        <v>160</v>
      </c>
      <c r="M45" s="7"/>
      <c r="N45" s="7">
        <f t="shared" si="2"/>
        <v>0</v>
      </c>
      <c r="O45" s="7">
        <f t="shared" si="1"/>
        <v>0</v>
      </c>
      <c r="P45" s="7"/>
      <c r="R45" s="4"/>
      <c r="S45" s="4"/>
      <c r="T45" s="4"/>
      <c r="U45" s="4"/>
    </row>
    <row r="46" spans="1:25" x14ac:dyDescent="0.3">
      <c r="A46" s="5" t="s">
        <v>42</v>
      </c>
      <c r="B46" s="6">
        <v>0</v>
      </c>
      <c r="C46" s="7"/>
      <c r="D46" s="7"/>
      <c r="E46" s="8"/>
      <c r="F46" s="8"/>
      <c r="G46" s="9">
        <v>17800</v>
      </c>
      <c r="H46" s="26">
        <f t="shared" si="0"/>
        <v>0</v>
      </c>
      <c r="I46" s="7"/>
      <c r="J46" s="7">
        <v>0</v>
      </c>
      <c r="K46" s="7"/>
      <c r="L46" s="7">
        <v>760</v>
      </c>
      <c r="M46" s="7"/>
      <c r="N46" s="7">
        <f t="shared" si="2"/>
        <v>0</v>
      </c>
      <c r="O46" s="7">
        <f t="shared" si="1"/>
        <v>0</v>
      </c>
      <c r="P46" s="7"/>
      <c r="R46" s="4"/>
      <c r="S46" s="4"/>
      <c r="T46" s="4"/>
      <c r="U46" s="4"/>
    </row>
    <row r="47" spans="1:25" x14ac:dyDescent="0.3">
      <c r="A47" s="5" t="s">
        <v>330</v>
      </c>
      <c r="B47" s="6">
        <v>2</v>
      </c>
      <c r="C47" s="7"/>
      <c r="D47" s="7"/>
      <c r="E47" s="8"/>
      <c r="F47" s="8"/>
      <c r="G47" s="9">
        <v>5000</v>
      </c>
      <c r="H47" s="26">
        <f t="shared" si="0"/>
        <v>0</v>
      </c>
      <c r="I47" s="7"/>
      <c r="J47" s="7">
        <v>600</v>
      </c>
      <c r="K47" s="7"/>
      <c r="L47" s="7">
        <v>1200</v>
      </c>
      <c r="M47" s="7"/>
      <c r="N47" s="7">
        <f t="shared" si="2"/>
        <v>2</v>
      </c>
      <c r="O47" s="7">
        <f t="shared" si="1"/>
        <v>0</v>
      </c>
      <c r="P47" s="7"/>
      <c r="R47" s="4"/>
      <c r="S47" s="4"/>
      <c r="T47" s="4"/>
      <c r="U47" s="4"/>
    </row>
    <row r="48" spans="1:25" x14ac:dyDescent="0.3">
      <c r="A48" s="5" t="s">
        <v>154</v>
      </c>
      <c r="B48" s="6">
        <v>0</v>
      </c>
      <c r="C48" s="7"/>
      <c r="D48" s="7"/>
      <c r="E48" s="8"/>
      <c r="F48" s="8"/>
      <c r="G48" s="9">
        <v>5000</v>
      </c>
      <c r="H48" s="26">
        <f t="shared" si="0"/>
        <v>0</v>
      </c>
      <c r="I48" s="7"/>
      <c r="J48" s="7"/>
      <c r="K48" s="7"/>
      <c r="L48" s="7">
        <v>800</v>
      </c>
      <c r="M48" s="7"/>
      <c r="N48" s="7">
        <f t="shared" si="2"/>
        <v>0</v>
      </c>
      <c r="O48" s="7">
        <f t="shared" si="1"/>
        <v>0</v>
      </c>
      <c r="P48" s="7"/>
      <c r="R48" s="4"/>
      <c r="S48" s="4"/>
      <c r="T48" s="4"/>
      <c r="U48" s="4"/>
    </row>
    <row r="49" spans="1:21" x14ac:dyDescent="0.3">
      <c r="A49" s="5" t="s">
        <v>187</v>
      </c>
      <c r="B49" s="6">
        <v>3</v>
      </c>
      <c r="C49" s="7"/>
      <c r="D49" s="7"/>
      <c r="E49" s="8"/>
      <c r="F49" s="8"/>
      <c r="G49" s="9">
        <v>6000</v>
      </c>
      <c r="H49" s="26">
        <f t="shared" si="0"/>
        <v>0</v>
      </c>
      <c r="I49" s="7"/>
      <c r="J49" s="7">
        <v>1700</v>
      </c>
      <c r="K49" s="7"/>
      <c r="L49" s="7">
        <v>800</v>
      </c>
      <c r="M49" s="7"/>
      <c r="N49" s="7">
        <f t="shared" si="2"/>
        <v>3</v>
      </c>
      <c r="O49" s="7">
        <f t="shared" si="1"/>
        <v>0</v>
      </c>
      <c r="P49" s="7"/>
      <c r="R49" s="4"/>
      <c r="S49" s="4"/>
      <c r="T49" s="4"/>
      <c r="U49" s="4"/>
    </row>
    <row r="50" spans="1:21" x14ac:dyDescent="0.3">
      <c r="A50" s="5" t="s">
        <v>44</v>
      </c>
      <c r="B50" s="6">
        <v>0</v>
      </c>
      <c r="C50" s="7"/>
      <c r="D50" s="7"/>
      <c r="E50" s="8"/>
      <c r="F50" s="8"/>
      <c r="G50" s="9"/>
      <c r="H50" s="26">
        <f t="shared" si="0"/>
        <v>0</v>
      </c>
      <c r="I50" s="7"/>
      <c r="J50" s="7">
        <v>3300</v>
      </c>
      <c r="K50" s="7"/>
      <c r="L50" s="7"/>
      <c r="M50" s="7"/>
      <c r="N50" s="7">
        <f t="shared" si="2"/>
        <v>0</v>
      </c>
      <c r="O50" s="7">
        <f t="shared" si="1"/>
        <v>0</v>
      </c>
      <c r="P50" s="7"/>
      <c r="R50" s="4"/>
      <c r="S50" s="4"/>
      <c r="T50" s="4"/>
      <c r="U50" s="4"/>
    </row>
    <row r="51" spans="1:21" x14ac:dyDescent="0.3">
      <c r="A51" s="5" t="s">
        <v>208</v>
      </c>
      <c r="B51" s="6">
        <v>0</v>
      </c>
      <c r="C51" s="7"/>
      <c r="D51" s="7"/>
      <c r="E51" s="8"/>
      <c r="F51" s="8"/>
      <c r="G51" s="9">
        <v>7000</v>
      </c>
      <c r="H51" s="26"/>
      <c r="I51" s="7"/>
      <c r="J51" s="7">
        <v>800</v>
      </c>
      <c r="K51" s="7"/>
      <c r="L51" s="7">
        <v>1300</v>
      </c>
      <c r="M51" s="7"/>
      <c r="N51" s="7">
        <f t="shared" si="2"/>
        <v>0</v>
      </c>
      <c r="O51" s="7">
        <f t="shared" si="1"/>
        <v>0</v>
      </c>
      <c r="P51" s="7"/>
      <c r="R51" s="4"/>
      <c r="S51" s="4"/>
      <c r="T51" s="4"/>
      <c r="U51" s="4"/>
    </row>
    <row r="52" spans="1:21" x14ac:dyDescent="0.3">
      <c r="A52" s="5" t="s">
        <v>151</v>
      </c>
      <c r="B52" s="6">
        <v>0</v>
      </c>
      <c r="C52" s="7"/>
      <c r="D52" s="7"/>
      <c r="E52" s="8"/>
      <c r="F52" s="8"/>
      <c r="G52" s="9">
        <v>2000</v>
      </c>
      <c r="H52" s="26"/>
      <c r="I52" s="7"/>
      <c r="J52" s="7"/>
      <c r="K52" s="7"/>
      <c r="L52" s="7">
        <v>230</v>
      </c>
      <c r="M52" s="7"/>
      <c r="N52" s="7">
        <f t="shared" si="2"/>
        <v>0</v>
      </c>
      <c r="O52" s="7">
        <f t="shared" si="1"/>
        <v>0</v>
      </c>
      <c r="P52" s="7"/>
      <c r="R52" s="4"/>
      <c r="S52" s="4"/>
      <c r="T52" s="4"/>
      <c r="U52" s="4"/>
    </row>
    <row r="53" spans="1:21" x14ac:dyDescent="0.3">
      <c r="A53" s="5" t="s">
        <v>45</v>
      </c>
      <c r="B53" s="6">
        <v>0</v>
      </c>
      <c r="C53" s="7"/>
      <c r="D53" s="7"/>
      <c r="E53" s="8"/>
      <c r="F53" s="8"/>
      <c r="G53" s="9">
        <v>5500</v>
      </c>
      <c r="H53" s="26">
        <f t="shared" si="0"/>
        <v>0</v>
      </c>
      <c r="I53" s="7"/>
      <c r="J53" s="7"/>
      <c r="K53" s="7"/>
      <c r="L53" s="7">
        <v>800</v>
      </c>
      <c r="M53" s="7"/>
      <c r="N53" s="7">
        <f t="shared" si="2"/>
        <v>0</v>
      </c>
      <c r="O53" s="7">
        <f t="shared" si="1"/>
        <v>0</v>
      </c>
      <c r="P53" s="7"/>
      <c r="R53" s="4"/>
      <c r="S53" s="4"/>
      <c r="T53" s="4"/>
      <c r="U53" s="4"/>
    </row>
    <row r="54" spans="1:21" x14ac:dyDescent="0.3">
      <c r="A54" s="5" t="s">
        <v>46</v>
      </c>
      <c r="B54" s="6">
        <v>0</v>
      </c>
      <c r="C54" s="7"/>
      <c r="D54" s="7"/>
      <c r="E54" s="8"/>
      <c r="F54" s="8"/>
      <c r="G54" s="9"/>
      <c r="H54" s="26">
        <f t="shared" si="0"/>
        <v>0</v>
      </c>
      <c r="I54" s="7"/>
      <c r="J54" s="7"/>
      <c r="K54" s="7"/>
      <c r="L54" s="7">
        <v>120</v>
      </c>
      <c r="M54" s="7"/>
      <c r="N54" s="7">
        <f t="shared" si="2"/>
        <v>0</v>
      </c>
      <c r="O54" s="7">
        <f t="shared" si="1"/>
        <v>0</v>
      </c>
      <c r="P54" s="7"/>
      <c r="R54" s="4"/>
      <c r="S54" s="4"/>
      <c r="T54" s="4"/>
      <c r="U54" s="4"/>
    </row>
    <row r="55" spans="1:21" x14ac:dyDescent="0.3">
      <c r="A55" s="5" t="s">
        <v>310</v>
      </c>
      <c r="B55" s="6">
        <v>1</v>
      </c>
      <c r="C55" s="7"/>
      <c r="D55" s="7"/>
      <c r="E55" s="8"/>
      <c r="F55" s="8"/>
      <c r="G55" s="9">
        <v>4000</v>
      </c>
      <c r="H55" s="26"/>
      <c r="I55" s="7"/>
      <c r="J55" s="7"/>
      <c r="K55" s="7"/>
      <c r="L55" s="7">
        <v>510</v>
      </c>
      <c r="M55" s="7"/>
      <c r="N55" s="7">
        <f t="shared" si="2"/>
        <v>1</v>
      </c>
      <c r="O55" s="7">
        <f t="shared" si="1"/>
        <v>0</v>
      </c>
      <c r="P55" s="7"/>
      <c r="R55" s="4"/>
      <c r="S55" s="4"/>
      <c r="T55" s="4"/>
      <c r="U55" s="4"/>
    </row>
    <row r="56" spans="1:21" x14ac:dyDescent="0.3">
      <c r="A56" s="5" t="s">
        <v>244</v>
      </c>
      <c r="B56" s="6">
        <v>0</v>
      </c>
      <c r="C56" s="7"/>
      <c r="D56" s="7"/>
      <c r="E56" s="8"/>
      <c r="F56" s="8"/>
      <c r="G56" s="9">
        <v>4000</v>
      </c>
      <c r="H56" s="26">
        <f t="shared" si="0"/>
        <v>0</v>
      </c>
      <c r="I56" s="7"/>
      <c r="J56" s="7"/>
      <c r="K56" s="7"/>
      <c r="L56" s="7">
        <v>500</v>
      </c>
      <c r="M56" s="7"/>
      <c r="N56" s="7">
        <f t="shared" si="2"/>
        <v>0</v>
      </c>
      <c r="O56" s="7">
        <f t="shared" si="1"/>
        <v>0</v>
      </c>
      <c r="P56" s="7"/>
      <c r="R56" s="4"/>
      <c r="S56" s="4"/>
      <c r="T56" s="4"/>
      <c r="U56" s="4"/>
    </row>
    <row r="57" spans="1:21" x14ac:dyDescent="0.3">
      <c r="A57" s="5" t="s">
        <v>47</v>
      </c>
      <c r="B57" s="6">
        <v>0</v>
      </c>
      <c r="C57" s="7"/>
      <c r="D57" s="7"/>
      <c r="E57" s="8"/>
      <c r="F57" s="8"/>
      <c r="G57" s="9">
        <v>4000</v>
      </c>
      <c r="H57" s="26">
        <f t="shared" si="0"/>
        <v>0</v>
      </c>
      <c r="I57" s="7"/>
      <c r="J57" s="7">
        <v>600</v>
      </c>
      <c r="K57" s="7"/>
      <c r="L57" s="7">
        <v>630</v>
      </c>
      <c r="M57" s="7"/>
      <c r="N57" s="7">
        <f t="shared" si="2"/>
        <v>0</v>
      </c>
      <c r="O57" s="7">
        <f t="shared" si="1"/>
        <v>0</v>
      </c>
      <c r="P57" s="7"/>
      <c r="R57" s="4"/>
      <c r="S57" s="4"/>
      <c r="T57" s="4"/>
      <c r="U57" s="4"/>
    </row>
    <row r="58" spans="1:21" x14ac:dyDescent="0.3">
      <c r="A58" s="5" t="s">
        <v>48</v>
      </c>
      <c r="B58" s="6">
        <v>1</v>
      </c>
      <c r="C58" s="7"/>
      <c r="D58" s="7">
        <v>1</v>
      </c>
      <c r="E58" s="8"/>
      <c r="F58" s="8"/>
      <c r="G58" s="9">
        <v>5000</v>
      </c>
      <c r="H58" s="26">
        <f t="shared" si="0"/>
        <v>0</v>
      </c>
      <c r="I58" s="7"/>
      <c r="J58" s="7">
        <v>1050</v>
      </c>
      <c r="K58" s="7"/>
      <c r="L58" s="7">
        <v>900</v>
      </c>
      <c r="M58" s="7"/>
      <c r="N58" s="7">
        <f t="shared" si="2"/>
        <v>0</v>
      </c>
      <c r="O58" s="7">
        <f t="shared" si="1"/>
        <v>0</v>
      </c>
      <c r="P58" s="7" t="s">
        <v>316</v>
      </c>
      <c r="R58" s="4"/>
      <c r="S58" s="4"/>
      <c r="T58" s="4"/>
      <c r="U58" s="4"/>
    </row>
    <row r="59" spans="1:21" x14ac:dyDescent="0.3">
      <c r="A59" s="5" t="s">
        <v>238</v>
      </c>
      <c r="B59" s="6">
        <v>0</v>
      </c>
      <c r="C59" s="7"/>
      <c r="D59" s="7"/>
      <c r="E59" s="8"/>
      <c r="F59" s="8"/>
      <c r="G59" s="9">
        <v>1000</v>
      </c>
      <c r="H59" s="26">
        <f t="shared" si="0"/>
        <v>0</v>
      </c>
      <c r="I59" s="7"/>
      <c r="J59" s="7"/>
      <c r="K59" s="7"/>
      <c r="L59" s="7">
        <v>65</v>
      </c>
      <c r="M59" s="7"/>
      <c r="N59" s="7">
        <f t="shared" si="2"/>
        <v>0</v>
      </c>
      <c r="O59" s="7">
        <f t="shared" si="1"/>
        <v>0</v>
      </c>
      <c r="P59" s="7"/>
      <c r="R59" s="4"/>
      <c r="S59" s="4"/>
      <c r="T59" s="4"/>
      <c r="U59" s="4"/>
    </row>
    <row r="60" spans="1:21" x14ac:dyDescent="0.3">
      <c r="A60" s="5" t="s">
        <v>239</v>
      </c>
      <c r="B60" s="6">
        <v>0</v>
      </c>
      <c r="C60" s="7"/>
      <c r="D60" s="7"/>
      <c r="E60" s="8"/>
      <c r="F60" s="8"/>
      <c r="G60" s="9">
        <v>2000</v>
      </c>
      <c r="H60" s="26">
        <f t="shared" si="0"/>
        <v>0</v>
      </c>
      <c r="I60" s="7"/>
      <c r="J60" s="7"/>
      <c r="K60" s="7"/>
      <c r="L60" s="7">
        <v>170</v>
      </c>
      <c r="M60" s="7"/>
      <c r="N60" s="7">
        <f t="shared" si="2"/>
        <v>0</v>
      </c>
      <c r="O60" s="7">
        <f t="shared" si="1"/>
        <v>0</v>
      </c>
      <c r="P60" s="7"/>
      <c r="R60" s="4"/>
      <c r="S60" s="4"/>
      <c r="T60" s="4"/>
      <c r="U60" s="4"/>
    </row>
    <row r="61" spans="1:21" x14ac:dyDescent="0.3">
      <c r="A61" s="5" t="s">
        <v>157</v>
      </c>
      <c r="B61" s="6">
        <v>0</v>
      </c>
      <c r="C61" s="7"/>
      <c r="D61" s="7"/>
      <c r="E61" s="8"/>
      <c r="F61" s="8"/>
      <c r="G61" s="9">
        <v>2000</v>
      </c>
      <c r="H61" s="26">
        <f t="shared" si="0"/>
        <v>0</v>
      </c>
      <c r="I61" s="7"/>
      <c r="J61" s="7"/>
      <c r="K61" s="7"/>
      <c r="L61" s="7">
        <v>180</v>
      </c>
      <c r="M61" s="7"/>
      <c r="N61" s="7">
        <f t="shared" si="2"/>
        <v>0</v>
      </c>
      <c r="O61" s="7">
        <f t="shared" si="1"/>
        <v>0</v>
      </c>
      <c r="P61" s="7"/>
      <c r="R61" s="4"/>
      <c r="S61" s="4"/>
      <c r="T61" s="4"/>
      <c r="U61" s="4"/>
    </row>
    <row r="62" spans="1:21" x14ac:dyDescent="0.3">
      <c r="A62" s="5" t="s">
        <v>257</v>
      </c>
      <c r="B62" s="6">
        <v>1</v>
      </c>
      <c r="C62" s="7"/>
      <c r="D62" s="7"/>
      <c r="E62" s="8"/>
      <c r="F62" s="8"/>
      <c r="G62" s="9">
        <v>2000</v>
      </c>
      <c r="H62" s="26">
        <f t="shared" si="0"/>
        <v>0</v>
      </c>
      <c r="I62" s="7"/>
      <c r="J62" s="7"/>
      <c r="K62" s="7"/>
      <c r="L62" s="7">
        <v>235</v>
      </c>
      <c r="M62" s="7"/>
      <c r="N62" s="7">
        <f t="shared" si="2"/>
        <v>1</v>
      </c>
      <c r="O62" s="7">
        <f t="shared" si="1"/>
        <v>0</v>
      </c>
      <c r="P62" s="7">
        <v>-1</v>
      </c>
      <c r="R62" s="4"/>
      <c r="S62" s="4"/>
      <c r="T62" s="4"/>
      <c r="U62" s="4"/>
    </row>
    <row r="63" spans="1:21" x14ac:dyDescent="0.3">
      <c r="A63" s="5" t="s">
        <v>258</v>
      </c>
      <c r="B63" s="6">
        <v>0</v>
      </c>
      <c r="C63" s="7"/>
      <c r="D63" s="7"/>
      <c r="E63" s="8"/>
      <c r="F63" s="8"/>
      <c r="G63" s="9">
        <v>2000</v>
      </c>
      <c r="H63" s="26">
        <f t="shared" si="0"/>
        <v>0</v>
      </c>
      <c r="I63" s="7"/>
      <c r="J63" s="7"/>
      <c r="K63" s="7"/>
      <c r="L63" s="7">
        <v>130</v>
      </c>
      <c r="M63" s="7"/>
      <c r="N63" s="7">
        <f t="shared" si="2"/>
        <v>0</v>
      </c>
      <c r="O63" s="7">
        <f t="shared" si="1"/>
        <v>0</v>
      </c>
      <c r="P63" s="7" t="s">
        <v>126</v>
      </c>
      <c r="R63" s="4"/>
      <c r="S63" s="4"/>
      <c r="T63" s="4"/>
      <c r="U63" s="4"/>
    </row>
    <row r="64" spans="1:21" x14ac:dyDescent="0.3">
      <c r="A64" s="5" t="s">
        <v>259</v>
      </c>
      <c r="B64" s="6">
        <v>1</v>
      </c>
      <c r="C64" s="7"/>
      <c r="D64" s="7"/>
      <c r="E64" s="8"/>
      <c r="F64" s="8"/>
      <c r="G64" s="9">
        <v>1000</v>
      </c>
      <c r="H64" s="26">
        <f t="shared" si="0"/>
        <v>0</v>
      </c>
      <c r="I64" s="7"/>
      <c r="J64" s="7"/>
      <c r="K64" s="7"/>
      <c r="L64" s="7">
        <v>75</v>
      </c>
      <c r="M64" s="7"/>
      <c r="N64" s="7">
        <f t="shared" si="2"/>
        <v>1</v>
      </c>
      <c r="O64" s="7">
        <f t="shared" si="1"/>
        <v>0</v>
      </c>
      <c r="P64" s="7"/>
      <c r="R64" s="4"/>
      <c r="S64" s="4"/>
      <c r="T64" s="4"/>
      <c r="U64" s="4"/>
    </row>
    <row r="65" spans="1:23" x14ac:dyDescent="0.3">
      <c r="A65" s="5" t="s">
        <v>291</v>
      </c>
      <c r="B65" s="6">
        <v>4</v>
      </c>
      <c r="C65" s="7"/>
      <c r="D65" s="7"/>
      <c r="E65" s="8"/>
      <c r="F65" s="8"/>
      <c r="G65" s="9">
        <v>2000</v>
      </c>
      <c r="H65" s="26">
        <f t="shared" si="0"/>
        <v>0</v>
      </c>
      <c r="I65" s="7"/>
      <c r="J65" s="7"/>
      <c r="K65" s="7"/>
      <c r="L65" s="7">
        <v>125</v>
      </c>
      <c r="M65" s="7"/>
      <c r="N65" s="7">
        <f t="shared" si="2"/>
        <v>4</v>
      </c>
      <c r="O65" s="7">
        <f t="shared" si="1"/>
        <v>0</v>
      </c>
      <c r="P65" s="7"/>
      <c r="R65" s="4"/>
      <c r="S65" s="4"/>
      <c r="T65" s="4"/>
      <c r="U65" s="4"/>
    </row>
    <row r="66" spans="1:23" x14ac:dyDescent="0.3">
      <c r="A66" s="5" t="s">
        <v>49</v>
      </c>
      <c r="B66" s="6">
        <v>2</v>
      </c>
      <c r="C66" s="7"/>
      <c r="D66" s="7"/>
      <c r="E66" s="8"/>
      <c r="F66" s="8"/>
      <c r="G66" s="9">
        <v>500</v>
      </c>
      <c r="H66" s="26">
        <f t="shared" si="0"/>
        <v>0</v>
      </c>
      <c r="I66" s="7"/>
      <c r="J66" s="7">
        <v>30</v>
      </c>
      <c r="K66" s="7"/>
      <c r="L66" s="7">
        <v>35</v>
      </c>
      <c r="M66" s="7"/>
      <c r="N66" s="7">
        <f t="shared" si="2"/>
        <v>2</v>
      </c>
      <c r="O66" s="7">
        <f t="shared" si="1"/>
        <v>0</v>
      </c>
      <c r="P66" s="7">
        <v>-1</v>
      </c>
      <c r="R66" s="4"/>
      <c r="S66" s="4"/>
      <c r="T66" s="4"/>
      <c r="U66" s="4"/>
    </row>
    <row r="67" spans="1:23" x14ac:dyDescent="0.3">
      <c r="A67" s="5" t="s">
        <v>50</v>
      </c>
      <c r="B67" s="6">
        <v>0</v>
      </c>
      <c r="C67" s="7"/>
      <c r="D67" s="7"/>
      <c r="E67" s="8"/>
      <c r="F67" s="8"/>
      <c r="G67" s="9">
        <v>1000</v>
      </c>
      <c r="H67" s="26">
        <f t="shared" si="0"/>
        <v>0</v>
      </c>
      <c r="I67" s="7"/>
      <c r="J67" s="7"/>
      <c r="K67" s="7"/>
      <c r="L67" s="7">
        <v>45</v>
      </c>
      <c r="M67" s="7"/>
      <c r="N67" s="7">
        <f t="shared" si="2"/>
        <v>0</v>
      </c>
      <c r="O67" s="7">
        <f t="shared" si="1"/>
        <v>0</v>
      </c>
      <c r="P67" s="7"/>
      <c r="R67" s="4" t="s">
        <v>51</v>
      </c>
      <c r="S67" s="4">
        <v>125</v>
      </c>
      <c r="T67" s="4"/>
      <c r="U67" s="4"/>
    </row>
    <row r="68" spans="1:23" x14ac:dyDescent="0.3">
      <c r="A68" s="5" t="s">
        <v>52</v>
      </c>
      <c r="B68" s="6">
        <v>0</v>
      </c>
      <c r="C68" s="7"/>
      <c r="D68" s="7"/>
      <c r="E68" s="8"/>
      <c r="F68" s="8"/>
      <c r="G68" s="9">
        <v>1000</v>
      </c>
      <c r="H68" s="26">
        <f t="shared" si="0"/>
        <v>0</v>
      </c>
      <c r="I68" s="7"/>
      <c r="J68" s="7">
        <v>18</v>
      </c>
      <c r="K68" s="7"/>
      <c r="L68" s="7">
        <v>20</v>
      </c>
      <c r="M68" s="7"/>
      <c r="N68" s="7">
        <f t="shared" si="2"/>
        <v>0</v>
      </c>
      <c r="O68" s="7">
        <f t="shared" si="1"/>
        <v>0</v>
      </c>
      <c r="P68" s="7"/>
      <c r="R68" s="4"/>
      <c r="S68" s="4"/>
      <c r="T68" s="4"/>
      <c r="U68" s="4"/>
    </row>
    <row r="69" spans="1:23" x14ac:dyDescent="0.3">
      <c r="A69" s="5" t="s">
        <v>278</v>
      </c>
      <c r="B69" s="6">
        <v>0</v>
      </c>
      <c r="C69" s="7"/>
      <c r="D69" s="7"/>
      <c r="E69" s="8"/>
      <c r="F69" s="8"/>
      <c r="G69" s="9">
        <v>1000</v>
      </c>
      <c r="H69" s="26">
        <f t="shared" si="0"/>
        <v>0</v>
      </c>
      <c r="I69" s="7"/>
      <c r="J69" s="7"/>
      <c r="K69" s="7"/>
      <c r="L69" s="7">
        <v>45</v>
      </c>
      <c r="M69" s="7"/>
      <c r="N69" s="7">
        <f t="shared" si="2"/>
        <v>0</v>
      </c>
      <c r="O69" s="7">
        <f t="shared" si="1"/>
        <v>0</v>
      </c>
      <c r="P69" s="7"/>
      <c r="R69" s="4" t="s">
        <v>34</v>
      </c>
      <c r="S69" s="4"/>
      <c r="T69" s="4">
        <f>U69/370</f>
        <v>0</v>
      </c>
      <c r="U69" s="4"/>
      <c r="W69" s="4"/>
    </row>
    <row r="70" spans="1:23" x14ac:dyDescent="0.3">
      <c r="A70" s="5" t="s">
        <v>53</v>
      </c>
      <c r="B70" s="6">
        <v>3</v>
      </c>
      <c r="C70" s="7"/>
      <c r="D70" s="7"/>
      <c r="E70" s="8"/>
      <c r="F70" s="8"/>
      <c r="G70" s="9">
        <v>1000</v>
      </c>
      <c r="H70" s="26">
        <f t="shared" si="0"/>
        <v>0</v>
      </c>
      <c r="I70" s="7"/>
      <c r="J70" s="7"/>
      <c r="K70" s="7"/>
      <c r="L70" s="7">
        <v>35</v>
      </c>
      <c r="M70" s="7"/>
      <c r="N70" s="7">
        <f t="shared" si="2"/>
        <v>3</v>
      </c>
      <c r="O70" s="7">
        <f t="shared" si="1"/>
        <v>0</v>
      </c>
      <c r="P70" s="7"/>
      <c r="R70" s="4"/>
      <c r="S70" s="4"/>
      <c r="T70" s="4"/>
      <c r="U70" s="4"/>
      <c r="W70" s="4"/>
    </row>
    <row r="71" spans="1:23" x14ac:dyDescent="0.3">
      <c r="A71" s="5" t="s">
        <v>243</v>
      </c>
      <c r="B71" s="6">
        <v>0</v>
      </c>
      <c r="C71" s="7"/>
      <c r="D71" s="7"/>
      <c r="E71" s="8"/>
      <c r="F71" s="8"/>
      <c r="G71" s="9">
        <v>1000</v>
      </c>
      <c r="H71" s="26">
        <f t="shared" si="0"/>
        <v>0</v>
      </c>
      <c r="I71" s="7"/>
      <c r="J71" s="7"/>
      <c r="K71" s="7"/>
      <c r="L71" s="7">
        <v>45</v>
      </c>
      <c r="M71" s="7">
        <v>0</v>
      </c>
      <c r="N71" s="7">
        <f t="shared" si="2"/>
        <v>0</v>
      </c>
      <c r="O71" s="7">
        <f t="shared" si="1"/>
        <v>0</v>
      </c>
      <c r="P71" s="7"/>
      <c r="R71" s="4"/>
      <c r="S71" s="4"/>
      <c r="T71" s="4"/>
      <c r="U71" s="4"/>
      <c r="W71" s="4"/>
    </row>
    <row r="72" spans="1:23" x14ac:dyDescent="0.3">
      <c r="A72" s="5" t="s">
        <v>173</v>
      </c>
      <c r="B72" s="6">
        <v>1</v>
      </c>
      <c r="C72" s="10"/>
      <c r="D72" s="7"/>
      <c r="E72" s="8"/>
      <c r="F72" s="8"/>
      <c r="G72" s="9">
        <v>1000</v>
      </c>
      <c r="H72" s="26">
        <f t="shared" si="0"/>
        <v>0</v>
      </c>
      <c r="I72" s="7"/>
      <c r="J72" s="7"/>
      <c r="K72" s="7"/>
      <c r="L72" s="7">
        <v>45</v>
      </c>
      <c r="M72" s="7"/>
      <c r="N72" s="7">
        <f t="shared" si="2"/>
        <v>1</v>
      </c>
      <c r="O72" s="7">
        <f>E72*L72+F72*M72</f>
        <v>0</v>
      </c>
      <c r="P72" s="7"/>
      <c r="R72" s="4"/>
      <c r="S72" s="4"/>
      <c r="T72" s="4"/>
      <c r="U72" s="4"/>
      <c r="W72" s="4"/>
    </row>
    <row r="73" spans="1:23" x14ac:dyDescent="0.3">
      <c r="A73" s="5" t="s">
        <v>211</v>
      </c>
      <c r="B73" s="6">
        <v>1</v>
      </c>
      <c r="C73" s="10"/>
      <c r="D73" s="7"/>
      <c r="E73" s="8"/>
      <c r="F73" s="8"/>
      <c r="G73" s="9">
        <v>1000</v>
      </c>
      <c r="H73" s="26">
        <f t="shared" ref="H73:H137" si="3">(E73+F73)*G73</f>
        <v>0</v>
      </c>
      <c r="I73" s="7"/>
      <c r="J73" s="7"/>
      <c r="K73" s="7"/>
      <c r="L73" s="7">
        <v>45</v>
      </c>
      <c r="M73" s="7"/>
      <c r="N73" s="7">
        <f t="shared" si="2"/>
        <v>1</v>
      </c>
      <c r="O73" s="7">
        <f>E73*L73+F73*M73</f>
        <v>0</v>
      </c>
      <c r="P73" s="7"/>
      <c r="R73" s="4"/>
      <c r="S73" s="4"/>
      <c r="T73" s="4"/>
      <c r="U73" s="4"/>
      <c r="W73" s="4"/>
    </row>
    <row r="74" spans="1:23" x14ac:dyDescent="0.3">
      <c r="A74" s="5" t="s">
        <v>54</v>
      </c>
      <c r="B74" s="6">
        <v>1</v>
      </c>
      <c r="C74" s="10"/>
      <c r="D74" s="7"/>
      <c r="E74" s="8"/>
      <c r="F74" s="8"/>
      <c r="G74" s="9">
        <v>1000</v>
      </c>
      <c r="H74" s="26">
        <f t="shared" si="3"/>
        <v>0</v>
      </c>
      <c r="I74" s="7"/>
      <c r="J74" s="7">
        <v>25</v>
      </c>
      <c r="K74" s="7"/>
      <c r="L74" s="7">
        <v>50</v>
      </c>
      <c r="M74" s="7"/>
      <c r="N74" s="7">
        <f t="shared" si="2"/>
        <v>1</v>
      </c>
      <c r="O74" s="7">
        <f t="shared" si="1"/>
        <v>0</v>
      </c>
      <c r="P74" s="7"/>
      <c r="R74" s="4"/>
      <c r="S74" s="4"/>
      <c r="T74" s="4"/>
      <c r="U74" s="4"/>
      <c r="W74" s="4"/>
    </row>
    <row r="75" spans="1:23" x14ac:dyDescent="0.3">
      <c r="A75" s="5" t="s">
        <v>55</v>
      </c>
      <c r="B75" s="6">
        <v>2</v>
      </c>
      <c r="C75" s="10"/>
      <c r="D75" s="7"/>
      <c r="E75" s="8"/>
      <c r="F75" s="8"/>
      <c r="G75" s="9">
        <v>1000</v>
      </c>
      <c r="H75" s="26">
        <f t="shared" si="3"/>
        <v>0</v>
      </c>
      <c r="I75" s="7"/>
      <c r="J75" s="7"/>
      <c r="K75" s="7"/>
      <c r="L75" s="7">
        <v>50</v>
      </c>
      <c r="M75" s="7"/>
      <c r="N75" s="7">
        <f t="shared" si="2"/>
        <v>2</v>
      </c>
      <c r="O75" s="7">
        <f t="shared" si="1"/>
        <v>0</v>
      </c>
      <c r="P75" s="7">
        <v>-1</v>
      </c>
      <c r="R75" s="4"/>
      <c r="S75" s="4"/>
      <c r="T75" s="4"/>
      <c r="U75" s="4"/>
      <c r="W75" s="4"/>
    </row>
    <row r="76" spans="1:23" x14ac:dyDescent="0.3">
      <c r="A76" s="5" t="s">
        <v>56</v>
      </c>
      <c r="B76" s="6">
        <v>0</v>
      </c>
      <c r="C76" s="10"/>
      <c r="D76" s="7"/>
      <c r="E76" s="8"/>
      <c r="F76" s="8"/>
      <c r="G76" s="9">
        <v>1000</v>
      </c>
      <c r="H76" s="26">
        <f t="shared" si="3"/>
        <v>0</v>
      </c>
      <c r="I76" s="7"/>
      <c r="J76" s="7">
        <v>60</v>
      </c>
      <c r="K76" s="7"/>
      <c r="L76" s="7">
        <v>55</v>
      </c>
      <c r="M76" s="7"/>
      <c r="N76" s="7">
        <f t="shared" si="2"/>
        <v>0</v>
      </c>
      <c r="O76" s="7">
        <f t="shared" si="1"/>
        <v>0</v>
      </c>
      <c r="P76" s="7"/>
      <c r="R76" s="4"/>
      <c r="S76" s="4"/>
      <c r="T76" s="4"/>
      <c r="U76" s="4"/>
      <c r="W76" s="4"/>
    </row>
    <row r="77" spans="1:23" x14ac:dyDescent="0.3">
      <c r="A77" s="5" t="s">
        <v>233</v>
      </c>
      <c r="B77" s="6">
        <v>2</v>
      </c>
      <c r="C77" s="10"/>
      <c r="D77" s="7"/>
      <c r="E77" s="8"/>
      <c r="F77" s="8"/>
      <c r="G77" s="9">
        <v>1000</v>
      </c>
      <c r="H77" s="26">
        <f t="shared" si="3"/>
        <v>0</v>
      </c>
      <c r="I77" s="7"/>
      <c r="J77" s="7"/>
      <c r="K77" s="7"/>
      <c r="L77" s="7">
        <v>65</v>
      </c>
      <c r="M77" s="7"/>
      <c r="N77" s="7">
        <f t="shared" si="2"/>
        <v>2</v>
      </c>
      <c r="O77" s="7">
        <f t="shared" si="1"/>
        <v>0</v>
      </c>
      <c r="P77" s="7"/>
      <c r="R77" s="4"/>
      <c r="S77" s="4"/>
      <c r="T77" s="4"/>
      <c r="U77" s="4"/>
      <c r="W77" s="4"/>
    </row>
    <row r="78" spans="1:23" x14ac:dyDescent="0.3">
      <c r="A78" s="5" t="s">
        <v>315</v>
      </c>
      <c r="B78" s="6">
        <v>1</v>
      </c>
      <c r="C78" s="10"/>
      <c r="D78" s="7"/>
      <c r="E78" s="8"/>
      <c r="F78" s="8"/>
      <c r="G78" s="9">
        <v>5000</v>
      </c>
      <c r="H78" s="26"/>
      <c r="I78" s="7"/>
      <c r="J78" s="7"/>
      <c r="K78" s="7"/>
      <c r="L78" s="7">
        <v>800</v>
      </c>
      <c r="M78" s="7"/>
      <c r="N78" s="7">
        <f t="shared" si="2"/>
        <v>1</v>
      </c>
      <c r="O78" s="7">
        <f t="shared" si="1"/>
        <v>0</v>
      </c>
      <c r="P78" s="7"/>
      <c r="R78" s="4"/>
      <c r="S78" s="4"/>
      <c r="T78" s="4"/>
      <c r="U78" s="4"/>
      <c r="W78" s="4"/>
    </row>
    <row r="79" spans="1:23" x14ac:dyDescent="0.3">
      <c r="A79" s="5" t="s">
        <v>298</v>
      </c>
      <c r="B79" s="6">
        <v>2</v>
      </c>
      <c r="C79" s="10"/>
      <c r="D79" s="7"/>
      <c r="E79" s="8"/>
      <c r="F79" s="8"/>
      <c r="G79" s="9">
        <v>5000</v>
      </c>
      <c r="H79" s="26">
        <f t="shared" si="3"/>
        <v>0</v>
      </c>
      <c r="I79" s="7"/>
      <c r="J79" s="7"/>
      <c r="K79" s="7"/>
      <c r="L79" s="7">
        <v>520</v>
      </c>
      <c r="M79" s="7"/>
      <c r="N79" s="7">
        <f t="shared" si="2"/>
        <v>2</v>
      </c>
      <c r="O79" s="7">
        <f t="shared" si="1"/>
        <v>0</v>
      </c>
      <c r="P79" s="7"/>
      <c r="R79" s="4"/>
      <c r="S79" s="4"/>
      <c r="T79" s="4"/>
      <c r="U79" s="4"/>
      <c r="W79" s="4"/>
    </row>
    <row r="80" spans="1:23" x14ac:dyDescent="0.3">
      <c r="A80" s="5" t="s">
        <v>334</v>
      </c>
      <c r="B80" s="6">
        <v>3</v>
      </c>
      <c r="C80" s="10"/>
      <c r="D80" s="7"/>
      <c r="E80" s="8"/>
      <c r="F80" s="8"/>
      <c r="G80" s="9">
        <v>5000</v>
      </c>
      <c r="H80" s="26">
        <f t="shared" si="3"/>
        <v>0</v>
      </c>
      <c r="I80" s="7"/>
      <c r="J80" s="7"/>
      <c r="K80" s="7"/>
      <c r="L80" s="7">
        <v>900</v>
      </c>
      <c r="M80" s="7"/>
      <c r="N80" s="7">
        <f t="shared" si="2"/>
        <v>3</v>
      </c>
      <c r="O80" s="7">
        <f t="shared" si="1"/>
        <v>0</v>
      </c>
      <c r="P80" s="7"/>
      <c r="R80" s="4"/>
      <c r="S80" s="4"/>
      <c r="T80" s="4"/>
      <c r="U80" s="4"/>
      <c r="W80" s="4"/>
    </row>
    <row r="81" spans="1:23" x14ac:dyDescent="0.3">
      <c r="A81" s="5" t="s">
        <v>328</v>
      </c>
      <c r="B81" s="6">
        <v>0</v>
      </c>
      <c r="C81" s="10"/>
      <c r="D81" s="7"/>
      <c r="E81" s="8"/>
      <c r="F81" s="8"/>
      <c r="G81" s="9">
        <v>5000</v>
      </c>
      <c r="H81" s="26"/>
      <c r="I81" s="7"/>
      <c r="J81" s="7"/>
      <c r="K81" s="7"/>
      <c r="L81" s="7">
        <v>900</v>
      </c>
      <c r="M81" s="7"/>
      <c r="N81" s="7">
        <f t="shared" si="2"/>
        <v>0</v>
      </c>
      <c r="O81" s="7">
        <f t="shared" si="1"/>
        <v>0</v>
      </c>
      <c r="P81" s="7"/>
      <c r="R81" s="4"/>
      <c r="S81" s="4"/>
      <c r="T81" s="4"/>
      <c r="U81" s="4"/>
      <c r="W81" s="4"/>
    </row>
    <row r="82" spans="1:23" x14ac:dyDescent="0.3">
      <c r="A82" s="5" t="s">
        <v>181</v>
      </c>
      <c r="B82" s="6">
        <v>0</v>
      </c>
      <c r="C82" s="10"/>
      <c r="D82" s="7"/>
      <c r="E82" s="8"/>
      <c r="F82" s="8"/>
      <c r="G82" s="9">
        <v>5000</v>
      </c>
      <c r="H82" s="26"/>
      <c r="I82" s="7"/>
      <c r="J82" s="7">
        <v>60</v>
      </c>
      <c r="K82" s="7"/>
      <c r="L82" s="7">
        <v>100</v>
      </c>
      <c r="M82" s="7"/>
      <c r="N82" s="7">
        <f t="shared" si="2"/>
        <v>0</v>
      </c>
      <c r="O82" s="7">
        <f t="shared" si="1"/>
        <v>0</v>
      </c>
      <c r="P82" s="7"/>
      <c r="R82" s="4"/>
      <c r="S82" s="4"/>
      <c r="T82" s="4"/>
      <c r="U82" s="4"/>
      <c r="W82" s="4"/>
    </row>
    <row r="83" spans="1:23" x14ac:dyDescent="0.3">
      <c r="A83" s="5" t="s">
        <v>155</v>
      </c>
      <c r="B83" s="6">
        <v>1</v>
      </c>
      <c r="C83" s="10"/>
      <c r="D83" s="7"/>
      <c r="E83" s="8"/>
      <c r="F83" s="8"/>
      <c r="G83" s="9">
        <v>15000</v>
      </c>
      <c r="H83" s="26">
        <f t="shared" si="3"/>
        <v>0</v>
      </c>
      <c r="I83" s="7"/>
      <c r="J83" s="7"/>
      <c r="K83" s="7"/>
      <c r="L83" s="7">
        <v>600</v>
      </c>
      <c r="M83" s="7"/>
      <c r="N83" s="7">
        <f t="shared" si="2"/>
        <v>1</v>
      </c>
      <c r="O83" s="7">
        <f t="shared" si="1"/>
        <v>0</v>
      </c>
      <c r="P83" s="7"/>
      <c r="R83" s="4"/>
      <c r="S83" s="4"/>
      <c r="T83" s="4"/>
      <c r="U83" s="4"/>
      <c r="W83" s="4"/>
    </row>
    <row r="84" spans="1:23" x14ac:dyDescent="0.3">
      <c r="A84" s="5" t="s">
        <v>230</v>
      </c>
      <c r="B84" s="6">
        <v>0</v>
      </c>
      <c r="C84" s="10"/>
      <c r="D84" s="7"/>
      <c r="E84" s="8"/>
      <c r="F84" s="8"/>
      <c r="G84" s="9">
        <v>5000</v>
      </c>
      <c r="H84" s="26">
        <f t="shared" si="3"/>
        <v>0</v>
      </c>
      <c r="I84" s="7"/>
      <c r="J84" s="7"/>
      <c r="K84" s="7"/>
      <c r="L84" s="7">
        <v>1160</v>
      </c>
      <c r="M84" s="7"/>
      <c r="N84" s="7">
        <f t="shared" si="2"/>
        <v>0</v>
      </c>
      <c r="O84" s="7">
        <f t="shared" si="1"/>
        <v>0</v>
      </c>
      <c r="P84" s="7"/>
      <c r="R84" s="4"/>
      <c r="S84" s="4"/>
      <c r="T84" s="4"/>
      <c r="U84" s="4"/>
      <c r="W84" s="4"/>
    </row>
    <row r="85" spans="1:23" x14ac:dyDescent="0.3">
      <c r="A85" s="5" t="s">
        <v>161</v>
      </c>
      <c r="B85" s="6">
        <v>10</v>
      </c>
      <c r="C85" s="10"/>
      <c r="D85" s="7"/>
      <c r="E85" s="8"/>
      <c r="F85" s="8"/>
      <c r="G85" s="9">
        <v>500</v>
      </c>
      <c r="H85" s="26">
        <f t="shared" si="3"/>
        <v>0</v>
      </c>
      <c r="I85" s="7"/>
      <c r="J85" s="7"/>
      <c r="K85" s="7"/>
      <c r="L85" s="7">
        <v>10</v>
      </c>
      <c r="M85" s="7"/>
      <c r="N85" s="7">
        <f t="shared" si="2"/>
        <v>10</v>
      </c>
      <c r="O85" s="7">
        <f t="shared" si="1"/>
        <v>0</v>
      </c>
      <c r="P85" s="7"/>
      <c r="R85" s="4"/>
      <c r="S85" s="4"/>
      <c r="T85" s="4"/>
      <c r="U85" s="4"/>
      <c r="W85" s="4"/>
    </row>
    <row r="86" spans="1:23" x14ac:dyDescent="0.3">
      <c r="A86" s="5" t="s">
        <v>159</v>
      </c>
      <c r="B86" s="6">
        <v>1</v>
      </c>
      <c r="C86" s="10"/>
      <c r="D86" s="7"/>
      <c r="E86" s="8"/>
      <c r="F86" s="8"/>
      <c r="G86" s="9">
        <v>2000</v>
      </c>
      <c r="H86" s="26">
        <f t="shared" si="3"/>
        <v>0</v>
      </c>
      <c r="I86" s="7"/>
      <c r="J86" s="7"/>
      <c r="K86" s="7"/>
      <c r="L86" s="7">
        <v>130</v>
      </c>
      <c r="M86" s="7"/>
      <c r="N86" s="7">
        <f t="shared" ref="N86:N162" si="4">B86+C86-D86-E86-F86</f>
        <v>1</v>
      </c>
      <c r="O86" s="7">
        <f t="shared" si="1"/>
        <v>0</v>
      </c>
      <c r="P86" s="7"/>
      <c r="R86" s="4"/>
      <c r="S86" s="4"/>
      <c r="T86" s="4"/>
      <c r="U86" s="4"/>
      <c r="W86" s="4"/>
    </row>
    <row r="87" spans="1:23" x14ac:dyDescent="0.3">
      <c r="A87" s="5" t="s">
        <v>164</v>
      </c>
      <c r="B87" s="6">
        <v>0</v>
      </c>
      <c r="C87" s="10"/>
      <c r="D87" s="7"/>
      <c r="E87" s="8"/>
      <c r="F87" s="8"/>
      <c r="G87" s="9">
        <v>2000</v>
      </c>
      <c r="H87" s="26">
        <f t="shared" si="3"/>
        <v>0</v>
      </c>
      <c r="I87" s="7"/>
      <c r="J87" s="7"/>
      <c r="K87" s="7"/>
      <c r="L87" s="7">
        <v>130</v>
      </c>
      <c r="M87" s="7"/>
      <c r="N87" s="7">
        <f t="shared" si="4"/>
        <v>0</v>
      </c>
      <c r="O87" s="7">
        <f t="shared" si="1"/>
        <v>0</v>
      </c>
      <c r="P87" s="7"/>
      <c r="R87" s="4"/>
      <c r="S87" s="4"/>
      <c r="T87" s="4"/>
      <c r="U87" s="4"/>
      <c r="W87" s="4"/>
    </row>
    <row r="88" spans="1:23" x14ac:dyDescent="0.3">
      <c r="A88" s="5" t="s">
        <v>57</v>
      </c>
      <c r="B88" s="6">
        <v>4</v>
      </c>
      <c r="C88" s="10"/>
      <c r="D88" s="7"/>
      <c r="E88" s="8"/>
      <c r="F88" s="8"/>
      <c r="G88" s="9">
        <v>500</v>
      </c>
      <c r="H88" s="26">
        <f t="shared" si="3"/>
        <v>0</v>
      </c>
      <c r="I88" s="7"/>
      <c r="J88" s="7"/>
      <c r="K88" s="7"/>
      <c r="L88" s="7">
        <v>45</v>
      </c>
      <c r="M88" s="7"/>
      <c r="N88" s="7">
        <f t="shared" si="4"/>
        <v>4</v>
      </c>
      <c r="O88" s="7">
        <f t="shared" si="1"/>
        <v>0</v>
      </c>
      <c r="P88" s="7"/>
      <c r="R88" s="4"/>
      <c r="S88" s="4"/>
      <c r="T88" s="4"/>
      <c r="U88" s="4"/>
      <c r="W88" s="4"/>
    </row>
    <row r="89" spans="1:23" x14ac:dyDescent="0.3">
      <c r="A89" s="5" t="s">
        <v>175</v>
      </c>
      <c r="B89" s="6">
        <v>0</v>
      </c>
      <c r="C89" s="10"/>
      <c r="D89" s="7"/>
      <c r="E89" s="8"/>
      <c r="F89" s="8"/>
      <c r="G89" s="9">
        <v>500</v>
      </c>
      <c r="H89" s="26">
        <f t="shared" si="3"/>
        <v>0</v>
      </c>
      <c r="I89" s="7"/>
      <c r="J89" s="7"/>
      <c r="K89" s="7"/>
      <c r="L89" s="7">
        <v>125</v>
      </c>
      <c r="M89" s="7"/>
      <c r="N89" s="7">
        <f t="shared" si="4"/>
        <v>0</v>
      </c>
      <c r="O89" s="7">
        <f t="shared" si="1"/>
        <v>0</v>
      </c>
      <c r="P89" s="7"/>
      <c r="R89" s="4" t="s">
        <v>58</v>
      </c>
      <c r="S89" s="4"/>
      <c r="T89" s="4"/>
      <c r="U89" s="4"/>
      <c r="W89" s="4"/>
    </row>
    <row r="90" spans="1:23" x14ac:dyDescent="0.3">
      <c r="A90" s="5" t="s">
        <v>176</v>
      </c>
      <c r="B90" s="6">
        <v>0</v>
      </c>
      <c r="C90" s="10"/>
      <c r="D90" s="7"/>
      <c r="E90" s="8"/>
      <c r="F90" s="8"/>
      <c r="G90" s="9">
        <v>500</v>
      </c>
      <c r="H90" s="26">
        <f t="shared" si="3"/>
        <v>0</v>
      </c>
      <c r="I90" s="7"/>
      <c r="J90" s="7"/>
      <c r="K90" s="7"/>
      <c r="L90" s="7">
        <v>120</v>
      </c>
      <c r="M90" s="7"/>
      <c r="N90" s="7">
        <f t="shared" si="4"/>
        <v>0</v>
      </c>
      <c r="O90" s="7"/>
      <c r="P90" s="7"/>
      <c r="R90" s="4"/>
      <c r="S90" s="4"/>
      <c r="T90" s="4"/>
      <c r="U90" s="4"/>
      <c r="W90" s="4"/>
    </row>
    <row r="91" spans="1:23" x14ac:dyDescent="0.3">
      <c r="A91" s="5" t="s">
        <v>177</v>
      </c>
      <c r="B91" s="6">
        <v>0</v>
      </c>
      <c r="C91" s="10"/>
      <c r="D91" s="7"/>
      <c r="E91" s="8"/>
      <c r="F91" s="8"/>
      <c r="G91" s="9">
        <v>500</v>
      </c>
      <c r="H91" s="26">
        <f t="shared" si="3"/>
        <v>0</v>
      </c>
      <c r="I91" s="7"/>
      <c r="J91" s="7"/>
      <c r="K91" s="7"/>
      <c r="L91" s="7">
        <v>90</v>
      </c>
      <c r="M91" s="7"/>
      <c r="N91" s="7">
        <f t="shared" si="4"/>
        <v>0</v>
      </c>
      <c r="O91" s="7"/>
      <c r="P91" s="7"/>
      <c r="R91" s="4"/>
      <c r="S91" s="4"/>
      <c r="T91" s="4"/>
      <c r="U91" s="4"/>
      <c r="W91" s="4"/>
    </row>
    <row r="92" spans="1:23" x14ac:dyDescent="0.3">
      <c r="A92" s="5" t="s">
        <v>178</v>
      </c>
      <c r="B92" s="6">
        <v>0</v>
      </c>
      <c r="C92" s="10"/>
      <c r="D92" s="7"/>
      <c r="E92" s="8"/>
      <c r="F92" s="8"/>
      <c r="G92" s="9">
        <v>500</v>
      </c>
      <c r="H92" s="26">
        <f t="shared" si="3"/>
        <v>0</v>
      </c>
      <c r="I92" s="7"/>
      <c r="J92" s="7"/>
      <c r="K92" s="7"/>
      <c r="L92" s="7">
        <v>95</v>
      </c>
      <c r="M92" s="7"/>
      <c r="N92" s="7">
        <f t="shared" si="4"/>
        <v>0</v>
      </c>
      <c r="O92" s="7"/>
      <c r="P92" s="7"/>
      <c r="R92" s="4"/>
      <c r="S92" s="4"/>
      <c r="T92" s="4"/>
      <c r="U92" s="4"/>
      <c r="W92" s="4"/>
    </row>
    <row r="93" spans="1:23" x14ac:dyDescent="0.3">
      <c r="A93" s="5" t="s">
        <v>59</v>
      </c>
      <c r="B93" s="6">
        <v>3</v>
      </c>
      <c r="C93" s="10"/>
      <c r="D93" s="7"/>
      <c r="E93" s="8"/>
      <c r="F93" s="8"/>
      <c r="G93" s="9">
        <v>3000</v>
      </c>
      <c r="H93" s="26">
        <f t="shared" si="3"/>
        <v>0</v>
      </c>
      <c r="I93" s="7"/>
      <c r="J93" s="7">
        <v>290</v>
      </c>
      <c r="K93" s="7"/>
      <c r="L93" s="7">
        <v>600</v>
      </c>
      <c r="M93" s="7"/>
      <c r="N93" s="7">
        <f t="shared" si="4"/>
        <v>3</v>
      </c>
      <c r="O93" s="7">
        <f t="shared" si="1"/>
        <v>0</v>
      </c>
      <c r="P93" s="7"/>
      <c r="R93" s="4"/>
      <c r="S93" s="4"/>
      <c r="T93" s="4"/>
      <c r="U93" s="4"/>
      <c r="W93" s="4"/>
    </row>
    <row r="94" spans="1:23" x14ac:dyDescent="0.3">
      <c r="A94" s="5" t="s">
        <v>60</v>
      </c>
      <c r="B94" s="6">
        <v>1</v>
      </c>
      <c r="C94" s="10"/>
      <c r="D94" s="7"/>
      <c r="E94" s="8"/>
      <c r="F94" s="8"/>
      <c r="G94" s="9">
        <v>3000</v>
      </c>
      <c r="H94" s="26">
        <f t="shared" si="3"/>
        <v>0</v>
      </c>
      <c r="I94" s="7"/>
      <c r="J94" s="7">
        <v>300</v>
      </c>
      <c r="K94" s="7"/>
      <c r="L94" s="7">
        <v>380</v>
      </c>
      <c r="M94" s="7"/>
      <c r="N94" s="7">
        <f t="shared" si="4"/>
        <v>1</v>
      </c>
      <c r="O94" s="7">
        <f t="shared" si="1"/>
        <v>0</v>
      </c>
      <c r="P94" s="7"/>
      <c r="R94" s="4"/>
      <c r="S94" s="4"/>
      <c r="T94" s="4"/>
      <c r="U94" s="4"/>
      <c r="W94" s="4"/>
    </row>
    <row r="95" spans="1:23" x14ac:dyDescent="0.3">
      <c r="A95" s="5" t="s">
        <v>312</v>
      </c>
      <c r="B95" s="6">
        <v>1</v>
      </c>
      <c r="C95" s="10"/>
      <c r="D95" s="7"/>
      <c r="E95" s="8"/>
      <c r="F95" s="8"/>
      <c r="G95" s="9">
        <v>3000</v>
      </c>
      <c r="H95" s="26">
        <f t="shared" si="3"/>
        <v>0</v>
      </c>
      <c r="I95" s="7"/>
      <c r="J95" s="7"/>
      <c r="K95" s="7"/>
      <c r="L95" s="7">
        <v>180</v>
      </c>
      <c r="M95" s="7"/>
      <c r="N95" s="7">
        <f t="shared" si="4"/>
        <v>1</v>
      </c>
      <c r="O95" s="7">
        <f t="shared" si="1"/>
        <v>0</v>
      </c>
      <c r="P95" s="7"/>
      <c r="R95" s="4"/>
      <c r="S95" s="4"/>
      <c r="T95" s="4"/>
      <c r="U95" s="4"/>
      <c r="W95" s="4"/>
    </row>
    <row r="96" spans="1:23" x14ac:dyDescent="0.3">
      <c r="A96" s="5" t="s">
        <v>61</v>
      </c>
      <c r="B96" s="6">
        <v>2</v>
      </c>
      <c r="C96" s="10"/>
      <c r="D96" s="7"/>
      <c r="E96" s="8"/>
      <c r="F96" s="8"/>
      <c r="G96" s="9">
        <v>3000</v>
      </c>
      <c r="H96" s="26">
        <f t="shared" si="3"/>
        <v>0</v>
      </c>
      <c r="I96" s="7"/>
      <c r="J96" s="7">
        <v>145</v>
      </c>
      <c r="K96" s="7"/>
      <c r="L96" s="7">
        <v>180</v>
      </c>
      <c r="M96" s="7"/>
      <c r="N96" s="7">
        <f t="shared" si="4"/>
        <v>2</v>
      </c>
      <c r="O96" s="7">
        <f t="shared" si="1"/>
        <v>0</v>
      </c>
      <c r="P96" s="7" t="s">
        <v>323</v>
      </c>
      <c r="R96" s="4"/>
      <c r="S96" s="4"/>
      <c r="T96" s="4">
        <f>SUM(T39:T89)</f>
        <v>0</v>
      </c>
      <c r="U96" s="4"/>
      <c r="W96" s="4"/>
    </row>
    <row r="97" spans="1:21" x14ac:dyDescent="0.3">
      <c r="A97" s="5" t="s">
        <v>62</v>
      </c>
      <c r="B97" s="6">
        <v>2</v>
      </c>
      <c r="C97" s="10"/>
      <c r="D97" s="7"/>
      <c r="E97" s="8"/>
      <c r="F97" s="8"/>
      <c r="G97" s="9">
        <v>3000</v>
      </c>
      <c r="H97" s="26">
        <f t="shared" si="3"/>
        <v>0</v>
      </c>
      <c r="I97" s="7"/>
      <c r="J97" s="7"/>
      <c r="K97" s="7"/>
      <c r="L97" s="7">
        <v>265</v>
      </c>
      <c r="M97" s="7"/>
      <c r="N97" s="7">
        <f t="shared" si="4"/>
        <v>2</v>
      </c>
      <c r="O97" s="7">
        <f t="shared" si="1"/>
        <v>0</v>
      </c>
      <c r="P97" s="7"/>
      <c r="R97" s="4"/>
      <c r="S97" s="4"/>
      <c r="T97" s="4"/>
      <c r="U97" s="4"/>
    </row>
    <row r="98" spans="1:21" x14ac:dyDescent="0.3">
      <c r="A98" s="5" t="s">
        <v>63</v>
      </c>
      <c r="B98" s="6">
        <v>4</v>
      </c>
      <c r="C98" s="10"/>
      <c r="D98" s="7"/>
      <c r="E98" s="8"/>
      <c r="F98" s="8"/>
      <c r="G98" s="9">
        <v>3000</v>
      </c>
      <c r="H98" s="26">
        <f t="shared" si="3"/>
        <v>0</v>
      </c>
      <c r="I98" s="7"/>
      <c r="J98" s="7"/>
      <c r="K98" s="7"/>
      <c r="L98" s="7">
        <v>225</v>
      </c>
      <c r="M98" s="7"/>
      <c r="N98" s="7">
        <f t="shared" si="4"/>
        <v>4</v>
      </c>
      <c r="O98" s="7">
        <f t="shared" si="1"/>
        <v>0</v>
      </c>
      <c r="P98" s="7" t="s">
        <v>268</v>
      </c>
      <c r="R98" s="4" t="s">
        <v>64</v>
      </c>
      <c r="S98" s="4"/>
      <c r="T98" s="4"/>
      <c r="U98" s="4"/>
    </row>
    <row r="99" spans="1:21" x14ac:dyDescent="0.3">
      <c r="A99" s="5" t="s">
        <v>241</v>
      </c>
      <c r="B99" s="6">
        <v>0</v>
      </c>
      <c r="C99" s="10"/>
      <c r="D99" s="7"/>
      <c r="E99" s="8"/>
      <c r="F99" s="8"/>
      <c r="G99" s="9">
        <v>3000</v>
      </c>
      <c r="H99" s="26">
        <f t="shared" si="3"/>
        <v>0</v>
      </c>
      <c r="I99" s="7"/>
      <c r="J99" s="7"/>
      <c r="K99" s="7"/>
      <c r="L99" s="7">
        <v>170</v>
      </c>
      <c r="M99" s="7"/>
      <c r="N99" s="7">
        <f t="shared" si="4"/>
        <v>0</v>
      </c>
      <c r="O99" s="7">
        <f t="shared" si="1"/>
        <v>0</v>
      </c>
      <c r="P99" s="7"/>
      <c r="R99" s="4"/>
      <c r="S99" s="4"/>
      <c r="T99" s="4"/>
      <c r="U99" s="4"/>
    </row>
    <row r="100" spans="1:21" x14ac:dyDescent="0.3">
      <c r="A100" s="5" t="s">
        <v>212</v>
      </c>
      <c r="B100" s="6">
        <v>6</v>
      </c>
      <c r="C100" s="10"/>
      <c r="D100" s="7"/>
      <c r="E100" s="8"/>
      <c r="F100" s="8"/>
      <c r="G100" s="9">
        <v>3000</v>
      </c>
      <c r="H100" s="26">
        <f t="shared" si="3"/>
        <v>0</v>
      </c>
      <c r="I100" s="7"/>
      <c r="J100" s="7">
        <v>190</v>
      </c>
      <c r="K100" s="7"/>
      <c r="L100" s="7">
        <v>200</v>
      </c>
      <c r="M100" s="7"/>
      <c r="N100" s="7">
        <f t="shared" si="4"/>
        <v>6</v>
      </c>
      <c r="O100" s="7">
        <f t="shared" si="1"/>
        <v>0</v>
      </c>
      <c r="P100" s="7"/>
      <c r="R100" s="4"/>
      <c r="S100" s="4"/>
      <c r="T100" s="4"/>
      <c r="U100" s="4"/>
    </row>
    <row r="101" spans="1:21" x14ac:dyDescent="0.3">
      <c r="A101" s="5" t="s">
        <v>271</v>
      </c>
      <c r="B101" s="6">
        <v>9</v>
      </c>
      <c r="C101" s="10"/>
      <c r="D101" s="7"/>
      <c r="E101" s="8"/>
      <c r="F101" s="8"/>
      <c r="G101" s="9">
        <v>3000</v>
      </c>
      <c r="H101" s="26">
        <f t="shared" si="3"/>
        <v>0</v>
      </c>
      <c r="I101" s="7"/>
      <c r="J101" s="7"/>
      <c r="K101" s="7"/>
      <c r="L101" s="7">
        <v>195</v>
      </c>
      <c r="M101" s="7"/>
      <c r="N101" s="7">
        <f t="shared" si="4"/>
        <v>9</v>
      </c>
      <c r="O101" s="7">
        <f t="shared" si="1"/>
        <v>0</v>
      </c>
      <c r="P101" s="7"/>
      <c r="R101" s="4"/>
      <c r="S101" s="4"/>
      <c r="T101" s="4"/>
      <c r="U101" s="4"/>
    </row>
    <row r="102" spans="1:21" x14ac:dyDescent="0.3">
      <c r="A102" s="5" t="s">
        <v>191</v>
      </c>
      <c r="B102" s="6">
        <v>1</v>
      </c>
      <c r="C102" s="10"/>
      <c r="D102" s="7"/>
      <c r="E102" s="8"/>
      <c r="F102" s="8"/>
      <c r="G102" s="9">
        <v>3000</v>
      </c>
      <c r="H102" s="26">
        <f t="shared" si="3"/>
        <v>0</v>
      </c>
      <c r="I102" s="7"/>
      <c r="J102" s="7">
        <v>160</v>
      </c>
      <c r="K102" s="7"/>
      <c r="L102" s="7">
        <v>300</v>
      </c>
      <c r="M102" s="7"/>
      <c r="N102" s="7">
        <f t="shared" si="4"/>
        <v>1</v>
      </c>
      <c r="O102" s="7">
        <f t="shared" si="1"/>
        <v>0</v>
      </c>
      <c r="P102" s="7" t="s">
        <v>268</v>
      </c>
      <c r="R102" s="4"/>
      <c r="S102" s="4"/>
      <c r="T102" s="4"/>
      <c r="U102" s="4"/>
    </row>
    <row r="103" spans="1:21" x14ac:dyDescent="0.3">
      <c r="A103" s="5" t="s">
        <v>254</v>
      </c>
      <c r="B103" s="6">
        <v>2</v>
      </c>
      <c r="C103" s="10"/>
      <c r="D103" s="7"/>
      <c r="E103" s="8"/>
      <c r="F103" s="8"/>
      <c r="G103" s="9">
        <v>1000</v>
      </c>
      <c r="H103" s="26">
        <f t="shared" si="3"/>
        <v>0</v>
      </c>
      <c r="I103" s="7"/>
      <c r="J103" s="7"/>
      <c r="K103" s="7"/>
      <c r="L103" s="7">
        <v>35</v>
      </c>
      <c r="M103" s="7"/>
      <c r="N103" s="7">
        <f t="shared" si="4"/>
        <v>2</v>
      </c>
      <c r="O103" s="7">
        <f t="shared" si="1"/>
        <v>0</v>
      </c>
      <c r="P103" s="7"/>
    </row>
    <row r="104" spans="1:21" x14ac:dyDescent="0.3">
      <c r="A104" s="5" t="s">
        <v>227</v>
      </c>
      <c r="B104" s="6">
        <v>1</v>
      </c>
      <c r="C104" s="10"/>
      <c r="D104" s="7"/>
      <c r="E104" s="8"/>
      <c r="F104" s="8"/>
      <c r="G104" s="9">
        <v>1000</v>
      </c>
      <c r="H104" s="26">
        <f t="shared" si="3"/>
        <v>0</v>
      </c>
      <c r="I104" s="7"/>
      <c r="J104" s="7"/>
      <c r="K104" s="7"/>
      <c r="L104" s="7">
        <v>40</v>
      </c>
      <c r="M104" s="7"/>
      <c r="N104" s="7">
        <f t="shared" si="4"/>
        <v>1</v>
      </c>
      <c r="O104" s="7">
        <f t="shared" si="1"/>
        <v>0</v>
      </c>
      <c r="P104" s="7" t="s">
        <v>269</v>
      </c>
    </row>
    <row r="105" spans="1:21" x14ac:dyDescent="0.3">
      <c r="A105" s="5" t="s">
        <v>216</v>
      </c>
      <c r="B105" s="6">
        <v>3</v>
      </c>
      <c r="C105" s="10"/>
      <c r="D105" s="7"/>
      <c r="E105" s="8"/>
      <c r="F105" s="8"/>
      <c r="G105" s="9">
        <v>1000</v>
      </c>
      <c r="H105" s="26">
        <f t="shared" si="3"/>
        <v>0</v>
      </c>
      <c r="I105" s="7"/>
      <c r="J105" s="7"/>
      <c r="K105" s="7"/>
      <c r="L105" s="7">
        <v>40</v>
      </c>
      <c r="M105" s="7"/>
      <c r="N105" s="7">
        <f t="shared" si="4"/>
        <v>3</v>
      </c>
      <c r="O105" s="7">
        <f t="shared" si="1"/>
        <v>0</v>
      </c>
      <c r="P105" s="7" t="s">
        <v>323</v>
      </c>
    </row>
    <row r="106" spans="1:21" x14ac:dyDescent="0.3">
      <c r="A106" s="5" t="s">
        <v>188</v>
      </c>
      <c r="B106" s="6">
        <v>5</v>
      </c>
      <c r="C106" s="10"/>
      <c r="D106" s="7"/>
      <c r="E106" s="8"/>
      <c r="F106" s="8"/>
      <c r="G106" s="9">
        <v>1000</v>
      </c>
      <c r="H106" s="26">
        <f t="shared" si="3"/>
        <v>0</v>
      </c>
      <c r="I106" s="7"/>
      <c r="J106" s="7"/>
      <c r="K106" s="7"/>
      <c r="L106" s="7">
        <v>40</v>
      </c>
      <c r="M106" s="7"/>
      <c r="N106" s="7">
        <f t="shared" si="4"/>
        <v>5</v>
      </c>
      <c r="O106" s="7">
        <f t="shared" si="1"/>
        <v>0</v>
      </c>
      <c r="P106" s="7"/>
    </row>
    <row r="107" spans="1:21" x14ac:dyDescent="0.3">
      <c r="A107" s="5" t="s">
        <v>65</v>
      </c>
      <c r="B107" s="6">
        <v>8</v>
      </c>
      <c r="C107" s="10"/>
      <c r="D107" s="7"/>
      <c r="E107" s="8"/>
      <c r="F107" s="8"/>
      <c r="G107" s="9">
        <v>500</v>
      </c>
      <c r="H107" s="26">
        <f t="shared" si="3"/>
        <v>0</v>
      </c>
      <c r="I107" s="7"/>
      <c r="J107" s="7">
        <v>50</v>
      </c>
      <c r="K107" s="7"/>
      <c r="L107" s="7">
        <v>50</v>
      </c>
      <c r="M107" s="7"/>
      <c r="N107" s="7">
        <f t="shared" si="4"/>
        <v>8</v>
      </c>
      <c r="O107" s="7">
        <f t="shared" si="1"/>
        <v>0</v>
      </c>
      <c r="P107" s="7"/>
    </row>
    <row r="108" spans="1:21" x14ac:dyDescent="0.3">
      <c r="A108" s="5" t="s">
        <v>66</v>
      </c>
      <c r="B108" s="6">
        <v>0</v>
      </c>
      <c r="C108" s="10"/>
      <c r="D108" s="7"/>
      <c r="E108" s="8"/>
      <c r="F108" s="8"/>
      <c r="G108" s="9">
        <v>500</v>
      </c>
      <c r="H108" s="26">
        <f t="shared" si="3"/>
        <v>0</v>
      </c>
      <c r="I108" s="7"/>
      <c r="J108" s="7">
        <v>55</v>
      </c>
      <c r="K108" s="7"/>
      <c r="L108" s="7">
        <v>80</v>
      </c>
      <c r="M108" s="7"/>
      <c r="N108" s="7">
        <f t="shared" si="4"/>
        <v>0</v>
      </c>
      <c r="O108" s="7">
        <f t="shared" si="1"/>
        <v>0</v>
      </c>
      <c r="P108" s="7"/>
    </row>
    <row r="109" spans="1:21" x14ac:dyDescent="0.3">
      <c r="A109" s="5" t="s">
        <v>67</v>
      </c>
      <c r="B109" s="6">
        <v>0</v>
      </c>
      <c r="C109" s="10"/>
      <c r="D109" s="7"/>
      <c r="E109" s="8"/>
      <c r="F109" s="8"/>
      <c r="G109" s="9">
        <v>500</v>
      </c>
      <c r="H109" s="26">
        <f t="shared" si="3"/>
        <v>0</v>
      </c>
      <c r="I109" s="7"/>
      <c r="J109" s="7">
        <v>22</v>
      </c>
      <c r="K109" s="7"/>
      <c r="L109" s="7">
        <v>20</v>
      </c>
      <c r="M109" s="7"/>
      <c r="N109" s="7">
        <f t="shared" si="4"/>
        <v>0</v>
      </c>
      <c r="O109" s="7">
        <f t="shared" si="1"/>
        <v>0</v>
      </c>
      <c r="P109" s="7"/>
    </row>
    <row r="110" spans="1:21" x14ac:dyDescent="0.3">
      <c r="A110" s="5" t="s">
        <v>68</v>
      </c>
      <c r="B110" s="6">
        <v>1</v>
      </c>
      <c r="C110" s="10"/>
      <c r="D110" s="7"/>
      <c r="E110" s="8"/>
      <c r="F110" s="8"/>
      <c r="G110" s="9">
        <v>2000</v>
      </c>
      <c r="H110" s="26">
        <f t="shared" si="3"/>
        <v>0</v>
      </c>
      <c r="I110" s="7"/>
      <c r="J110" s="7">
        <v>80</v>
      </c>
      <c r="K110" s="7"/>
      <c r="L110" s="7">
        <v>100</v>
      </c>
      <c r="M110" s="7"/>
      <c r="N110" s="7">
        <f t="shared" si="4"/>
        <v>1</v>
      </c>
      <c r="O110" s="7">
        <f t="shared" si="1"/>
        <v>0</v>
      </c>
      <c r="P110" s="7" t="s">
        <v>321</v>
      </c>
    </row>
    <row r="111" spans="1:21" x14ac:dyDescent="0.3">
      <c r="A111" s="5" t="s">
        <v>311</v>
      </c>
      <c r="B111" s="6">
        <v>0</v>
      </c>
      <c r="C111" s="10"/>
      <c r="D111" s="7"/>
      <c r="E111" s="8"/>
      <c r="F111" s="8"/>
      <c r="G111" s="9">
        <v>2000</v>
      </c>
      <c r="H111" s="26">
        <f t="shared" si="3"/>
        <v>0</v>
      </c>
      <c r="I111" s="7"/>
      <c r="J111" s="7"/>
      <c r="K111" s="7"/>
      <c r="L111" s="7">
        <v>100</v>
      </c>
      <c r="M111" s="7"/>
      <c r="N111" s="7">
        <f t="shared" si="4"/>
        <v>0</v>
      </c>
      <c r="O111" s="7">
        <f t="shared" ref="O111:O183" si="5">E111*L111+F111*M111</f>
        <v>0</v>
      </c>
      <c r="P111" s="7"/>
    </row>
    <row r="112" spans="1:21" x14ac:dyDescent="0.3">
      <c r="A112" s="5" t="s">
        <v>70</v>
      </c>
      <c r="B112" s="6">
        <v>0</v>
      </c>
      <c r="C112" s="10"/>
      <c r="D112" s="7"/>
      <c r="E112" s="8"/>
      <c r="F112" s="8"/>
      <c r="G112" s="9">
        <v>2000</v>
      </c>
      <c r="H112" s="26">
        <f t="shared" si="3"/>
        <v>0</v>
      </c>
      <c r="I112" s="7"/>
      <c r="J112" s="7"/>
      <c r="K112" s="7"/>
      <c r="L112" s="7">
        <v>120</v>
      </c>
      <c r="M112" s="7"/>
      <c r="N112" s="7">
        <f t="shared" si="4"/>
        <v>0</v>
      </c>
      <c r="O112" s="7">
        <f t="shared" si="5"/>
        <v>0</v>
      </c>
      <c r="P112" s="7"/>
    </row>
    <row r="113" spans="1:16" x14ac:dyDescent="0.3">
      <c r="A113" s="5" t="s">
        <v>71</v>
      </c>
      <c r="B113" s="6">
        <v>0</v>
      </c>
      <c r="C113" s="10"/>
      <c r="D113" s="7"/>
      <c r="E113" s="8"/>
      <c r="F113" s="8"/>
      <c r="G113" s="9">
        <v>3000</v>
      </c>
      <c r="H113" s="26">
        <f t="shared" si="3"/>
        <v>0</v>
      </c>
      <c r="I113" s="7"/>
      <c r="J113" s="7"/>
      <c r="K113" s="7"/>
      <c r="L113" s="7">
        <v>200</v>
      </c>
      <c r="M113" s="7"/>
      <c r="N113" s="7">
        <f t="shared" si="4"/>
        <v>0</v>
      </c>
      <c r="O113" s="7">
        <f t="shared" si="5"/>
        <v>0</v>
      </c>
      <c r="P113" s="7"/>
    </row>
    <row r="114" spans="1:16" x14ac:dyDescent="0.3">
      <c r="A114" s="5" t="s">
        <v>197</v>
      </c>
      <c r="B114" s="6">
        <v>0</v>
      </c>
      <c r="C114" s="10"/>
      <c r="D114" s="7"/>
      <c r="E114" s="8"/>
      <c r="F114" s="8"/>
      <c r="G114" s="9">
        <v>2000</v>
      </c>
      <c r="H114" s="26">
        <f t="shared" si="3"/>
        <v>0</v>
      </c>
      <c r="I114" s="7"/>
      <c r="J114" s="7"/>
      <c r="K114" s="7"/>
      <c r="L114" s="7">
        <v>100</v>
      </c>
      <c r="M114" s="7"/>
      <c r="N114" s="7">
        <f t="shared" si="4"/>
        <v>0</v>
      </c>
      <c r="O114" s="7">
        <f t="shared" si="5"/>
        <v>0</v>
      </c>
      <c r="P114" s="7"/>
    </row>
    <row r="115" spans="1:16" x14ac:dyDescent="0.3">
      <c r="A115" s="5" t="s">
        <v>246</v>
      </c>
      <c r="B115" s="6">
        <v>0</v>
      </c>
      <c r="C115" s="10"/>
      <c r="D115" s="7"/>
      <c r="E115" s="8"/>
      <c r="F115" s="8"/>
      <c r="G115" s="9">
        <v>2000</v>
      </c>
      <c r="H115" s="26">
        <f t="shared" si="3"/>
        <v>0</v>
      </c>
      <c r="I115" s="7"/>
      <c r="J115" s="7"/>
      <c r="K115" s="7"/>
      <c r="L115" s="7">
        <v>115</v>
      </c>
      <c r="M115" s="7"/>
      <c r="N115" s="7">
        <f t="shared" si="4"/>
        <v>0</v>
      </c>
      <c r="O115" s="7">
        <f t="shared" si="5"/>
        <v>0</v>
      </c>
      <c r="P115" s="7"/>
    </row>
    <row r="116" spans="1:16" x14ac:dyDescent="0.3">
      <c r="A116" s="5" t="s">
        <v>255</v>
      </c>
      <c r="B116" s="6">
        <v>0</v>
      </c>
      <c r="C116" s="10"/>
      <c r="D116" s="7"/>
      <c r="E116" s="8"/>
      <c r="F116" s="8"/>
      <c r="G116" s="9">
        <v>2000</v>
      </c>
      <c r="H116" s="26">
        <f t="shared" si="3"/>
        <v>0</v>
      </c>
      <c r="I116" s="7"/>
      <c r="J116" s="7"/>
      <c r="K116" s="7"/>
      <c r="L116" s="7">
        <v>115</v>
      </c>
      <c r="M116" s="7"/>
      <c r="N116" s="7">
        <f t="shared" si="4"/>
        <v>0</v>
      </c>
      <c r="O116" s="7">
        <f t="shared" si="5"/>
        <v>0</v>
      </c>
      <c r="P116" s="7"/>
    </row>
    <row r="117" spans="1:16" x14ac:dyDescent="0.3">
      <c r="A117" s="5" t="s">
        <v>72</v>
      </c>
      <c r="B117" s="6">
        <v>0</v>
      </c>
      <c r="C117" s="10"/>
      <c r="D117" s="7"/>
      <c r="E117" s="8"/>
      <c r="F117" s="8"/>
      <c r="G117" s="9">
        <v>1000</v>
      </c>
      <c r="H117" s="26">
        <f t="shared" si="3"/>
        <v>0</v>
      </c>
      <c r="I117" s="7"/>
      <c r="J117" s="7"/>
      <c r="K117" s="7"/>
      <c r="L117" s="7">
        <v>70</v>
      </c>
      <c r="M117" s="7"/>
      <c r="N117" s="7">
        <f t="shared" si="4"/>
        <v>0</v>
      </c>
      <c r="O117" s="7">
        <f t="shared" si="5"/>
        <v>0</v>
      </c>
      <c r="P117" s="7"/>
    </row>
    <row r="118" spans="1:16" x14ac:dyDescent="0.3">
      <c r="A118" s="5" t="s">
        <v>284</v>
      </c>
      <c r="B118" s="6">
        <v>5</v>
      </c>
      <c r="C118" s="10"/>
      <c r="D118" s="7"/>
      <c r="E118" s="8"/>
      <c r="F118" s="8"/>
      <c r="G118" s="9">
        <v>1000</v>
      </c>
      <c r="H118" s="26">
        <f t="shared" si="3"/>
        <v>0</v>
      </c>
      <c r="I118" s="7"/>
      <c r="J118" s="7"/>
      <c r="K118" s="7"/>
      <c r="L118" s="7">
        <v>60</v>
      </c>
      <c r="M118" s="7"/>
      <c r="N118" s="7">
        <f t="shared" si="4"/>
        <v>5</v>
      </c>
      <c r="O118" s="7">
        <f t="shared" si="5"/>
        <v>0</v>
      </c>
      <c r="P118" s="7"/>
    </row>
    <row r="119" spans="1:16" x14ac:dyDescent="0.3">
      <c r="A119" s="5" t="s">
        <v>290</v>
      </c>
      <c r="B119" s="6">
        <v>3</v>
      </c>
      <c r="C119" s="10"/>
      <c r="D119" s="7"/>
      <c r="E119" s="8"/>
      <c r="F119" s="8"/>
      <c r="G119" s="9">
        <v>1000</v>
      </c>
      <c r="H119" s="26">
        <f t="shared" si="3"/>
        <v>0</v>
      </c>
      <c r="I119" s="7"/>
      <c r="J119" s="7"/>
      <c r="K119" s="7"/>
      <c r="L119" s="7">
        <v>110</v>
      </c>
      <c r="M119" s="7"/>
      <c r="N119" s="7">
        <f t="shared" si="4"/>
        <v>3</v>
      </c>
      <c r="O119" s="7">
        <f t="shared" si="5"/>
        <v>0</v>
      </c>
      <c r="P119" s="7"/>
    </row>
    <row r="120" spans="1:16" x14ac:dyDescent="0.3">
      <c r="A120" s="5" t="s">
        <v>73</v>
      </c>
      <c r="B120" s="6">
        <v>0</v>
      </c>
      <c r="C120" s="10"/>
      <c r="D120" s="7"/>
      <c r="E120" s="8"/>
      <c r="F120" s="8"/>
      <c r="G120" s="9">
        <v>3000</v>
      </c>
      <c r="H120" s="26">
        <f t="shared" si="3"/>
        <v>0</v>
      </c>
      <c r="I120" s="7"/>
      <c r="J120" s="7"/>
      <c r="K120" s="7"/>
      <c r="L120" s="7">
        <v>175</v>
      </c>
      <c r="M120" s="7"/>
      <c r="N120" s="7">
        <f t="shared" si="4"/>
        <v>0</v>
      </c>
      <c r="O120" s="7">
        <f t="shared" si="5"/>
        <v>0</v>
      </c>
      <c r="P120" s="7"/>
    </row>
    <row r="121" spans="1:16" x14ac:dyDescent="0.3">
      <c r="A121" s="5" t="s">
        <v>223</v>
      </c>
      <c r="B121" s="6">
        <v>0</v>
      </c>
      <c r="C121" s="10"/>
      <c r="D121" s="7"/>
      <c r="E121" s="8"/>
      <c r="F121" s="8"/>
      <c r="G121" s="9">
        <v>3000</v>
      </c>
      <c r="H121" s="26">
        <f t="shared" si="3"/>
        <v>0</v>
      </c>
      <c r="I121" s="7"/>
      <c r="J121" s="7"/>
      <c r="K121" s="7"/>
      <c r="L121" s="7">
        <v>230</v>
      </c>
      <c r="M121" s="7"/>
      <c r="N121" s="7">
        <f t="shared" si="4"/>
        <v>0</v>
      </c>
      <c r="O121" s="7">
        <f t="shared" si="5"/>
        <v>0</v>
      </c>
      <c r="P121" s="7"/>
    </row>
    <row r="122" spans="1:16" x14ac:dyDescent="0.3">
      <c r="A122" s="5" t="s">
        <v>74</v>
      </c>
      <c r="B122" s="6">
        <v>1</v>
      </c>
      <c r="C122" s="10"/>
      <c r="D122" s="7"/>
      <c r="E122" s="8"/>
      <c r="F122" s="8"/>
      <c r="G122" s="9">
        <v>3000</v>
      </c>
      <c r="H122" s="26">
        <f t="shared" si="3"/>
        <v>0</v>
      </c>
      <c r="I122" s="7"/>
      <c r="J122" s="7"/>
      <c r="K122" s="7"/>
      <c r="L122" s="7">
        <v>290</v>
      </c>
      <c r="M122" s="7"/>
      <c r="N122" s="7">
        <f t="shared" si="4"/>
        <v>1</v>
      </c>
      <c r="O122" s="7">
        <f t="shared" si="5"/>
        <v>0</v>
      </c>
      <c r="P122" s="7"/>
    </row>
    <row r="123" spans="1:16" x14ac:dyDescent="0.3">
      <c r="A123" s="5" t="s">
        <v>231</v>
      </c>
      <c r="B123" s="6">
        <v>0</v>
      </c>
      <c r="C123" s="10"/>
      <c r="D123" s="7"/>
      <c r="E123" s="8"/>
      <c r="F123" s="8"/>
      <c r="G123" s="9">
        <v>3000</v>
      </c>
      <c r="H123" s="26">
        <f t="shared" si="3"/>
        <v>0</v>
      </c>
      <c r="I123" s="7"/>
      <c r="J123" s="7"/>
      <c r="K123" s="7"/>
      <c r="L123" s="7">
        <v>265</v>
      </c>
      <c r="M123" s="7"/>
      <c r="N123" s="7">
        <f t="shared" si="4"/>
        <v>0</v>
      </c>
      <c r="O123" s="7">
        <f t="shared" si="5"/>
        <v>0</v>
      </c>
      <c r="P123" s="7"/>
    </row>
    <row r="124" spans="1:16" x14ac:dyDescent="0.3">
      <c r="A124" s="5" t="s">
        <v>281</v>
      </c>
      <c r="B124" s="6">
        <v>0</v>
      </c>
      <c r="C124" s="10"/>
      <c r="D124" s="7"/>
      <c r="E124" s="8"/>
      <c r="F124" s="8"/>
      <c r="G124" s="9">
        <v>3000</v>
      </c>
      <c r="H124" s="26">
        <f t="shared" si="3"/>
        <v>0</v>
      </c>
      <c r="I124" s="7"/>
      <c r="J124" s="7"/>
      <c r="K124" s="7"/>
      <c r="L124" s="7">
        <v>260</v>
      </c>
      <c r="M124" s="7"/>
      <c r="N124" s="7">
        <f t="shared" si="4"/>
        <v>0</v>
      </c>
      <c r="O124" s="7">
        <f t="shared" si="5"/>
        <v>0</v>
      </c>
      <c r="P124" s="7"/>
    </row>
    <row r="125" spans="1:16" x14ac:dyDescent="0.3">
      <c r="A125" s="5" t="s">
        <v>277</v>
      </c>
      <c r="B125" s="6">
        <v>0</v>
      </c>
      <c r="C125" s="10"/>
      <c r="D125" s="7"/>
      <c r="E125" s="8"/>
      <c r="F125" s="8"/>
      <c r="G125" s="9">
        <v>3000</v>
      </c>
      <c r="H125" s="26">
        <f t="shared" si="3"/>
        <v>0</v>
      </c>
      <c r="I125" s="7"/>
      <c r="J125" s="7">
        <v>225</v>
      </c>
      <c r="K125" s="7"/>
      <c r="L125" s="7">
        <v>310</v>
      </c>
      <c r="M125" s="7"/>
      <c r="N125" s="7">
        <f t="shared" si="4"/>
        <v>0</v>
      </c>
      <c r="O125" s="7">
        <f t="shared" si="5"/>
        <v>0</v>
      </c>
      <c r="P125" s="7"/>
    </row>
    <row r="126" spans="1:16" x14ac:dyDescent="0.3">
      <c r="A126" s="5" t="s">
        <v>75</v>
      </c>
      <c r="B126" s="6">
        <v>0</v>
      </c>
      <c r="C126" s="10"/>
      <c r="D126" s="7"/>
      <c r="E126" s="8"/>
      <c r="F126" s="8"/>
      <c r="G126" s="9">
        <v>3000</v>
      </c>
      <c r="H126" s="26">
        <f t="shared" si="3"/>
        <v>0</v>
      </c>
      <c r="I126" s="7"/>
      <c r="J126" s="7"/>
      <c r="K126" s="7"/>
      <c r="L126" s="7">
        <v>210</v>
      </c>
      <c r="M126" s="7"/>
      <c r="N126" s="7">
        <f t="shared" si="4"/>
        <v>0</v>
      </c>
      <c r="O126" s="7">
        <f t="shared" si="5"/>
        <v>0</v>
      </c>
      <c r="P126" s="7"/>
    </row>
    <row r="127" spans="1:16" x14ac:dyDescent="0.3">
      <c r="A127" s="5" t="s">
        <v>172</v>
      </c>
      <c r="B127" s="6">
        <v>0</v>
      </c>
      <c r="C127" s="10"/>
      <c r="D127" s="7"/>
      <c r="E127" s="8"/>
      <c r="F127" s="8"/>
      <c r="G127" s="9">
        <v>3000</v>
      </c>
      <c r="H127" s="26">
        <f t="shared" si="3"/>
        <v>0</v>
      </c>
      <c r="I127" s="7"/>
      <c r="J127" s="7"/>
      <c r="K127" s="7"/>
      <c r="L127" s="7">
        <v>320</v>
      </c>
      <c r="M127" s="7"/>
      <c r="N127" s="7">
        <f t="shared" si="4"/>
        <v>0</v>
      </c>
      <c r="O127" s="7">
        <f t="shared" si="5"/>
        <v>0</v>
      </c>
      <c r="P127" s="7"/>
    </row>
    <row r="128" spans="1:16" x14ac:dyDescent="0.3">
      <c r="A128" s="5" t="s">
        <v>76</v>
      </c>
      <c r="B128" s="6">
        <v>26</v>
      </c>
      <c r="C128" s="10"/>
      <c r="D128" s="7"/>
      <c r="E128" s="8"/>
      <c r="F128" s="8"/>
      <c r="G128" s="9">
        <v>3000</v>
      </c>
      <c r="H128" s="26">
        <f t="shared" si="3"/>
        <v>0</v>
      </c>
      <c r="I128" s="7"/>
      <c r="J128" s="7">
        <v>170</v>
      </c>
      <c r="K128" s="7"/>
      <c r="L128" s="7">
        <v>260</v>
      </c>
      <c r="M128" s="7">
        <v>200</v>
      </c>
      <c r="N128" s="7">
        <f t="shared" si="4"/>
        <v>26</v>
      </c>
      <c r="O128" s="7">
        <f t="shared" si="5"/>
        <v>0</v>
      </c>
      <c r="P128" s="7"/>
    </row>
    <row r="129" spans="1:16" x14ac:dyDescent="0.3">
      <c r="A129" s="5" t="s">
        <v>228</v>
      </c>
      <c r="B129" s="6">
        <v>0</v>
      </c>
      <c r="C129" s="10"/>
      <c r="D129" s="7"/>
      <c r="E129" s="8"/>
      <c r="F129" s="8"/>
      <c r="G129" s="9">
        <v>3000</v>
      </c>
      <c r="H129" s="26">
        <f t="shared" si="3"/>
        <v>0</v>
      </c>
      <c r="I129" s="7"/>
      <c r="J129" s="7">
        <v>220</v>
      </c>
      <c r="K129" s="7"/>
      <c r="L129" s="7">
        <v>260</v>
      </c>
      <c r="M129" s="7">
        <v>0</v>
      </c>
      <c r="N129" s="7">
        <f t="shared" si="4"/>
        <v>0</v>
      </c>
      <c r="O129" s="7">
        <f t="shared" si="5"/>
        <v>0</v>
      </c>
      <c r="P129" s="7"/>
    </row>
    <row r="130" spans="1:16" x14ac:dyDescent="0.3">
      <c r="A130" s="5" t="s">
        <v>77</v>
      </c>
      <c r="B130" s="6">
        <v>0</v>
      </c>
      <c r="C130" s="10"/>
      <c r="D130" s="7"/>
      <c r="E130" s="8"/>
      <c r="F130" s="8"/>
      <c r="G130" s="9">
        <v>3000</v>
      </c>
      <c r="H130" s="26">
        <f t="shared" si="3"/>
        <v>0</v>
      </c>
      <c r="I130" s="7"/>
      <c r="J130" s="7">
        <v>330</v>
      </c>
      <c r="K130" s="7"/>
      <c r="L130" s="7">
        <v>380</v>
      </c>
      <c r="M130" s="7"/>
      <c r="N130" s="7">
        <f t="shared" si="4"/>
        <v>0</v>
      </c>
      <c r="O130" s="7">
        <f t="shared" si="5"/>
        <v>0</v>
      </c>
      <c r="P130" s="7"/>
    </row>
    <row r="131" spans="1:16" x14ac:dyDescent="0.3">
      <c r="A131" s="5" t="s">
        <v>276</v>
      </c>
      <c r="B131" s="6">
        <v>0</v>
      </c>
      <c r="C131" s="10"/>
      <c r="D131" s="7"/>
      <c r="E131" s="8"/>
      <c r="F131" s="8"/>
      <c r="G131" s="9">
        <v>3000</v>
      </c>
      <c r="H131" s="26">
        <f t="shared" si="3"/>
        <v>0</v>
      </c>
      <c r="I131" s="7"/>
      <c r="J131" s="7">
        <v>600</v>
      </c>
      <c r="K131" s="7"/>
      <c r="L131" s="7">
        <v>420</v>
      </c>
      <c r="M131" s="7"/>
      <c r="N131" s="7">
        <f t="shared" si="4"/>
        <v>0</v>
      </c>
      <c r="O131" s="7">
        <f t="shared" si="5"/>
        <v>0</v>
      </c>
      <c r="P131" s="7"/>
    </row>
    <row r="132" spans="1:16" x14ac:dyDescent="0.3">
      <c r="A132" s="5" t="s">
        <v>78</v>
      </c>
      <c r="B132" s="6">
        <v>0</v>
      </c>
      <c r="C132" s="10"/>
      <c r="D132" s="7"/>
      <c r="E132" s="8"/>
      <c r="F132" s="8"/>
      <c r="G132" s="9">
        <v>4000</v>
      </c>
      <c r="H132" s="26">
        <f t="shared" si="3"/>
        <v>0</v>
      </c>
      <c r="I132" s="7"/>
      <c r="J132" s="7"/>
      <c r="K132" s="7"/>
      <c r="L132" s="7">
        <v>760</v>
      </c>
      <c r="M132" s="7"/>
      <c r="N132" s="7">
        <f t="shared" si="4"/>
        <v>0</v>
      </c>
      <c r="O132" s="7">
        <f t="shared" si="5"/>
        <v>0</v>
      </c>
      <c r="P132" s="7"/>
    </row>
    <row r="133" spans="1:16" x14ac:dyDescent="0.3">
      <c r="A133" s="5" t="s">
        <v>79</v>
      </c>
      <c r="B133" s="6">
        <v>0</v>
      </c>
      <c r="C133" s="10"/>
      <c r="D133" s="7"/>
      <c r="E133" s="8"/>
      <c r="F133" s="8"/>
      <c r="G133" s="9">
        <v>3000</v>
      </c>
      <c r="H133" s="26">
        <f t="shared" si="3"/>
        <v>0</v>
      </c>
      <c r="I133" s="7"/>
      <c r="J133" s="7">
        <v>265</v>
      </c>
      <c r="K133" s="7"/>
      <c r="L133" s="7">
        <v>40</v>
      </c>
      <c r="M133" s="7"/>
      <c r="N133" s="7">
        <f t="shared" si="4"/>
        <v>0</v>
      </c>
      <c r="O133" s="7">
        <f t="shared" si="5"/>
        <v>0</v>
      </c>
      <c r="P133" s="7"/>
    </row>
    <row r="134" spans="1:16" x14ac:dyDescent="0.3">
      <c r="A134" s="5" t="s">
        <v>80</v>
      </c>
      <c r="B134" s="6">
        <v>1</v>
      </c>
      <c r="C134" s="10"/>
      <c r="D134" s="7"/>
      <c r="E134" s="8"/>
      <c r="F134" s="8"/>
      <c r="G134" s="9">
        <v>2000</v>
      </c>
      <c r="H134" s="26">
        <f t="shared" si="3"/>
        <v>0</v>
      </c>
      <c r="I134" s="7"/>
      <c r="J134" s="7">
        <v>110</v>
      </c>
      <c r="K134" s="7"/>
      <c r="L134" s="7">
        <v>150</v>
      </c>
      <c r="M134" s="7"/>
      <c r="N134" s="7">
        <f t="shared" si="4"/>
        <v>1</v>
      </c>
      <c r="O134" s="7">
        <f t="shared" si="5"/>
        <v>0</v>
      </c>
      <c r="P134" s="7"/>
    </row>
    <row r="135" spans="1:16" x14ac:dyDescent="0.3">
      <c r="A135" s="5" t="s">
        <v>283</v>
      </c>
      <c r="B135" s="6">
        <v>49</v>
      </c>
      <c r="C135" s="10"/>
      <c r="D135" s="7"/>
      <c r="E135" s="8"/>
      <c r="F135" s="8"/>
      <c r="G135" s="9">
        <v>200</v>
      </c>
      <c r="H135" s="26">
        <f t="shared" si="3"/>
        <v>0</v>
      </c>
      <c r="I135" s="7"/>
      <c r="J135" s="7"/>
      <c r="K135" s="7"/>
      <c r="L135" s="7">
        <v>5</v>
      </c>
      <c r="M135" s="7"/>
      <c r="N135" s="7">
        <f t="shared" si="4"/>
        <v>49</v>
      </c>
      <c r="O135" s="7">
        <f t="shared" si="5"/>
        <v>0</v>
      </c>
      <c r="P135" s="7"/>
    </row>
    <row r="136" spans="1:16" x14ac:dyDescent="0.3">
      <c r="A136" s="5" t="s">
        <v>81</v>
      </c>
      <c r="B136" s="6">
        <v>2</v>
      </c>
      <c r="C136" s="10"/>
      <c r="D136" s="7"/>
      <c r="E136" s="8"/>
      <c r="F136" s="8"/>
      <c r="G136" s="9">
        <v>1000</v>
      </c>
      <c r="H136" s="26">
        <f t="shared" si="3"/>
        <v>0</v>
      </c>
      <c r="I136" s="7"/>
      <c r="J136" s="7"/>
      <c r="K136" s="7"/>
      <c r="L136" s="7">
        <v>45</v>
      </c>
      <c r="M136" s="7"/>
      <c r="N136" s="7">
        <f t="shared" si="4"/>
        <v>2</v>
      </c>
      <c r="O136" s="7">
        <f t="shared" si="5"/>
        <v>0</v>
      </c>
      <c r="P136" s="7"/>
    </row>
    <row r="137" spans="1:16" x14ac:dyDescent="0.3">
      <c r="A137" s="5" t="s">
        <v>162</v>
      </c>
      <c r="B137" s="6">
        <v>5</v>
      </c>
      <c r="C137" s="10"/>
      <c r="D137" s="7"/>
      <c r="E137" s="8"/>
      <c r="F137" s="8"/>
      <c r="G137" s="9">
        <v>1000</v>
      </c>
      <c r="H137" s="26">
        <f t="shared" si="3"/>
        <v>0</v>
      </c>
      <c r="I137" s="7"/>
      <c r="J137" s="7"/>
      <c r="K137" s="7"/>
      <c r="L137" s="7">
        <v>40</v>
      </c>
      <c r="M137" s="7"/>
      <c r="N137" s="7">
        <f t="shared" si="4"/>
        <v>5</v>
      </c>
      <c r="O137" s="7">
        <f t="shared" si="5"/>
        <v>0</v>
      </c>
      <c r="P137" s="7"/>
    </row>
    <row r="138" spans="1:16" x14ac:dyDescent="0.3">
      <c r="A138" s="5" t="s">
        <v>82</v>
      </c>
      <c r="B138" s="6">
        <v>0</v>
      </c>
      <c r="C138" s="10"/>
      <c r="D138" s="7"/>
      <c r="E138" s="8"/>
      <c r="F138" s="8"/>
      <c r="G138" s="9">
        <v>1000</v>
      </c>
      <c r="H138" s="26">
        <f t="shared" ref="H138:H219" si="6">(E138+F138)*G138</f>
        <v>0</v>
      </c>
      <c r="I138" s="7"/>
      <c r="J138" s="7">
        <v>28</v>
      </c>
      <c r="K138" s="7"/>
      <c r="L138" s="7">
        <v>45</v>
      </c>
      <c r="M138" s="7"/>
      <c r="N138" s="7">
        <f t="shared" si="4"/>
        <v>0</v>
      </c>
      <c r="O138" s="7">
        <f t="shared" si="5"/>
        <v>0</v>
      </c>
      <c r="P138" s="7"/>
    </row>
    <row r="139" spans="1:16" x14ac:dyDescent="0.3">
      <c r="A139" s="5" t="s">
        <v>83</v>
      </c>
      <c r="B139" s="6">
        <v>0</v>
      </c>
      <c r="C139" s="10"/>
      <c r="D139" s="7"/>
      <c r="E139" s="8"/>
      <c r="F139" s="8"/>
      <c r="G139" s="9">
        <v>1000</v>
      </c>
      <c r="H139" s="26">
        <f t="shared" si="6"/>
        <v>0</v>
      </c>
      <c r="I139" s="7"/>
      <c r="J139" s="7"/>
      <c r="K139" s="7"/>
      <c r="L139" s="7">
        <v>40</v>
      </c>
      <c r="M139" s="7"/>
      <c r="N139" s="7">
        <f t="shared" si="4"/>
        <v>0</v>
      </c>
      <c r="O139" s="7">
        <f t="shared" si="5"/>
        <v>0</v>
      </c>
      <c r="P139" s="7"/>
    </row>
    <row r="140" spans="1:16" x14ac:dyDescent="0.3">
      <c r="A140" s="5" t="s">
        <v>84</v>
      </c>
      <c r="B140" s="6">
        <v>0</v>
      </c>
      <c r="C140" s="10"/>
      <c r="D140" s="7"/>
      <c r="E140" s="8"/>
      <c r="F140" s="8"/>
      <c r="G140" s="9">
        <v>1000</v>
      </c>
      <c r="H140" s="26">
        <f t="shared" si="6"/>
        <v>0</v>
      </c>
      <c r="I140" s="7"/>
      <c r="J140" s="7"/>
      <c r="K140" s="7"/>
      <c r="L140" s="7">
        <v>30</v>
      </c>
      <c r="M140" s="7"/>
      <c r="N140" s="7">
        <f t="shared" si="4"/>
        <v>0</v>
      </c>
      <c r="O140" s="7">
        <f t="shared" si="5"/>
        <v>0</v>
      </c>
      <c r="P140" s="7"/>
    </row>
    <row r="141" spans="1:16" x14ac:dyDescent="0.3">
      <c r="A141" s="5" t="s">
        <v>182</v>
      </c>
      <c r="B141" s="6">
        <v>0</v>
      </c>
      <c r="C141" s="10"/>
      <c r="D141" s="7"/>
      <c r="E141" s="8"/>
      <c r="F141" s="8"/>
      <c r="G141" s="9">
        <v>1000</v>
      </c>
      <c r="H141" s="26">
        <f t="shared" si="6"/>
        <v>0</v>
      </c>
      <c r="I141" s="7"/>
      <c r="J141" s="7">
        <v>23</v>
      </c>
      <c r="K141" s="7"/>
      <c r="L141" s="7">
        <v>40</v>
      </c>
      <c r="M141" s="7"/>
      <c r="N141" s="7">
        <f t="shared" si="4"/>
        <v>0</v>
      </c>
      <c r="O141" s="7">
        <f t="shared" si="5"/>
        <v>0</v>
      </c>
      <c r="P141" s="7"/>
    </row>
    <row r="142" spans="1:16" x14ac:dyDescent="0.3">
      <c r="A142" s="5" t="s">
        <v>185</v>
      </c>
      <c r="B142" s="6">
        <v>0</v>
      </c>
      <c r="C142" s="10"/>
      <c r="D142" s="7"/>
      <c r="E142" s="8"/>
      <c r="F142" s="8"/>
      <c r="G142" s="9">
        <v>1000</v>
      </c>
      <c r="H142" s="26">
        <f t="shared" si="6"/>
        <v>0</v>
      </c>
      <c r="I142" s="7"/>
      <c r="J142" s="7">
        <v>26</v>
      </c>
      <c r="K142" s="7"/>
      <c r="L142" s="7">
        <v>45</v>
      </c>
      <c r="M142" s="7"/>
      <c r="N142" s="7">
        <f t="shared" si="4"/>
        <v>0</v>
      </c>
      <c r="O142" s="7">
        <f t="shared" si="5"/>
        <v>0</v>
      </c>
      <c r="P142" s="7"/>
    </row>
    <row r="143" spans="1:16" x14ac:dyDescent="0.3">
      <c r="A143" s="5" t="s">
        <v>236</v>
      </c>
      <c r="B143" s="6">
        <v>2</v>
      </c>
      <c r="C143" s="10"/>
      <c r="D143" s="7"/>
      <c r="E143" s="8"/>
      <c r="F143" s="8"/>
      <c r="G143" s="9">
        <v>1000</v>
      </c>
      <c r="H143" s="26">
        <f t="shared" si="6"/>
        <v>0</v>
      </c>
      <c r="I143" s="7"/>
      <c r="J143" s="7"/>
      <c r="K143" s="7"/>
      <c r="L143" s="7">
        <v>65</v>
      </c>
      <c r="M143" s="7"/>
      <c r="N143" s="7">
        <f t="shared" si="4"/>
        <v>2</v>
      </c>
      <c r="O143" s="7">
        <f t="shared" si="5"/>
        <v>0</v>
      </c>
      <c r="P143" s="7"/>
    </row>
    <row r="144" spans="1:16" x14ac:dyDescent="0.3">
      <c r="A144" s="5" t="s">
        <v>85</v>
      </c>
      <c r="B144" s="6">
        <v>0</v>
      </c>
      <c r="C144" s="10"/>
      <c r="D144" s="7"/>
      <c r="E144" s="8"/>
      <c r="F144" s="8"/>
      <c r="G144" s="9">
        <v>1000</v>
      </c>
      <c r="H144" s="26">
        <f t="shared" si="6"/>
        <v>0</v>
      </c>
      <c r="I144" s="7"/>
      <c r="J144" s="7">
        <v>50</v>
      </c>
      <c r="K144" s="7"/>
      <c r="L144" s="7">
        <v>65</v>
      </c>
      <c r="M144" s="7"/>
      <c r="N144" s="7">
        <f t="shared" si="4"/>
        <v>0</v>
      </c>
      <c r="O144" s="7">
        <f t="shared" si="5"/>
        <v>0</v>
      </c>
      <c r="P144" s="7"/>
    </row>
    <row r="145" spans="1:16" x14ac:dyDescent="0.3">
      <c r="A145" s="5" t="s">
        <v>273</v>
      </c>
      <c r="B145" s="6">
        <v>3</v>
      </c>
      <c r="C145" s="10"/>
      <c r="D145" s="7"/>
      <c r="E145" s="8">
        <v>1</v>
      </c>
      <c r="F145" s="8"/>
      <c r="G145" s="9">
        <v>1000</v>
      </c>
      <c r="H145" s="26"/>
      <c r="I145" s="7">
        <v>700</v>
      </c>
      <c r="J145" s="7">
        <v>45</v>
      </c>
      <c r="K145" s="7"/>
      <c r="L145" s="7">
        <v>60</v>
      </c>
      <c r="M145" s="7"/>
      <c r="N145" s="7">
        <f t="shared" si="4"/>
        <v>2</v>
      </c>
      <c r="O145" s="7">
        <f t="shared" si="5"/>
        <v>60</v>
      </c>
      <c r="P145" s="7"/>
    </row>
    <row r="146" spans="1:16" x14ac:dyDescent="0.3">
      <c r="A146" s="5" t="s">
        <v>86</v>
      </c>
      <c r="B146" s="6">
        <v>0</v>
      </c>
      <c r="C146" s="10"/>
      <c r="D146" s="7"/>
      <c r="E146" s="8"/>
      <c r="F146" s="8"/>
      <c r="G146" s="9">
        <v>1000</v>
      </c>
      <c r="H146" s="26">
        <f t="shared" si="6"/>
        <v>0</v>
      </c>
      <c r="I146" s="7"/>
      <c r="J146" s="7">
        <v>42</v>
      </c>
      <c r="K146" s="7"/>
      <c r="L146" s="7">
        <v>60</v>
      </c>
      <c r="M146" s="7"/>
      <c r="N146" s="7">
        <f t="shared" si="4"/>
        <v>0</v>
      </c>
      <c r="O146" s="7">
        <f t="shared" si="5"/>
        <v>0</v>
      </c>
      <c r="P146" s="7"/>
    </row>
    <row r="147" spans="1:16" x14ac:dyDescent="0.3">
      <c r="A147" s="5" t="s">
        <v>198</v>
      </c>
      <c r="B147" s="6">
        <v>0</v>
      </c>
      <c r="C147" s="10"/>
      <c r="D147" s="7"/>
      <c r="E147" s="8"/>
      <c r="F147" s="8"/>
      <c r="G147" s="9">
        <v>1000</v>
      </c>
      <c r="H147" s="26">
        <f t="shared" si="6"/>
        <v>0</v>
      </c>
      <c r="I147" s="7"/>
      <c r="J147" s="7"/>
      <c r="K147" s="7"/>
      <c r="L147" s="7">
        <v>65</v>
      </c>
      <c r="M147" s="7"/>
      <c r="N147" s="7">
        <f t="shared" si="4"/>
        <v>0</v>
      </c>
      <c r="O147" s="7">
        <f t="shared" si="5"/>
        <v>0</v>
      </c>
      <c r="P147" s="7"/>
    </row>
    <row r="148" spans="1:16" x14ac:dyDescent="0.3">
      <c r="A148" s="5" t="s">
        <v>194</v>
      </c>
      <c r="B148" s="6">
        <v>0</v>
      </c>
      <c r="C148" s="10"/>
      <c r="D148" s="7"/>
      <c r="E148" s="8"/>
      <c r="F148" s="8"/>
      <c r="G148" s="9">
        <v>1000</v>
      </c>
      <c r="H148" s="26">
        <f t="shared" si="6"/>
        <v>0</v>
      </c>
      <c r="I148" s="7"/>
      <c r="J148" s="7">
        <v>25</v>
      </c>
      <c r="K148" s="7"/>
      <c r="L148" s="7">
        <v>50</v>
      </c>
      <c r="M148" s="7"/>
      <c r="N148" s="7">
        <f t="shared" si="4"/>
        <v>0</v>
      </c>
      <c r="O148" s="7">
        <f t="shared" si="5"/>
        <v>0</v>
      </c>
      <c r="P148" s="7"/>
    </row>
    <row r="149" spans="1:16" x14ac:dyDescent="0.3">
      <c r="A149" s="5" t="s">
        <v>87</v>
      </c>
      <c r="B149" s="6">
        <v>0</v>
      </c>
      <c r="C149" s="10"/>
      <c r="D149" s="7"/>
      <c r="E149" s="8"/>
      <c r="F149" s="8"/>
      <c r="G149" s="9">
        <v>4000</v>
      </c>
      <c r="H149" s="26">
        <f t="shared" si="6"/>
        <v>0</v>
      </c>
      <c r="I149" s="7"/>
      <c r="J149" s="7"/>
      <c r="K149" s="7"/>
      <c r="L149" s="7">
        <v>280</v>
      </c>
      <c r="M149" s="7"/>
      <c r="N149" s="7">
        <f t="shared" si="4"/>
        <v>0</v>
      </c>
      <c r="O149" s="7">
        <f t="shared" si="5"/>
        <v>0</v>
      </c>
      <c r="P149" s="7"/>
    </row>
    <row r="150" spans="1:16" x14ac:dyDescent="0.3">
      <c r="A150" s="5" t="s">
        <v>196</v>
      </c>
      <c r="B150" s="6">
        <v>16</v>
      </c>
      <c r="C150" s="10"/>
      <c r="D150" s="7"/>
      <c r="E150" s="8"/>
      <c r="F150" s="8"/>
      <c r="G150" s="9">
        <v>500</v>
      </c>
      <c r="H150" s="26">
        <f t="shared" si="6"/>
        <v>0</v>
      </c>
      <c r="I150" s="7"/>
      <c r="J150" s="7"/>
      <c r="K150" s="7"/>
      <c r="L150" s="7">
        <v>30</v>
      </c>
      <c r="M150" s="7"/>
      <c r="N150" s="7">
        <f t="shared" si="4"/>
        <v>16</v>
      </c>
      <c r="O150" s="7">
        <f t="shared" si="5"/>
        <v>0</v>
      </c>
      <c r="P150" s="7"/>
    </row>
    <row r="151" spans="1:16" x14ac:dyDescent="0.3">
      <c r="A151" s="5" t="s">
        <v>88</v>
      </c>
      <c r="B151" s="6">
        <v>0</v>
      </c>
      <c r="C151" s="10"/>
      <c r="D151" s="7"/>
      <c r="E151" s="8"/>
      <c r="F151" s="8"/>
      <c r="G151" s="9">
        <v>2000</v>
      </c>
      <c r="H151" s="26">
        <f t="shared" si="6"/>
        <v>0</v>
      </c>
      <c r="I151" s="7"/>
      <c r="J151" s="7"/>
      <c r="K151" s="7"/>
      <c r="L151" s="7">
        <v>125</v>
      </c>
      <c r="M151" s="7"/>
      <c r="N151" s="7">
        <f t="shared" si="4"/>
        <v>0</v>
      </c>
      <c r="O151" s="7">
        <f t="shared" si="5"/>
        <v>0</v>
      </c>
      <c r="P151" s="7"/>
    </row>
    <row r="152" spans="1:16" x14ac:dyDescent="0.3">
      <c r="A152" s="5" t="s">
        <v>285</v>
      </c>
      <c r="B152" s="6">
        <v>4</v>
      </c>
      <c r="C152" s="10"/>
      <c r="D152" s="7"/>
      <c r="E152" s="8"/>
      <c r="F152" s="8"/>
      <c r="G152" s="9">
        <v>1000</v>
      </c>
      <c r="H152" s="26">
        <f t="shared" si="6"/>
        <v>0</v>
      </c>
      <c r="I152" s="7"/>
      <c r="J152" s="7"/>
      <c r="K152" s="7"/>
      <c r="L152" s="7">
        <v>60</v>
      </c>
      <c r="M152" s="7"/>
      <c r="N152" s="7">
        <f t="shared" si="4"/>
        <v>4</v>
      </c>
      <c r="O152" s="7">
        <f t="shared" si="5"/>
        <v>0</v>
      </c>
      <c r="P152" s="7"/>
    </row>
    <row r="153" spans="1:16" x14ac:dyDescent="0.3">
      <c r="A153" s="5" t="s">
        <v>288</v>
      </c>
      <c r="B153" s="6">
        <v>10</v>
      </c>
      <c r="C153" s="10"/>
      <c r="D153" s="7"/>
      <c r="E153" s="8"/>
      <c r="F153" s="8"/>
      <c r="G153" s="9">
        <v>500</v>
      </c>
      <c r="H153" s="26">
        <f t="shared" si="6"/>
        <v>0</v>
      </c>
      <c r="I153" s="7"/>
      <c r="J153" s="7"/>
      <c r="K153" s="7"/>
      <c r="L153" s="7">
        <v>15</v>
      </c>
      <c r="M153" s="7"/>
      <c r="N153" s="7">
        <f t="shared" si="4"/>
        <v>10</v>
      </c>
      <c r="O153" s="7">
        <f t="shared" si="5"/>
        <v>0</v>
      </c>
      <c r="P153" s="7"/>
    </row>
    <row r="154" spans="1:16" x14ac:dyDescent="0.3">
      <c r="A154" s="5" t="s">
        <v>289</v>
      </c>
      <c r="B154" s="6">
        <v>10</v>
      </c>
      <c r="C154" s="10"/>
      <c r="D154" s="7"/>
      <c r="E154" s="8"/>
      <c r="F154" s="8"/>
      <c r="G154" s="9">
        <v>500</v>
      </c>
      <c r="H154" s="26">
        <f t="shared" si="6"/>
        <v>0</v>
      </c>
      <c r="I154" s="7"/>
      <c r="J154" s="7"/>
      <c r="K154" s="7"/>
      <c r="L154" s="7">
        <v>18</v>
      </c>
      <c r="M154" s="7"/>
      <c r="N154" s="7">
        <f t="shared" si="4"/>
        <v>10</v>
      </c>
      <c r="O154" s="7">
        <f t="shared" si="5"/>
        <v>0</v>
      </c>
      <c r="P154" s="7"/>
    </row>
    <row r="155" spans="1:16" x14ac:dyDescent="0.3">
      <c r="A155" s="5" t="s">
        <v>286</v>
      </c>
      <c r="B155" s="6">
        <v>12</v>
      </c>
      <c r="C155" s="10"/>
      <c r="D155" s="7"/>
      <c r="E155" s="8"/>
      <c r="F155" s="8"/>
      <c r="G155" s="9">
        <v>200</v>
      </c>
      <c r="H155" s="26">
        <f t="shared" si="6"/>
        <v>0</v>
      </c>
      <c r="I155" s="7"/>
      <c r="J155" s="7"/>
      <c r="K155" s="7"/>
      <c r="L155" s="7">
        <v>10</v>
      </c>
      <c r="M155" s="7"/>
      <c r="N155" s="7">
        <f t="shared" si="4"/>
        <v>12</v>
      </c>
      <c r="O155" s="7">
        <f t="shared" si="5"/>
        <v>0</v>
      </c>
      <c r="P155" s="7"/>
    </row>
    <row r="156" spans="1:16" x14ac:dyDescent="0.3">
      <c r="A156" s="5" t="s">
        <v>89</v>
      </c>
      <c r="B156" s="6">
        <v>0</v>
      </c>
      <c r="C156" s="10"/>
      <c r="D156" s="7"/>
      <c r="E156" s="8"/>
      <c r="F156" s="8"/>
      <c r="G156" s="9">
        <v>1000</v>
      </c>
      <c r="H156" s="26">
        <f t="shared" si="6"/>
        <v>0</v>
      </c>
      <c r="I156" s="7"/>
      <c r="J156" s="7"/>
      <c r="K156" s="7"/>
      <c r="L156" s="7">
        <v>60</v>
      </c>
      <c r="M156" s="7"/>
      <c r="N156" s="7">
        <f t="shared" si="4"/>
        <v>0</v>
      </c>
      <c r="O156" s="7">
        <f t="shared" si="5"/>
        <v>0</v>
      </c>
      <c r="P156" s="7"/>
    </row>
    <row r="157" spans="1:16" x14ac:dyDescent="0.3">
      <c r="A157" s="5" t="s">
        <v>274</v>
      </c>
      <c r="B157" s="6">
        <v>1</v>
      </c>
      <c r="C157" s="10"/>
      <c r="D157" s="7"/>
      <c r="E157" s="8"/>
      <c r="F157" s="8"/>
      <c r="G157" s="9">
        <v>1000</v>
      </c>
      <c r="H157" s="26">
        <f t="shared" si="6"/>
        <v>0</v>
      </c>
      <c r="I157" s="7"/>
      <c r="J157" s="7"/>
      <c r="K157" s="7"/>
      <c r="L157" s="7">
        <v>60</v>
      </c>
      <c r="M157" s="7"/>
      <c r="N157" s="7">
        <f t="shared" si="4"/>
        <v>1</v>
      </c>
      <c r="O157" s="7">
        <f t="shared" si="5"/>
        <v>0</v>
      </c>
      <c r="P157" s="7"/>
    </row>
    <row r="158" spans="1:16" x14ac:dyDescent="0.3">
      <c r="A158" s="5" t="s">
        <v>221</v>
      </c>
      <c r="B158" s="6">
        <v>5</v>
      </c>
      <c r="C158" s="10"/>
      <c r="D158" s="7"/>
      <c r="E158" s="8"/>
      <c r="F158" s="8"/>
      <c r="G158" s="9"/>
      <c r="H158" s="26"/>
      <c r="I158" s="7"/>
      <c r="J158" s="7"/>
      <c r="K158" s="7"/>
      <c r="L158" s="7"/>
      <c r="M158" s="7"/>
      <c r="N158" s="7">
        <f t="shared" si="4"/>
        <v>5</v>
      </c>
      <c r="O158" s="7"/>
      <c r="P158" s="7"/>
    </row>
    <row r="159" spans="1:16" x14ac:dyDescent="0.3">
      <c r="A159" s="5" t="s">
        <v>220</v>
      </c>
      <c r="B159" s="6">
        <v>5</v>
      </c>
      <c r="C159" s="10"/>
      <c r="D159" s="7"/>
      <c r="E159" s="8"/>
      <c r="F159" s="8"/>
      <c r="G159" s="9">
        <v>1000</v>
      </c>
      <c r="H159" s="26"/>
      <c r="I159" s="7"/>
      <c r="J159" s="7">
        <v>120</v>
      </c>
      <c r="K159" s="7"/>
      <c r="L159" s="7"/>
      <c r="M159" s="7"/>
      <c r="N159" s="7">
        <f t="shared" si="4"/>
        <v>5</v>
      </c>
      <c r="O159" s="7">
        <f t="shared" si="5"/>
        <v>0</v>
      </c>
      <c r="P159" s="7"/>
    </row>
    <row r="160" spans="1:16" x14ac:dyDescent="0.3">
      <c r="A160" s="5" t="s">
        <v>256</v>
      </c>
      <c r="B160" s="6">
        <v>5</v>
      </c>
      <c r="C160" s="10"/>
      <c r="D160" s="7"/>
      <c r="E160" s="8"/>
      <c r="F160" s="8"/>
      <c r="G160" s="9"/>
      <c r="H160" s="26">
        <f t="shared" si="6"/>
        <v>0</v>
      </c>
      <c r="I160" s="7"/>
      <c r="J160" s="7"/>
      <c r="K160" s="7"/>
      <c r="L160" s="7">
        <v>20</v>
      </c>
      <c r="M160" s="7"/>
      <c r="N160" s="7">
        <f t="shared" si="4"/>
        <v>5</v>
      </c>
      <c r="O160" s="7">
        <f t="shared" si="5"/>
        <v>0</v>
      </c>
      <c r="P160" s="7"/>
    </row>
    <row r="161" spans="1:16" x14ac:dyDescent="0.3">
      <c r="A161" s="5" t="s">
        <v>193</v>
      </c>
      <c r="B161" s="6">
        <v>0</v>
      </c>
      <c r="C161" s="7"/>
      <c r="D161" s="7"/>
      <c r="E161" s="8"/>
      <c r="F161" s="8"/>
      <c r="G161" s="9">
        <v>2500</v>
      </c>
      <c r="H161" s="26">
        <f t="shared" si="6"/>
        <v>0</v>
      </c>
      <c r="I161" s="7"/>
      <c r="J161" s="7">
        <v>120</v>
      </c>
      <c r="K161" s="7"/>
      <c r="L161" s="7">
        <v>210</v>
      </c>
      <c r="M161" s="7">
        <v>110</v>
      </c>
      <c r="N161" s="7">
        <f t="shared" si="4"/>
        <v>0</v>
      </c>
      <c r="O161" s="7">
        <f t="shared" si="5"/>
        <v>0</v>
      </c>
      <c r="P161" s="7"/>
    </row>
    <row r="162" spans="1:16" x14ac:dyDescent="0.3">
      <c r="A162" s="5" t="s">
        <v>332</v>
      </c>
      <c r="B162" s="6">
        <v>27</v>
      </c>
      <c r="C162" s="7"/>
      <c r="D162" s="7"/>
      <c r="E162" s="8"/>
      <c r="F162" s="8"/>
      <c r="G162" s="9">
        <v>2500</v>
      </c>
      <c r="H162" s="26">
        <f t="shared" si="6"/>
        <v>0</v>
      </c>
      <c r="I162" s="7"/>
      <c r="J162" s="7"/>
      <c r="K162" s="7"/>
      <c r="L162" s="7">
        <v>180</v>
      </c>
      <c r="M162" s="7"/>
      <c r="N162" s="7">
        <f t="shared" si="4"/>
        <v>27</v>
      </c>
      <c r="O162" s="7">
        <f t="shared" si="5"/>
        <v>0</v>
      </c>
      <c r="P162" s="7"/>
    </row>
    <row r="163" spans="1:16" x14ac:dyDescent="0.3">
      <c r="A163" s="5" t="s">
        <v>90</v>
      </c>
      <c r="B163" s="6">
        <v>12</v>
      </c>
      <c r="C163" s="7"/>
      <c r="D163" s="7"/>
      <c r="E163" s="8"/>
      <c r="F163" s="8"/>
      <c r="G163" s="9">
        <v>2500</v>
      </c>
      <c r="H163" s="26">
        <f t="shared" si="6"/>
        <v>0</v>
      </c>
      <c r="I163" s="7"/>
      <c r="J163" s="7"/>
      <c r="K163" s="7"/>
      <c r="L163" s="7">
        <v>200</v>
      </c>
      <c r="M163" s="7"/>
      <c r="N163" s="7">
        <f t="shared" ref="N163:N228" si="7">B163+C163-D163-E163-F163</f>
        <v>12</v>
      </c>
      <c r="O163" s="7">
        <f t="shared" si="5"/>
        <v>0</v>
      </c>
      <c r="P163" s="7"/>
    </row>
    <row r="164" spans="1:16" x14ac:dyDescent="0.3">
      <c r="A164" s="5" t="s">
        <v>292</v>
      </c>
      <c r="B164" s="6">
        <v>22</v>
      </c>
      <c r="C164" s="7"/>
      <c r="D164" s="7"/>
      <c r="E164" s="8"/>
      <c r="F164" s="8"/>
      <c r="G164" s="9">
        <v>2500</v>
      </c>
      <c r="H164" s="26">
        <f t="shared" si="6"/>
        <v>0</v>
      </c>
      <c r="I164" s="7"/>
      <c r="J164" s="7"/>
      <c r="K164" s="7"/>
      <c r="L164" s="7">
        <v>180</v>
      </c>
      <c r="M164" s="7">
        <v>155</v>
      </c>
      <c r="N164" s="7">
        <f t="shared" si="7"/>
        <v>22</v>
      </c>
      <c r="O164" s="7">
        <f t="shared" si="5"/>
        <v>0</v>
      </c>
      <c r="P164" s="7"/>
    </row>
    <row r="165" spans="1:16" x14ac:dyDescent="0.3">
      <c r="A165" s="5" t="s">
        <v>297</v>
      </c>
      <c r="B165" s="6">
        <v>89</v>
      </c>
      <c r="C165" s="7"/>
      <c r="D165" s="7"/>
      <c r="E165" s="8">
        <v>1</v>
      </c>
      <c r="F165" s="8"/>
      <c r="G165" s="9">
        <v>2500</v>
      </c>
      <c r="H165" s="26">
        <f t="shared" si="6"/>
        <v>2500</v>
      </c>
      <c r="I165" s="7">
        <v>700</v>
      </c>
      <c r="J165" s="7">
        <v>140</v>
      </c>
      <c r="K165" s="7"/>
      <c r="L165" s="7">
        <v>180</v>
      </c>
      <c r="M165" s="7"/>
      <c r="N165" s="7">
        <f t="shared" si="7"/>
        <v>88</v>
      </c>
      <c r="O165" s="7">
        <f t="shared" si="5"/>
        <v>180</v>
      </c>
      <c r="P165" s="7"/>
    </row>
    <row r="166" spans="1:16" x14ac:dyDescent="0.3">
      <c r="A166" s="5" t="s">
        <v>275</v>
      </c>
      <c r="B166" s="6">
        <v>2</v>
      </c>
      <c r="C166" s="7"/>
      <c r="D166" s="7"/>
      <c r="E166" s="8"/>
      <c r="F166" s="8"/>
      <c r="G166" s="9">
        <v>2500</v>
      </c>
      <c r="H166" s="26">
        <f t="shared" si="6"/>
        <v>0</v>
      </c>
      <c r="I166" s="7"/>
      <c r="J166" s="7"/>
      <c r="K166" s="7"/>
      <c r="L166" s="7">
        <v>65</v>
      </c>
      <c r="M166" s="7"/>
      <c r="N166" s="7">
        <f t="shared" si="7"/>
        <v>2</v>
      </c>
      <c r="O166" s="7">
        <f t="shared" si="5"/>
        <v>0</v>
      </c>
      <c r="P166" s="7"/>
    </row>
    <row r="167" spans="1:16" x14ac:dyDescent="0.3">
      <c r="A167" s="5" t="s">
        <v>91</v>
      </c>
      <c r="B167" s="6">
        <v>0</v>
      </c>
      <c r="C167" s="7"/>
      <c r="D167" s="7"/>
      <c r="E167" s="8"/>
      <c r="F167" s="8"/>
      <c r="G167" s="9">
        <v>50</v>
      </c>
      <c r="H167" s="26">
        <f t="shared" si="6"/>
        <v>0</v>
      </c>
      <c r="I167" s="7"/>
      <c r="J167" s="7"/>
      <c r="K167" s="7"/>
      <c r="L167" s="7">
        <v>3</v>
      </c>
      <c r="M167" s="7"/>
      <c r="N167" s="7">
        <f t="shared" si="7"/>
        <v>0</v>
      </c>
      <c r="O167" s="7">
        <f t="shared" si="5"/>
        <v>0</v>
      </c>
      <c r="P167" s="7"/>
    </row>
    <row r="168" spans="1:16" x14ac:dyDescent="0.3">
      <c r="A168" s="5" t="s">
        <v>92</v>
      </c>
      <c r="B168" s="6">
        <v>0</v>
      </c>
      <c r="C168" s="7"/>
      <c r="D168" s="7"/>
      <c r="E168" s="8"/>
      <c r="F168" s="8"/>
      <c r="G168" s="9">
        <v>50</v>
      </c>
      <c r="H168" s="26"/>
      <c r="I168" s="7"/>
      <c r="J168" s="7"/>
      <c r="K168" s="7"/>
      <c r="L168" s="7">
        <v>2</v>
      </c>
      <c r="M168" s="7"/>
      <c r="N168" s="7">
        <f t="shared" si="7"/>
        <v>0</v>
      </c>
      <c r="O168" s="7">
        <f t="shared" si="5"/>
        <v>0</v>
      </c>
      <c r="P168" s="7"/>
    </row>
    <row r="169" spans="1:16" x14ac:dyDescent="0.3">
      <c r="A169" s="5" t="s">
        <v>210</v>
      </c>
      <c r="B169" s="6">
        <v>3</v>
      </c>
      <c r="C169" s="7"/>
      <c r="D169" s="7"/>
      <c r="E169" s="8"/>
      <c r="F169" s="8"/>
      <c r="G169" s="9">
        <v>4000</v>
      </c>
      <c r="H169" s="26">
        <f t="shared" si="6"/>
        <v>0</v>
      </c>
      <c r="I169" s="7"/>
      <c r="J169" s="7">
        <v>365</v>
      </c>
      <c r="K169" s="7"/>
      <c r="L169" s="7">
        <v>400</v>
      </c>
      <c r="M169" s="7"/>
      <c r="N169" s="7">
        <f t="shared" si="7"/>
        <v>3</v>
      </c>
      <c r="O169" s="7">
        <f t="shared" si="5"/>
        <v>0</v>
      </c>
      <c r="P169" s="7"/>
    </row>
    <row r="170" spans="1:16" x14ac:dyDescent="0.3">
      <c r="A170" s="5" t="s">
        <v>234</v>
      </c>
      <c r="B170" s="6">
        <v>0</v>
      </c>
      <c r="C170" s="7"/>
      <c r="D170" s="7"/>
      <c r="E170" s="8"/>
      <c r="F170" s="8"/>
      <c r="G170" s="9">
        <v>4000</v>
      </c>
      <c r="H170" s="26">
        <f t="shared" si="6"/>
        <v>0</v>
      </c>
      <c r="I170" s="7"/>
      <c r="J170" s="7">
        <v>385</v>
      </c>
      <c r="K170" s="7"/>
      <c r="L170" s="7">
        <v>400</v>
      </c>
      <c r="M170" s="7"/>
      <c r="N170" s="7">
        <f t="shared" si="7"/>
        <v>0</v>
      </c>
      <c r="O170" s="7">
        <f t="shared" si="5"/>
        <v>0</v>
      </c>
      <c r="P170" s="7"/>
    </row>
    <row r="171" spans="1:16" x14ac:dyDescent="0.3">
      <c r="A171" s="5" t="s">
        <v>331</v>
      </c>
      <c r="B171" s="6">
        <v>1</v>
      </c>
      <c r="C171" s="7"/>
      <c r="D171" s="7"/>
      <c r="E171" s="8"/>
      <c r="F171" s="8"/>
      <c r="G171" s="9">
        <v>4000</v>
      </c>
      <c r="H171" s="26">
        <f t="shared" si="6"/>
        <v>0</v>
      </c>
      <c r="I171" s="7"/>
      <c r="J171" s="7">
        <v>410</v>
      </c>
      <c r="K171" s="7"/>
      <c r="L171" s="7">
        <v>550</v>
      </c>
      <c r="M171" s="7"/>
      <c r="N171" s="7">
        <f t="shared" si="7"/>
        <v>1</v>
      </c>
      <c r="O171" s="7">
        <f t="shared" si="5"/>
        <v>0</v>
      </c>
      <c r="P171" s="7"/>
    </row>
    <row r="172" spans="1:16" x14ac:dyDescent="0.3">
      <c r="A172" s="5" t="s">
        <v>251</v>
      </c>
      <c r="B172" s="6">
        <v>0</v>
      </c>
      <c r="C172" s="7"/>
      <c r="D172" s="7"/>
      <c r="E172" s="8"/>
      <c r="F172" s="8"/>
      <c r="G172" s="9">
        <v>4000</v>
      </c>
      <c r="H172" s="26">
        <f t="shared" si="6"/>
        <v>0</v>
      </c>
      <c r="I172" s="7"/>
      <c r="J172" s="7"/>
      <c r="K172" s="7"/>
      <c r="L172" s="7">
        <v>920</v>
      </c>
      <c r="M172" s="7"/>
      <c r="N172" s="7">
        <f t="shared" si="7"/>
        <v>0</v>
      </c>
      <c r="O172" s="7">
        <f t="shared" si="5"/>
        <v>0</v>
      </c>
      <c r="P172" s="7"/>
    </row>
    <row r="173" spans="1:16" x14ac:dyDescent="0.3">
      <c r="A173" s="5" t="s">
        <v>93</v>
      </c>
      <c r="B173" s="6">
        <v>3</v>
      </c>
      <c r="C173" s="10"/>
      <c r="D173" s="7"/>
      <c r="E173" s="8"/>
      <c r="F173" s="8"/>
      <c r="G173" s="9">
        <v>4000</v>
      </c>
      <c r="H173" s="26">
        <f t="shared" si="6"/>
        <v>0</v>
      </c>
      <c r="I173" s="7"/>
      <c r="J173" s="7">
        <v>680</v>
      </c>
      <c r="K173" s="7"/>
      <c r="L173" s="7">
        <v>850</v>
      </c>
      <c r="M173" s="7"/>
      <c r="N173" s="7">
        <f t="shared" si="7"/>
        <v>3</v>
      </c>
      <c r="O173" s="7">
        <f t="shared" si="5"/>
        <v>0</v>
      </c>
      <c r="P173" s="7"/>
    </row>
    <row r="174" spans="1:16" x14ac:dyDescent="0.3">
      <c r="A174" s="5" t="s">
        <v>314</v>
      </c>
      <c r="B174" s="6">
        <v>1</v>
      </c>
      <c r="C174" s="10"/>
      <c r="D174" s="7"/>
      <c r="E174" s="8"/>
      <c r="F174" s="8"/>
      <c r="G174" s="9">
        <v>4000</v>
      </c>
      <c r="H174" s="26">
        <f t="shared" si="6"/>
        <v>0</v>
      </c>
      <c r="I174" s="7"/>
      <c r="J174" s="7"/>
      <c r="K174" s="7"/>
      <c r="L174" s="7">
        <v>550</v>
      </c>
      <c r="M174" s="7"/>
      <c r="N174" s="7">
        <f t="shared" si="7"/>
        <v>1</v>
      </c>
      <c r="O174" s="7">
        <f t="shared" si="5"/>
        <v>0</v>
      </c>
      <c r="P174" s="7"/>
    </row>
    <row r="175" spans="1:16" x14ac:dyDescent="0.3">
      <c r="A175" s="5" t="s">
        <v>222</v>
      </c>
      <c r="B175" s="6">
        <v>2</v>
      </c>
      <c r="C175" s="10"/>
      <c r="D175" s="7"/>
      <c r="E175" s="8"/>
      <c r="F175" s="8"/>
      <c r="G175" s="9">
        <v>4000</v>
      </c>
      <c r="H175" s="26">
        <f t="shared" si="6"/>
        <v>0</v>
      </c>
      <c r="I175" s="7"/>
      <c r="J175" s="7"/>
      <c r="K175" s="7"/>
      <c r="L175" s="7">
        <v>500</v>
      </c>
      <c r="M175" s="7"/>
      <c r="N175" s="7">
        <f t="shared" si="7"/>
        <v>2</v>
      </c>
      <c r="O175" s="7">
        <f t="shared" si="5"/>
        <v>0</v>
      </c>
      <c r="P175" s="7"/>
    </row>
    <row r="176" spans="1:16" x14ac:dyDescent="0.3">
      <c r="A176" s="5" t="s">
        <v>322</v>
      </c>
      <c r="B176" s="6">
        <v>2</v>
      </c>
      <c r="C176" s="10"/>
      <c r="D176" s="7"/>
      <c r="E176" s="8"/>
      <c r="F176" s="8"/>
      <c r="G176" s="9">
        <v>4000</v>
      </c>
      <c r="H176" s="26">
        <f t="shared" si="6"/>
        <v>0</v>
      </c>
      <c r="I176" s="7"/>
      <c r="J176" s="7"/>
      <c r="K176" s="7"/>
      <c r="L176" s="7">
        <v>850</v>
      </c>
      <c r="M176" s="7"/>
      <c r="N176" s="7">
        <f t="shared" si="7"/>
        <v>2</v>
      </c>
      <c r="O176" s="7">
        <f t="shared" si="5"/>
        <v>0</v>
      </c>
      <c r="P176" s="7"/>
    </row>
    <row r="177" spans="1:16" x14ac:dyDescent="0.3">
      <c r="A177" s="5" t="s">
        <v>95</v>
      </c>
      <c r="B177" s="6">
        <v>0</v>
      </c>
      <c r="C177" s="10"/>
      <c r="D177" s="7"/>
      <c r="E177" s="8"/>
      <c r="F177" s="8"/>
      <c r="G177" s="9">
        <v>500</v>
      </c>
      <c r="H177" s="26">
        <f t="shared" si="6"/>
        <v>0</v>
      </c>
      <c r="I177" s="7"/>
      <c r="J177" s="7"/>
      <c r="K177" s="7"/>
      <c r="L177" s="7">
        <v>18</v>
      </c>
      <c r="M177" s="7"/>
      <c r="N177" s="7">
        <f t="shared" si="7"/>
        <v>0</v>
      </c>
      <c r="O177" s="7">
        <f t="shared" si="5"/>
        <v>0</v>
      </c>
      <c r="P177" s="7"/>
    </row>
    <row r="178" spans="1:16" x14ac:dyDescent="0.3">
      <c r="A178" s="5" t="s">
        <v>184</v>
      </c>
      <c r="B178" s="6">
        <v>0</v>
      </c>
      <c r="C178" s="10"/>
      <c r="D178" s="7"/>
      <c r="E178" s="8"/>
      <c r="F178" s="8"/>
      <c r="G178" s="9">
        <v>18000</v>
      </c>
      <c r="H178" s="26">
        <f t="shared" si="6"/>
        <v>0</v>
      </c>
      <c r="I178" s="7"/>
      <c r="J178" s="7">
        <v>8</v>
      </c>
      <c r="K178" s="7"/>
      <c r="L178" s="7">
        <v>3150</v>
      </c>
      <c r="M178" s="7"/>
      <c r="N178" s="7">
        <f t="shared" si="7"/>
        <v>0</v>
      </c>
      <c r="O178" s="7">
        <f t="shared" si="5"/>
        <v>0</v>
      </c>
      <c r="P178" s="7"/>
    </row>
    <row r="179" spans="1:16" x14ac:dyDescent="0.3">
      <c r="A179" s="5" t="s">
        <v>96</v>
      </c>
      <c r="B179" s="6">
        <v>3</v>
      </c>
      <c r="C179" s="10"/>
      <c r="D179" s="7"/>
      <c r="E179" s="8"/>
      <c r="F179" s="8"/>
      <c r="G179" s="9">
        <v>1000</v>
      </c>
      <c r="H179" s="26">
        <f t="shared" si="6"/>
        <v>0</v>
      </c>
      <c r="I179" s="7"/>
      <c r="J179" s="7"/>
      <c r="K179" s="7"/>
      <c r="L179" s="7">
        <v>30</v>
      </c>
      <c r="M179" s="7"/>
      <c r="N179" s="7">
        <f t="shared" si="7"/>
        <v>3</v>
      </c>
      <c r="O179" s="7">
        <f t="shared" si="5"/>
        <v>0</v>
      </c>
      <c r="P179" s="7"/>
    </row>
    <row r="180" spans="1:16" x14ac:dyDescent="0.3">
      <c r="A180" s="5" t="s">
        <v>163</v>
      </c>
      <c r="B180" s="6">
        <v>4</v>
      </c>
      <c r="C180" s="10"/>
      <c r="D180" s="7"/>
      <c r="E180" s="8"/>
      <c r="F180" s="8"/>
      <c r="G180" s="9">
        <v>3000</v>
      </c>
      <c r="H180" s="26">
        <f t="shared" si="6"/>
        <v>0</v>
      </c>
      <c r="I180" s="7"/>
      <c r="J180" s="7">
        <v>260</v>
      </c>
      <c r="K180" s="7"/>
      <c r="L180" s="7">
        <v>295</v>
      </c>
      <c r="M180" s="7"/>
      <c r="N180" s="7">
        <f t="shared" si="7"/>
        <v>4</v>
      </c>
      <c r="O180" s="7">
        <f t="shared" si="5"/>
        <v>0</v>
      </c>
      <c r="P180" s="7"/>
    </row>
    <row r="181" spans="1:16" x14ac:dyDescent="0.3">
      <c r="A181" s="5" t="s">
        <v>97</v>
      </c>
      <c r="B181" s="6">
        <v>0</v>
      </c>
      <c r="C181" s="10"/>
      <c r="D181" s="7"/>
      <c r="E181" s="8"/>
      <c r="F181" s="8"/>
      <c r="G181" s="9">
        <v>3000</v>
      </c>
      <c r="H181" s="26">
        <f t="shared" si="6"/>
        <v>0</v>
      </c>
      <c r="I181" s="7"/>
      <c r="J181" s="7"/>
      <c r="K181" s="7"/>
      <c r="L181" s="7">
        <v>530</v>
      </c>
      <c r="M181" s="7"/>
      <c r="N181" s="7">
        <f t="shared" si="7"/>
        <v>0</v>
      </c>
      <c r="O181" s="7">
        <f t="shared" si="5"/>
        <v>0</v>
      </c>
      <c r="P181" s="7"/>
    </row>
    <row r="182" spans="1:16" x14ac:dyDescent="0.3">
      <c r="A182" s="5" t="s">
        <v>199</v>
      </c>
      <c r="B182" s="6">
        <v>1</v>
      </c>
      <c r="C182" s="10"/>
      <c r="D182" s="7"/>
      <c r="E182" s="8"/>
      <c r="F182" s="8"/>
      <c r="G182" s="9"/>
      <c r="H182" s="26">
        <f t="shared" si="6"/>
        <v>0</v>
      </c>
      <c r="I182" s="7"/>
      <c r="J182" s="7"/>
      <c r="K182" s="7"/>
      <c r="L182" s="7"/>
      <c r="M182" s="7"/>
      <c r="N182" s="7">
        <f t="shared" si="7"/>
        <v>1</v>
      </c>
      <c r="O182" s="7">
        <f t="shared" si="5"/>
        <v>0</v>
      </c>
      <c r="P182" s="7"/>
    </row>
    <row r="183" spans="1:16" x14ac:dyDescent="0.3">
      <c r="A183" s="5" t="s">
        <v>183</v>
      </c>
      <c r="B183" s="6">
        <v>1</v>
      </c>
      <c r="C183" s="10"/>
      <c r="D183" s="7"/>
      <c r="E183" s="8"/>
      <c r="F183" s="8"/>
      <c r="G183" s="9">
        <v>3000</v>
      </c>
      <c r="H183" s="26">
        <f t="shared" si="6"/>
        <v>0</v>
      </c>
      <c r="I183" s="7"/>
      <c r="J183" s="7"/>
      <c r="K183" s="7"/>
      <c r="L183" s="7"/>
      <c r="M183" s="7"/>
      <c r="N183" s="7">
        <f t="shared" si="7"/>
        <v>1</v>
      </c>
      <c r="O183" s="7">
        <f t="shared" si="5"/>
        <v>0</v>
      </c>
      <c r="P183" s="7"/>
    </row>
    <row r="184" spans="1:16" x14ac:dyDescent="0.3">
      <c r="A184" s="5" t="s">
        <v>240</v>
      </c>
      <c r="B184" s="6">
        <v>0</v>
      </c>
      <c r="C184" s="10"/>
      <c r="D184" s="7"/>
      <c r="E184" s="8"/>
      <c r="F184" s="8"/>
      <c r="G184" s="9">
        <v>3000</v>
      </c>
      <c r="H184" s="26">
        <f t="shared" si="6"/>
        <v>0</v>
      </c>
      <c r="I184" s="7"/>
      <c r="J184" s="7"/>
      <c r="K184" s="7"/>
      <c r="L184" s="7"/>
      <c r="M184" s="7"/>
      <c r="N184" s="7">
        <f t="shared" si="7"/>
        <v>0</v>
      </c>
      <c r="O184" s="7">
        <f t="shared" ref="O184:O219" si="8">E184*L184+F184*M184</f>
        <v>0</v>
      </c>
      <c r="P184" s="7"/>
    </row>
    <row r="185" spans="1:16" x14ac:dyDescent="0.3">
      <c r="A185" s="5" t="s">
        <v>98</v>
      </c>
      <c r="B185" s="6">
        <v>0</v>
      </c>
      <c r="C185" s="10"/>
      <c r="D185" s="7"/>
      <c r="E185" s="8"/>
      <c r="F185" s="8"/>
      <c r="G185" s="9">
        <v>3000</v>
      </c>
      <c r="H185" s="26">
        <f t="shared" si="6"/>
        <v>0</v>
      </c>
      <c r="I185" s="7"/>
      <c r="J185" s="7">
        <v>250</v>
      </c>
      <c r="K185" s="7"/>
      <c r="L185" s="7">
        <v>375</v>
      </c>
      <c r="M185" s="7"/>
      <c r="N185" s="7">
        <f t="shared" si="7"/>
        <v>0</v>
      </c>
      <c r="O185" s="7">
        <f t="shared" si="8"/>
        <v>0</v>
      </c>
      <c r="P185" s="7"/>
    </row>
    <row r="186" spans="1:16" x14ac:dyDescent="0.3">
      <c r="A186" s="5" t="s">
        <v>189</v>
      </c>
      <c r="B186" s="6">
        <v>8</v>
      </c>
      <c r="C186" s="10"/>
      <c r="D186" s="7"/>
      <c r="E186" s="8"/>
      <c r="F186" s="8"/>
      <c r="G186" s="9">
        <v>3000</v>
      </c>
      <c r="H186" s="26">
        <f t="shared" si="6"/>
        <v>0</v>
      </c>
      <c r="I186" s="7"/>
      <c r="J186" s="7"/>
      <c r="K186" s="7"/>
      <c r="L186" s="7">
        <v>295</v>
      </c>
      <c r="M186" s="7"/>
      <c r="N186" s="7">
        <f t="shared" si="7"/>
        <v>8</v>
      </c>
      <c r="O186" s="7">
        <f t="shared" si="8"/>
        <v>0</v>
      </c>
      <c r="P186" s="7"/>
    </row>
    <row r="187" spans="1:16" x14ac:dyDescent="0.3">
      <c r="A187" s="5" t="s">
        <v>333</v>
      </c>
      <c r="B187" s="6">
        <v>3</v>
      </c>
      <c r="C187" s="10"/>
      <c r="D187" s="7"/>
      <c r="E187" s="8"/>
      <c r="F187" s="8"/>
      <c r="G187" s="9">
        <v>3000</v>
      </c>
      <c r="H187" s="26">
        <f t="shared" si="6"/>
        <v>0</v>
      </c>
      <c r="I187" s="7"/>
      <c r="J187" s="7"/>
      <c r="K187" s="7"/>
      <c r="L187" s="7">
        <v>630</v>
      </c>
      <c r="M187" s="7"/>
      <c r="N187" s="7">
        <f t="shared" si="7"/>
        <v>3</v>
      </c>
      <c r="O187" s="7">
        <f t="shared" si="8"/>
        <v>0</v>
      </c>
      <c r="P187" s="7"/>
    </row>
    <row r="188" spans="1:16" x14ac:dyDescent="0.3">
      <c r="A188" s="5" t="s">
        <v>153</v>
      </c>
      <c r="B188" s="6">
        <v>0</v>
      </c>
      <c r="C188" s="10"/>
      <c r="D188" s="7"/>
      <c r="E188" s="8"/>
      <c r="F188" s="8"/>
      <c r="G188" s="9">
        <v>1000</v>
      </c>
      <c r="H188" s="26">
        <f t="shared" si="6"/>
        <v>0</v>
      </c>
      <c r="I188" s="7"/>
      <c r="J188" s="7"/>
      <c r="K188" s="7"/>
      <c r="L188" s="7">
        <v>100</v>
      </c>
      <c r="M188" s="7"/>
      <c r="N188" s="7">
        <f t="shared" si="7"/>
        <v>0</v>
      </c>
      <c r="O188" s="7">
        <f t="shared" si="8"/>
        <v>0</v>
      </c>
      <c r="P188" s="7"/>
    </row>
    <row r="189" spans="1:16" x14ac:dyDescent="0.3">
      <c r="A189" s="5" t="s">
        <v>150</v>
      </c>
      <c r="B189" s="6">
        <v>0</v>
      </c>
      <c r="C189" s="10"/>
      <c r="D189" s="7"/>
      <c r="E189" s="8"/>
      <c r="F189" s="8"/>
      <c r="G189" s="9">
        <v>3000</v>
      </c>
      <c r="H189" s="26">
        <f t="shared" si="6"/>
        <v>0</v>
      </c>
      <c r="I189" s="7"/>
      <c r="J189" s="7">
        <v>220</v>
      </c>
      <c r="K189" s="7"/>
      <c r="L189" s="7">
        <v>310</v>
      </c>
      <c r="M189" s="7"/>
      <c r="N189" s="7">
        <f t="shared" si="7"/>
        <v>0</v>
      </c>
      <c r="O189" s="7">
        <f t="shared" si="8"/>
        <v>0</v>
      </c>
      <c r="P189" s="7"/>
    </row>
    <row r="190" spans="1:16" x14ac:dyDescent="0.3">
      <c r="A190" s="5" t="s">
        <v>99</v>
      </c>
      <c r="B190" s="6">
        <v>0</v>
      </c>
      <c r="C190" s="10"/>
      <c r="D190" s="7"/>
      <c r="E190" s="8"/>
      <c r="F190" s="8"/>
      <c r="G190" s="9">
        <v>3000</v>
      </c>
      <c r="H190" s="26">
        <f t="shared" si="6"/>
        <v>0</v>
      </c>
      <c r="I190" s="7"/>
      <c r="J190" s="7"/>
      <c r="K190" s="7"/>
      <c r="L190" s="7">
        <v>425</v>
      </c>
      <c r="M190" s="7"/>
      <c r="N190" s="7">
        <f t="shared" si="7"/>
        <v>0</v>
      </c>
      <c r="O190" s="7">
        <f t="shared" si="8"/>
        <v>0</v>
      </c>
      <c r="P190" s="7"/>
    </row>
    <row r="191" spans="1:16" x14ac:dyDescent="0.3">
      <c r="A191" s="5" t="s">
        <v>213</v>
      </c>
      <c r="B191" s="6">
        <v>0</v>
      </c>
      <c r="C191" s="10"/>
      <c r="D191" s="7"/>
      <c r="E191" s="8"/>
      <c r="F191" s="8"/>
      <c r="G191" s="9">
        <v>3000</v>
      </c>
      <c r="H191" s="26">
        <f t="shared" si="6"/>
        <v>0</v>
      </c>
      <c r="I191" s="7"/>
      <c r="J191" s="7"/>
      <c r="K191" s="7"/>
      <c r="L191" s="7">
        <v>430</v>
      </c>
      <c r="M191" s="7"/>
      <c r="N191" s="7">
        <f t="shared" si="7"/>
        <v>0</v>
      </c>
      <c r="O191" s="7">
        <f t="shared" si="8"/>
        <v>0</v>
      </c>
      <c r="P191" s="7"/>
    </row>
    <row r="192" spans="1:16" x14ac:dyDescent="0.3">
      <c r="A192" s="5" t="s">
        <v>165</v>
      </c>
      <c r="B192" s="6">
        <v>0</v>
      </c>
      <c r="C192" s="10"/>
      <c r="D192" s="7"/>
      <c r="E192" s="8"/>
      <c r="F192" s="8"/>
      <c r="G192" s="9">
        <v>3000</v>
      </c>
      <c r="H192" s="26"/>
      <c r="I192" s="7"/>
      <c r="J192" s="7"/>
      <c r="K192" s="7"/>
      <c r="L192" s="7"/>
      <c r="M192" s="7"/>
      <c r="N192" s="7">
        <f t="shared" si="7"/>
        <v>0</v>
      </c>
      <c r="O192" s="7">
        <f t="shared" si="8"/>
        <v>0</v>
      </c>
      <c r="P192" s="7"/>
    </row>
    <row r="193" spans="1:16" x14ac:dyDescent="0.3">
      <c r="A193" s="5" t="s">
        <v>296</v>
      </c>
      <c r="B193" s="6">
        <v>1</v>
      </c>
      <c r="C193" s="10"/>
      <c r="D193" s="7"/>
      <c r="E193" s="8"/>
      <c r="F193" s="8"/>
      <c r="G193" s="9">
        <v>3000</v>
      </c>
      <c r="H193" s="26">
        <f t="shared" si="6"/>
        <v>0</v>
      </c>
      <c r="I193" s="7"/>
      <c r="J193" s="7">
        <v>190</v>
      </c>
      <c r="K193" s="7"/>
      <c r="L193" s="7">
        <v>260</v>
      </c>
      <c r="M193" s="7"/>
      <c r="N193" s="7">
        <f t="shared" si="7"/>
        <v>1</v>
      </c>
      <c r="O193" s="7">
        <f t="shared" si="8"/>
        <v>0</v>
      </c>
      <c r="P193" s="7"/>
    </row>
    <row r="194" spans="1:16" x14ac:dyDescent="0.3">
      <c r="A194" s="5" t="s">
        <v>252</v>
      </c>
      <c r="B194" s="6">
        <v>0</v>
      </c>
      <c r="C194" s="10"/>
      <c r="D194" s="7"/>
      <c r="E194" s="8"/>
      <c r="F194" s="8"/>
      <c r="G194" s="9">
        <v>3000</v>
      </c>
      <c r="H194" s="26">
        <f t="shared" si="6"/>
        <v>0</v>
      </c>
      <c r="I194" s="7"/>
      <c r="J194" s="7"/>
      <c r="K194" s="7"/>
      <c r="L194" s="7">
        <v>255</v>
      </c>
      <c r="M194" s="7"/>
      <c r="N194" s="7">
        <f t="shared" si="7"/>
        <v>0</v>
      </c>
      <c r="O194" s="7">
        <f t="shared" si="8"/>
        <v>0</v>
      </c>
      <c r="P194" s="7"/>
    </row>
    <row r="195" spans="1:16" x14ac:dyDescent="0.3">
      <c r="A195" s="5" t="s">
        <v>156</v>
      </c>
      <c r="B195" s="6">
        <v>0</v>
      </c>
      <c r="C195" s="10"/>
      <c r="D195" s="7"/>
      <c r="E195" s="8"/>
      <c r="F195" s="8"/>
      <c r="G195" s="9">
        <v>3000</v>
      </c>
      <c r="H195" s="26">
        <f t="shared" si="6"/>
        <v>0</v>
      </c>
      <c r="I195" s="7"/>
      <c r="J195" s="7"/>
      <c r="K195" s="7"/>
      <c r="L195" s="7">
        <v>360</v>
      </c>
      <c r="M195" s="7"/>
      <c r="N195" s="7">
        <f t="shared" si="7"/>
        <v>0</v>
      </c>
      <c r="O195" s="7">
        <f t="shared" si="8"/>
        <v>0</v>
      </c>
      <c r="P195" s="7"/>
    </row>
    <row r="196" spans="1:16" x14ac:dyDescent="0.3">
      <c r="A196" s="5" t="s">
        <v>100</v>
      </c>
      <c r="B196" s="6">
        <v>3</v>
      </c>
      <c r="C196" s="10"/>
      <c r="D196" s="7"/>
      <c r="E196" s="8"/>
      <c r="F196" s="8"/>
      <c r="G196" s="9">
        <v>1000</v>
      </c>
      <c r="H196" s="26">
        <f t="shared" si="6"/>
        <v>0</v>
      </c>
      <c r="I196" s="7"/>
      <c r="J196" s="7"/>
      <c r="K196" s="7"/>
      <c r="L196" s="7">
        <v>80</v>
      </c>
      <c r="M196" s="7"/>
      <c r="N196" s="7">
        <f t="shared" si="7"/>
        <v>3</v>
      </c>
      <c r="O196" s="7">
        <f t="shared" si="8"/>
        <v>0</v>
      </c>
      <c r="P196" s="7"/>
    </row>
    <row r="197" spans="1:16" x14ac:dyDescent="0.3">
      <c r="A197" s="5" t="s">
        <v>101</v>
      </c>
      <c r="B197" s="6">
        <v>1</v>
      </c>
      <c r="C197" s="10"/>
      <c r="D197" s="7"/>
      <c r="E197" s="8"/>
      <c r="F197" s="8"/>
      <c r="G197" s="9">
        <v>3000</v>
      </c>
      <c r="H197" s="26">
        <f t="shared" si="6"/>
        <v>0</v>
      </c>
      <c r="I197" s="7"/>
      <c r="J197" s="7">
        <v>160</v>
      </c>
      <c r="K197" s="7"/>
      <c r="L197" s="7">
        <v>175</v>
      </c>
      <c r="M197" s="7"/>
      <c r="N197" s="7">
        <f t="shared" si="7"/>
        <v>1</v>
      </c>
      <c r="O197" s="7">
        <f t="shared" si="8"/>
        <v>0</v>
      </c>
      <c r="P197" s="7"/>
    </row>
    <row r="198" spans="1:16" x14ac:dyDescent="0.3">
      <c r="A198" s="5" t="s">
        <v>174</v>
      </c>
      <c r="B198" s="6">
        <v>0</v>
      </c>
      <c r="C198" s="10"/>
      <c r="D198" s="7"/>
      <c r="E198" s="8"/>
      <c r="F198" s="8"/>
      <c r="G198" s="9">
        <v>3000</v>
      </c>
      <c r="H198" s="26">
        <f t="shared" si="6"/>
        <v>0</v>
      </c>
      <c r="I198" s="7"/>
      <c r="J198" s="7"/>
      <c r="K198" s="7"/>
      <c r="L198" s="7">
        <v>250</v>
      </c>
      <c r="M198" s="7"/>
      <c r="N198" s="7">
        <f t="shared" si="7"/>
        <v>0</v>
      </c>
      <c r="O198" s="7">
        <f t="shared" si="8"/>
        <v>0</v>
      </c>
      <c r="P198" s="7"/>
    </row>
    <row r="199" spans="1:16" x14ac:dyDescent="0.3">
      <c r="A199" s="5" t="s">
        <v>262</v>
      </c>
      <c r="B199" s="6">
        <v>2</v>
      </c>
      <c r="C199" s="10"/>
      <c r="D199" s="7"/>
      <c r="E199" s="8">
        <v>2</v>
      </c>
      <c r="F199" s="8"/>
      <c r="G199" s="9">
        <v>3000</v>
      </c>
      <c r="H199" s="26">
        <f t="shared" si="6"/>
        <v>6000</v>
      </c>
      <c r="I199" s="7">
        <v>4200</v>
      </c>
      <c r="J199" s="7"/>
      <c r="K199" s="7"/>
      <c r="L199" s="7">
        <v>175</v>
      </c>
      <c r="M199" s="7">
        <v>0</v>
      </c>
      <c r="N199" s="7">
        <f t="shared" si="7"/>
        <v>0</v>
      </c>
      <c r="O199" s="7">
        <f t="shared" si="8"/>
        <v>350</v>
      </c>
      <c r="P199" s="7"/>
    </row>
    <row r="200" spans="1:16" x14ac:dyDescent="0.3">
      <c r="A200" s="5" t="s">
        <v>166</v>
      </c>
      <c r="B200" s="6">
        <v>9</v>
      </c>
      <c r="C200" s="10"/>
      <c r="D200" s="7"/>
      <c r="E200" s="8"/>
      <c r="F200" s="8"/>
      <c r="G200" s="9">
        <v>500</v>
      </c>
      <c r="H200" s="26">
        <f t="shared" si="6"/>
        <v>0</v>
      </c>
      <c r="I200" s="7"/>
      <c r="J200" s="7"/>
      <c r="K200" s="7"/>
      <c r="L200" s="7">
        <v>5</v>
      </c>
      <c r="M200" s="7"/>
      <c r="N200" s="7">
        <f t="shared" si="7"/>
        <v>9</v>
      </c>
      <c r="O200" s="7">
        <f t="shared" si="8"/>
        <v>0</v>
      </c>
      <c r="P200" s="7"/>
    </row>
    <row r="201" spans="1:16" x14ac:dyDescent="0.3">
      <c r="A201" s="5" t="s">
        <v>248</v>
      </c>
      <c r="B201" s="6">
        <v>2</v>
      </c>
      <c r="C201" s="10"/>
      <c r="D201" s="7"/>
      <c r="E201" s="8"/>
      <c r="F201" s="8"/>
      <c r="G201" s="9">
        <v>2000</v>
      </c>
      <c r="H201" s="26">
        <f t="shared" si="6"/>
        <v>0</v>
      </c>
      <c r="I201" s="7"/>
      <c r="J201" s="7"/>
      <c r="K201" s="7"/>
      <c r="L201" s="7">
        <v>280</v>
      </c>
      <c r="M201" s="7"/>
      <c r="N201" s="7">
        <f t="shared" si="7"/>
        <v>2</v>
      </c>
      <c r="O201" s="7">
        <f t="shared" si="8"/>
        <v>0</v>
      </c>
      <c r="P201" s="7"/>
    </row>
    <row r="202" spans="1:16" x14ac:dyDescent="0.3">
      <c r="A202" s="5" t="s">
        <v>249</v>
      </c>
      <c r="B202" s="6">
        <v>2</v>
      </c>
      <c r="C202" s="10"/>
      <c r="D202" s="7"/>
      <c r="E202" s="8"/>
      <c r="F202" s="8"/>
      <c r="G202" s="9">
        <v>2000</v>
      </c>
      <c r="H202" s="26">
        <f t="shared" si="6"/>
        <v>0</v>
      </c>
      <c r="I202" s="7"/>
      <c r="J202" s="7"/>
      <c r="K202" s="7"/>
      <c r="L202" s="7">
        <v>240</v>
      </c>
      <c r="M202" s="7"/>
      <c r="N202" s="7">
        <f t="shared" si="7"/>
        <v>2</v>
      </c>
      <c r="O202" s="7">
        <f t="shared" si="8"/>
        <v>0</v>
      </c>
      <c r="P202" s="7"/>
    </row>
    <row r="203" spans="1:16" x14ac:dyDescent="0.3">
      <c r="A203" s="5" t="s">
        <v>250</v>
      </c>
      <c r="B203" s="6">
        <v>2</v>
      </c>
      <c r="C203" s="10"/>
      <c r="D203" s="7"/>
      <c r="E203" s="8"/>
      <c r="F203" s="8"/>
      <c r="G203" s="9">
        <v>2000</v>
      </c>
      <c r="H203" s="26">
        <f t="shared" si="6"/>
        <v>0</v>
      </c>
      <c r="I203" s="7"/>
      <c r="J203" s="7"/>
      <c r="K203" s="7"/>
      <c r="L203" s="7">
        <v>220</v>
      </c>
      <c r="M203" s="7"/>
      <c r="N203" s="7">
        <f t="shared" si="7"/>
        <v>2</v>
      </c>
      <c r="O203" s="7">
        <f t="shared" si="8"/>
        <v>0</v>
      </c>
      <c r="P203" s="7"/>
    </row>
    <row r="204" spans="1:16" x14ac:dyDescent="0.3">
      <c r="A204" s="5" t="s">
        <v>102</v>
      </c>
      <c r="B204" s="6">
        <v>8</v>
      </c>
      <c r="C204" s="10"/>
      <c r="D204" s="7"/>
      <c r="E204" s="8"/>
      <c r="F204" s="8"/>
      <c r="G204" s="9">
        <v>500</v>
      </c>
      <c r="H204" s="26">
        <f t="shared" si="6"/>
        <v>0</v>
      </c>
      <c r="I204" s="7"/>
      <c r="J204" s="7"/>
      <c r="K204" s="7"/>
      <c r="L204" s="7">
        <v>20</v>
      </c>
      <c r="M204" s="7"/>
      <c r="N204" s="7">
        <f t="shared" si="7"/>
        <v>8</v>
      </c>
      <c r="O204" s="7">
        <f t="shared" si="8"/>
        <v>0</v>
      </c>
      <c r="P204" s="7"/>
    </row>
    <row r="205" spans="1:16" x14ac:dyDescent="0.3">
      <c r="A205" s="5" t="s">
        <v>282</v>
      </c>
      <c r="B205" s="6">
        <v>24</v>
      </c>
      <c r="C205" s="10"/>
      <c r="D205" s="7"/>
      <c r="E205" s="8"/>
      <c r="F205" s="8"/>
      <c r="G205" s="9">
        <v>200</v>
      </c>
      <c r="H205" s="26">
        <f t="shared" si="6"/>
        <v>0</v>
      </c>
      <c r="I205" s="7"/>
      <c r="J205" s="7"/>
      <c r="K205" s="7"/>
      <c r="L205" s="7">
        <v>5</v>
      </c>
      <c r="M205" s="7"/>
      <c r="N205" s="7">
        <f t="shared" si="7"/>
        <v>24</v>
      </c>
      <c r="O205" s="7">
        <f t="shared" si="8"/>
        <v>0</v>
      </c>
      <c r="P205" s="7"/>
    </row>
    <row r="206" spans="1:16" x14ac:dyDescent="0.3">
      <c r="A206" s="5" t="s">
        <v>253</v>
      </c>
      <c r="B206" s="6">
        <v>0</v>
      </c>
      <c r="C206" s="10"/>
      <c r="D206" s="7"/>
      <c r="E206" s="8"/>
      <c r="F206" s="8"/>
      <c r="G206" s="9">
        <v>1000</v>
      </c>
      <c r="H206" s="26">
        <f t="shared" si="6"/>
        <v>0</v>
      </c>
      <c r="I206" s="7"/>
      <c r="J206" s="7">
        <v>30</v>
      </c>
      <c r="K206" s="7"/>
      <c r="L206" s="7">
        <v>45</v>
      </c>
      <c r="M206" s="7"/>
      <c r="N206" s="7">
        <f t="shared" si="7"/>
        <v>0</v>
      </c>
      <c r="O206" s="7">
        <f t="shared" si="8"/>
        <v>0</v>
      </c>
      <c r="P206" s="7"/>
    </row>
    <row r="207" spans="1:16" x14ac:dyDescent="0.3">
      <c r="A207" s="5" t="s">
        <v>152</v>
      </c>
      <c r="B207" s="6">
        <v>0</v>
      </c>
      <c r="C207" s="10"/>
      <c r="D207" s="7"/>
      <c r="E207" s="8"/>
      <c r="F207" s="8"/>
      <c r="G207" s="9">
        <v>1000</v>
      </c>
      <c r="H207" s="26">
        <f t="shared" si="6"/>
        <v>0</v>
      </c>
      <c r="I207" s="7"/>
      <c r="J207" s="7"/>
      <c r="K207" s="7"/>
      <c r="L207" s="7">
        <v>50</v>
      </c>
      <c r="M207" s="7"/>
      <c r="N207" s="7">
        <f t="shared" si="7"/>
        <v>0</v>
      </c>
      <c r="O207" s="7">
        <f t="shared" si="8"/>
        <v>0</v>
      </c>
      <c r="P207" s="7"/>
    </row>
    <row r="208" spans="1:16" x14ac:dyDescent="0.3">
      <c r="A208" s="5" t="s">
        <v>103</v>
      </c>
      <c r="B208" s="6">
        <v>0</v>
      </c>
      <c r="C208" s="10"/>
      <c r="D208" s="7"/>
      <c r="E208" s="8"/>
      <c r="F208" s="8"/>
      <c r="G208" s="9">
        <v>1000</v>
      </c>
      <c r="H208" s="26">
        <f t="shared" si="6"/>
        <v>0</v>
      </c>
      <c r="I208" s="7"/>
      <c r="J208" s="7"/>
      <c r="K208" s="7"/>
      <c r="L208" s="7">
        <v>65</v>
      </c>
      <c r="M208" s="7"/>
      <c r="N208" s="7">
        <f t="shared" si="7"/>
        <v>0</v>
      </c>
      <c r="O208" s="7">
        <f t="shared" si="8"/>
        <v>0</v>
      </c>
      <c r="P208" s="7"/>
    </row>
    <row r="209" spans="1:16" x14ac:dyDescent="0.3">
      <c r="A209" s="5" t="s">
        <v>264</v>
      </c>
      <c r="B209" s="6">
        <v>12</v>
      </c>
      <c r="C209" s="10"/>
      <c r="D209" s="7"/>
      <c r="E209" s="8"/>
      <c r="F209" s="8"/>
      <c r="G209" s="9">
        <v>1000</v>
      </c>
      <c r="H209" s="26">
        <f t="shared" si="6"/>
        <v>0</v>
      </c>
      <c r="I209" s="7"/>
      <c r="J209" s="7">
        <v>26</v>
      </c>
      <c r="K209" s="7"/>
      <c r="L209" s="7">
        <v>45</v>
      </c>
      <c r="M209" s="7"/>
      <c r="N209" s="7">
        <f t="shared" si="7"/>
        <v>12</v>
      </c>
      <c r="O209" s="7">
        <f t="shared" si="8"/>
        <v>0</v>
      </c>
      <c r="P209" s="7"/>
    </row>
    <row r="210" spans="1:16" x14ac:dyDescent="0.3">
      <c r="A210" s="5" t="s">
        <v>245</v>
      </c>
      <c r="B210" s="6">
        <v>2</v>
      </c>
      <c r="C210" s="10"/>
      <c r="D210" s="7"/>
      <c r="E210" s="8"/>
      <c r="F210" s="8"/>
      <c r="G210" s="9">
        <v>3000</v>
      </c>
      <c r="H210" s="26">
        <f t="shared" si="6"/>
        <v>0</v>
      </c>
      <c r="I210" s="7"/>
      <c r="J210" s="7">
        <v>60</v>
      </c>
      <c r="K210" s="7"/>
      <c r="L210" s="7">
        <v>140</v>
      </c>
      <c r="M210" s="7"/>
      <c r="N210" s="7">
        <f t="shared" si="7"/>
        <v>2</v>
      </c>
      <c r="O210" s="7">
        <f t="shared" si="8"/>
        <v>0</v>
      </c>
      <c r="P210" s="7"/>
    </row>
    <row r="211" spans="1:16" x14ac:dyDescent="0.3">
      <c r="A211" s="5" t="s">
        <v>329</v>
      </c>
      <c r="B211" s="6">
        <v>10</v>
      </c>
      <c r="C211" s="10"/>
      <c r="D211" s="7"/>
      <c r="E211" s="8"/>
      <c r="F211" s="8"/>
      <c r="G211" s="9">
        <v>1000</v>
      </c>
      <c r="H211" s="26">
        <f t="shared" si="6"/>
        <v>0</v>
      </c>
      <c r="I211" s="7"/>
      <c r="J211" s="7">
        <v>42</v>
      </c>
      <c r="K211" s="7"/>
      <c r="L211" s="7">
        <v>65</v>
      </c>
      <c r="M211" s="7"/>
      <c r="N211" s="7">
        <f t="shared" si="7"/>
        <v>10</v>
      </c>
      <c r="O211" s="7">
        <f t="shared" si="8"/>
        <v>0</v>
      </c>
      <c r="P211" s="7"/>
    </row>
    <row r="212" spans="1:16" x14ac:dyDescent="0.3">
      <c r="A212" s="5" t="s">
        <v>293</v>
      </c>
      <c r="B212" s="6">
        <v>20</v>
      </c>
      <c r="C212" s="10"/>
      <c r="D212" s="7"/>
      <c r="E212" s="8"/>
      <c r="F212" s="8"/>
      <c r="G212" s="9">
        <v>1000</v>
      </c>
      <c r="H212" s="26">
        <f t="shared" si="6"/>
        <v>0</v>
      </c>
      <c r="I212" s="7"/>
      <c r="J212" s="7"/>
      <c r="K212" s="7"/>
      <c r="L212" s="7">
        <v>110</v>
      </c>
      <c r="M212" s="7"/>
      <c r="N212" s="7">
        <f t="shared" si="7"/>
        <v>20</v>
      </c>
      <c r="O212" s="7">
        <f t="shared" si="8"/>
        <v>0</v>
      </c>
      <c r="P212" s="7"/>
    </row>
    <row r="213" spans="1:16" x14ac:dyDescent="0.3">
      <c r="A213" s="5" t="s">
        <v>313</v>
      </c>
      <c r="B213" s="6">
        <v>10</v>
      </c>
      <c r="C213" s="10"/>
      <c r="D213" s="7"/>
      <c r="E213" s="8"/>
      <c r="F213" s="8"/>
      <c r="G213" s="9">
        <v>1000</v>
      </c>
      <c r="H213" s="26">
        <f t="shared" si="6"/>
        <v>0</v>
      </c>
      <c r="I213" s="7"/>
      <c r="J213" s="7"/>
      <c r="K213" s="7"/>
      <c r="L213" s="7">
        <v>100</v>
      </c>
      <c r="M213" s="7"/>
      <c r="N213" s="7">
        <f t="shared" si="7"/>
        <v>10</v>
      </c>
      <c r="O213" s="7">
        <f t="shared" si="8"/>
        <v>0</v>
      </c>
      <c r="P213" s="7"/>
    </row>
    <row r="214" spans="1:16" x14ac:dyDescent="0.3">
      <c r="A214" s="5" t="s">
        <v>266</v>
      </c>
      <c r="B214" s="6">
        <v>2</v>
      </c>
      <c r="C214" s="10"/>
      <c r="D214" s="7"/>
      <c r="E214" s="8"/>
      <c r="F214" s="8"/>
      <c r="G214" s="9">
        <v>1000</v>
      </c>
      <c r="H214" s="26"/>
      <c r="I214" s="7"/>
      <c r="J214" s="7"/>
      <c r="K214" s="7"/>
      <c r="L214" s="7">
        <v>75</v>
      </c>
      <c r="M214" s="7"/>
      <c r="N214" s="7">
        <f t="shared" si="7"/>
        <v>2</v>
      </c>
      <c r="O214" s="7">
        <f t="shared" si="8"/>
        <v>0</v>
      </c>
      <c r="P214" s="7"/>
    </row>
    <row r="215" spans="1:16" x14ac:dyDescent="0.3">
      <c r="A215" s="5" t="s">
        <v>105</v>
      </c>
      <c r="B215" s="6">
        <v>0</v>
      </c>
      <c r="C215" s="10"/>
      <c r="D215" s="7"/>
      <c r="E215" s="8"/>
      <c r="F215" s="8"/>
      <c r="G215" s="9">
        <v>1000</v>
      </c>
      <c r="H215" s="26">
        <f t="shared" si="6"/>
        <v>0</v>
      </c>
      <c r="I215" s="7"/>
      <c r="J215" s="7"/>
      <c r="K215" s="7"/>
      <c r="L215" s="7">
        <v>90</v>
      </c>
      <c r="M215" s="7"/>
      <c r="N215" s="7">
        <f t="shared" si="7"/>
        <v>0</v>
      </c>
      <c r="O215" s="7">
        <f t="shared" si="8"/>
        <v>0</v>
      </c>
      <c r="P215" s="7"/>
    </row>
    <row r="216" spans="1:16" x14ac:dyDescent="0.3">
      <c r="A216" s="5" t="s">
        <v>265</v>
      </c>
      <c r="B216" s="6">
        <v>15</v>
      </c>
      <c r="C216" s="10"/>
      <c r="D216" s="7"/>
      <c r="E216" s="8"/>
      <c r="F216" s="8"/>
      <c r="G216" s="9">
        <v>1000</v>
      </c>
      <c r="H216" s="26">
        <f t="shared" si="6"/>
        <v>0</v>
      </c>
      <c r="I216" s="7"/>
      <c r="J216" s="7"/>
      <c r="K216" s="7"/>
      <c r="L216" s="7">
        <v>45</v>
      </c>
      <c r="M216" s="7"/>
      <c r="N216" s="7">
        <f t="shared" si="7"/>
        <v>15</v>
      </c>
      <c r="O216" s="7">
        <f t="shared" si="8"/>
        <v>0</v>
      </c>
      <c r="P216" s="7"/>
    </row>
    <row r="217" spans="1:16" x14ac:dyDescent="0.3">
      <c r="A217" s="5" t="s">
        <v>195</v>
      </c>
      <c r="B217" s="6">
        <v>1</v>
      </c>
      <c r="C217" s="10"/>
      <c r="D217" s="7"/>
      <c r="E217" s="8"/>
      <c r="F217" s="8"/>
      <c r="G217" s="9">
        <v>1000</v>
      </c>
      <c r="H217" s="26">
        <f t="shared" si="6"/>
        <v>0</v>
      </c>
      <c r="I217" s="7"/>
      <c r="J217" s="7"/>
      <c r="K217" s="7"/>
      <c r="L217" s="7">
        <v>45</v>
      </c>
      <c r="M217" s="7"/>
      <c r="N217" s="7">
        <f t="shared" si="7"/>
        <v>1</v>
      </c>
      <c r="O217" s="7">
        <f t="shared" si="8"/>
        <v>0</v>
      </c>
      <c r="P217" s="7" t="s">
        <v>247</v>
      </c>
    </row>
    <row r="218" spans="1:16" x14ac:dyDescent="0.3">
      <c r="A218" s="5" t="s">
        <v>106</v>
      </c>
      <c r="B218" s="6">
        <v>2</v>
      </c>
      <c r="C218" s="7"/>
      <c r="D218" s="7"/>
      <c r="E218" s="8"/>
      <c r="F218" s="8"/>
      <c r="G218" s="9">
        <v>2000</v>
      </c>
      <c r="H218" s="26">
        <f t="shared" si="6"/>
        <v>0</v>
      </c>
      <c r="I218" s="7"/>
      <c r="J218" s="7">
        <v>40</v>
      </c>
      <c r="K218" s="7"/>
      <c r="L218" s="7">
        <v>50</v>
      </c>
      <c r="M218" s="7"/>
      <c r="N218" s="7">
        <f t="shared" si="7"/>
        <v>2</v>
      </c>
      <c r="O218" s="7">
        <f t="shared" si="8"/>
        <v>0</v>
      </c>
      <c r="P218" s="7"/>
    </row>
    <row r="219" spans="1:16" x14ac:dyDescent="0.3">
      <c r="A219" s="5" t="s">
        <v>192</v>
      </c>
      <c r="B219" s="6">
        <v>0</v>
      </c>
      <c r="C219" s="7"/>
      <c r="D219" s="7"/>
      <c r="E219" s="8"/>
      <c r="F219" s="8"/>
      <c r="G219" s="9">
        <v>3000</v>
      </c>
      <c r="H219" s="26">
        <f t="shared" si="6"/>
        <v>0</v>
      </c>
      <c r="I219" s="7"/>
      <c r="J219" s="7"/>
      <c r="K219" s="7"/>
      <c r="L219" s="7">
        <v>500</v>
      </c>
      <c r="M219" s="7"/>
      <c r="N219" s="7">
        <f t="shared" si="7"/>
        <v>0</v>
      </c>
      <c r="O219" s="7">
        <f t="shared" si="8"/>
        <v>0</v>
      </c>
      <c r="P219" s="7"/>
    </row>
    <row r="220" spans="1:16" x14ac:dyDescent="0.3">
      <c r="A220" s="5" t="s">
        <v>202</v>
      </c>
      <c r="B220" s="6">
        <v>7</v>
      </c>
      <c r="C220" s="7"/>
      <c r="D220" s="7"/>
      <c r="E220" s="8"/>
      <c r="F220" s="8"/>
      <c r="G220" s="9"/>
      <c r="H220" s="26"/>
      <c r="I220" s="7"/>
      <c r="J220" s="7"/>
      <c r="K220" s="7"/>
      <c r="L220" s="7"/>
      <c r="M220" s="7"/>
      <c r="N220" s="7">
        <f t="shared" si="7"/>
        <v>7</v>
      </c>
      <c r="O220" s="7"/>
      <c r="P220" s="7"/>
    </row>
    <row r="221" spans="1:16" x14ac:dyDescent="0.3">
      <c r="A221" s="5" t="s">
        <v>205</v>
      </c>
      <c r="B221" s="6">
        <v>0</v>
      </c>
      <c r="C221" s="7"/>
      <c r="D221" s="7"/>
      <c r="E221" s="8"/>
      <c r="F221" s="8"/>
      <c r="G221" s="9"/>
      <c r="H221" s="26"/>
      <c r="I221" s="7"/>
      <c r="J221" s="7"/>
      <c r="K221" s="7"/>
      <c r="L221" s="7"/>
      <c r="M221" s="7"/>
      <c r="N221" s="7">
        <f t="shared" si="7"/>
        <v>0</v>
      </c>
      <c r="O221" s="7"/>
      <c r="P221" s="7"/>
    </row>
    <row r="222" spans="1:16" x14ac:dyDescent="0.3">
      <c r="A222" s="5" t="s">
        <v>169</v>
      </c>
      <c r="B222" s="6">
        <v>102</v>
      </c>
      <c r="C222" s="7"/>
      <c r="D222" s="7"/>
      <c r="E222" s="8"/>
      <c r="F222" s="8"/>
      <c r="G222" s="9"/>
      <c r="H222" s="26"/>
      <c r="I222" s="7"/>
      <c r="J222" s="7"/>
      <c r="K222" s="7"/>
      <c r="L222" s="7"/>
      <c r="M222" s="7"/>
      <c r="N222" s="7">
        <f t="shared" si="7"/>
        <v>102</v>
      </c>
      <c r="O222" s="7"/>
      <c r="P222" s="7"/>
    </row>
    <row r="223" spans="1:16" x14ac:dyDescent="0.3">
      <c r="A223" s="5" t="s">
        <v>170</v>
      </c>
      <c r="B223" s="6">
        <v>0</v>
      </c>
      <c r="C223" s="7"/>
      <c r="D223" s="7"/>
      <c r="E223" s="8"/>
      <c r="F223" s="8"/>
      <c r="G223" s="9"/>
      <c r="H223" s="26"/>
      <c r="I223" s="7"/>
      <c r="J223" s="7"/>
      <c r="K223" s="7"/>
      <c r="L223" s="7"/>
      <c r="M223" s="7"/>
      <c r="N223" s="7">
        <f t="shared" si="7"/>
        <v>0</v>
      </c>
      <c r="O223" s="7"/>
      <c r="P223" s="7"/>
    </row>
    <row r="224" spans="1:16" x14ac:dyDescent="0.3">
      <c r="A224" s="5" t="s">
        <v>206</v>
      </c>
      <c r="B224" s="6">
        <v>44</v>
      </c>
      <c r="C224" s="7"/>
      <c r="D224" s="7">
        <v>10</v>
      </c>
      <c r="E224" s="8"/>
      <c r="F224" s="8"/>
      <c r="G224" s="9"/>
      <c r="H224" s="26"/>
      <c r="I224" s="7"/>
      <c r="J224" s="7"/>
      <c r="K224" s="7"/>
      <c r="L224" s="7"/>
      <c r="M224" s="7"/>
      <c r="N224" s="7">
        <f t="shared" si="7"/>
        <v>34</v>
      </c>
      <c r="O224" s="7"/>
      <c r="P224" s="7" t="s">
        <v>304</v>
      </c>
    </row>
    <row r="225" spans="1:16" x14ac:dyDescent="0.3">
      <c r="A225" s="5" t="s">
        <v>171</v>
      </c>
      <c r="B225" s="6">
        <v>7</v>
      </c>
      <c r="C225" s="7"/>
      <c r="D225" s="7"/>
      <c r="E225" s="8"/>
      <c r="F225" s="8"/>
      <c r="G225" s="9"/>
      <c r="H225" s="26"/>
      <c r="I225" s="7"/>
      <c r="J225" s="7"/>
      <c r="K225" s="7"/>
      <c r="L225" s="7"/>
      <c r="M225" s="7"/>
      <c r="N225" s="7">
        <f t="shared" si="7"/>
        <v>7</v>
      </c>
      <c r="O225" s="7"/>
      <c r="P225" s="7"/>
    </row>
    <row r="226" spans="1:16" x14ac:dyDescent="0.3">
      <c r="A226" s="5" t="s">
        <v>204</v>
      </c>
      <c r="B226" s="6">
        <v>38</v>
      </c>
      <c r="C226" s="7"/>
      <c r="D226" s="7"/>
      <c r="E226" s="8"/>
      <c r="F226" s="8"/>
      <c r="G226" s="9"/>
      <c r="H226" s="26"/>
      <c r="I226" s="7"/>
      <c r="J226" s="7"/>
      <c r="K226" s="7"/>
      <c r="L226" s="7"/>
      <c r="M226" s="7"/>
      <c r="N226" s="7">
        <f t="shared" si="7"/>
        <v>38</v>
      </c>
      <c r="O226" s="7"/>
      <c r="P226" s="7"/>
    </row>
    <row r="227" spans="1:16" x14ac:dyDescent="0.3">
      <c r="A227" s="5" t="s">
        <v>203</v>
      </c>
      <c r="B227" s="6">
        <v>38</v>
      </c>
      <c r="C227" s="7"/>
      <c r="D227" s="7"/>
      <c r="E227" s="8"/>
      <c r="F227" s="8"/>
      <c r="G227" s="9"/>
      <c r="H227" s="26"/>
      <c r="I227" s="7"/>
      <c r="J227" s="7"/>
      <c r="K227" s="7"/>
      <c r="L227" s="7"/>
      <c r="M227" s="7"/>
      <c r="N227" s="7">
        <f t="shared" si="7"/>
        <v>38</v>
      </c>
      <c r="O227" s="7"/>
      <c r="P227" s="7"/>
    </row>
    <row r="228" spans="1:16" x14ac:dyDescent="0.3">
      <c r="A228" s="5" t="s">
        <v>207</v>
      </c>
      <c r="B228" s="6">
        <v>0</v>
      </c>
      <c r="C228" s="7"/>
      <c r="D228" s="7"/>
      <c r="E228" s="8"/>
      <c r="F228" s="8"/>
      <c r="G228" s="9"/>
      <c r="H228" s="26"/>
      <c r="I228" s="7"/>
      <c r="J228" s="7"/>
      <c r="K228" s="7"/>
      <c r="L228" s="7"/>
      <c r="M228" s="7"/>
      <c r="N228" s="7">
        <f t="shared" si="7"/>
        <v>0</v>
      </c>
      <c r="O228" s="7"/>
      <c r="P228" s="7"/>
    </row>
    <row r="229" spans="1:16" x14ac:dyDescent="0.3">
      <c r="A229" s="12" t="s">
        <v>107</v>
      </c>
      <c r="B229" s="13">
        <v>915</v>
      </c>
      <c r="C229" s="14"/>
      <c r="D229" s="14"/>
      <c r="E229" s="15"/>
      <c r="F229" s="15"/>
      <c r="G229" s="16"/>
      <c r="H229" s="27">
        <f>SUM(H2:H219)</f>
        <v>8500</v>
      </c>
      <c r="I229" s="17">
        <f>SUM(I2:I218)</f>
        <v>5600</v>
      </c>
      <c r="J229" s="17"/>
      <c r="K229" s="17">
        <f>SUM(K2:K218)</f>
        <v>0</v>
      </c>
      <c r="L229" s="17"/>
      <c r="M229" s="17"/>
      <c r="N229" s="30">
        <f>SUM(N2:N228)</f>
        <v>900</v>
      </c>
      <c r="O229" s="17">
        <f>SUM(O2:O228)</f>
        <v>590</v>
      </c>
      <c r="P229" s="17">
        <f>SUM(P2:P228)</f>
        <v>-6</v>
      </c>
    </row>
    <row r="230" spans="1:16" x14ac:dyDescent="0.3">
      <c r="A230" s="18" t="s">
        <v>108</v>
      </c>
      <c r="B230" s="18">
        <f>O229</f>
        <v>590</v>
      </c>
      <c r="C230" s="2" t="s">
        <v>109</v>
      </c>
      <c r="D230" s="2" t="s">
        <v>110</v>
      </c>
      <c r="N230" s="31"/>
    </row>
    <row r="231" spans="1:16" x14ac:dyDescent="0.3">
      <c r="A231" s="19" t="s">
        <v>111</v>
      </c>
      <c r="B231" s="20">
        <f>(C231+D231)/750</f>
        <v>109.33333333333333</v>
      </c>
      <c r="C231" s="8">
        <v>82000</v>
      </c>
      <c r="D231" s="8"/>
    </row>
    <row r="232" spans="1:16" x14ac:dyDescent="0.3">
      <c r="A232" s="19" t="s">
        <v>14</v>
      </c>
      <c r="B232" s="21">
        <v>150</v>
      </c>
      <c r="C232" s="8" t="s">
        <v>126</v>
      </c>
      <c r="D232" s="8"/>
    </row>
    <row r="233" spans="1:16" x14ac:dyDescent="0.3">
      <c r="A233" s="19" t="s">
        <v>112</v>
      </c>
      <c r="B233" s="20">
        <f>D233/750</f>
        <v>0</v>
      </c>
      <c r="C233" s="8"/>
      <c r="D233" s="8"/>
    </row>
    <row r="234" spans="1:16" x14ac:dyDescent="0.3">
      <c r="A234" s="19" t="s">
        <v>113</v>
      </c>
      <c r="B234" s="20"/>
      <c r="C234" s="8"/>
      <c r="D234" s="8"/>
    </row>
    <row r="235" spans="1:16" x14ac:dyDescent="0.3">
      <c r="A235" s="12" t="s">
        <v>114</v>
      </c>
      <c r="B235" s="22">
        <f>B230+B231+B233+B234+B232</f>
        <v>849.33333333333337</v>
      </c>
      <c r="C235" s="8"/>
      <c r="D235" s="8"/>
    </row>
    <row r="236" spans="1:16" x14ac:dyDescent="0.3">
      <c r="A236" s="19" t="s">
        <v>6</v>
      </c>
      <c r="B236" s="20">
        <f>D236/750</f>
        <v>0</v>
      </c>
      <c r="C236" s="8"/>
      <c r="D236" s="8"/>
    </row>
    <row r="237" spans="1:16" x14ac:dyDescent="0.3">
      <c r="A237" s="19" t="s">
        <v>115</v>
      </c>
      <c r="B237" s="20">
        <f>C237/750</f>
        <v>7.4666666666666668</v>
      </c>
      <c r="C237" s="8">
        <v>5600</v>
      </c>
      <c r="D237" s="8"/>
    </row>
    <row r="238" spans="1:16" x14ac:dyDescent="0.3">
      <c r="A238" s="19" t="s">
        <v>64</v>
      </c>
      <c r="B238" s="20">
        <f>C238/750</f>
        <v>12.666666666666666</v>
      </c>
      <c r="C238" s="8">
        <v>9500</v>
      </c>
      <c r="D238" s="8"/>
    </row>
    <row r="239" spans="1:16" x14ac:dyDescent="0.3">
      <c r="A239" s="19" t="s">
        <v>116</v>
      </c>
      <c r="B239" s="20"/>
      <c r="C239" s="8"/>
      <c r="D239" s="8"/>
    </row>
    <row r="240" spans="1:16" x14ac:dyDescent="0.3">
      <c r="A240" s="12" t="s">
        <v>117</v>
      </c>
      <c r="B240" s="20">
        <f>B236+B237+B238+B239</f>
        <v>20.133333333333333</v>
      </c>
      <c r="C240" s="8"/>
      <c r="D240" s="8"/>
    </row>
    <row r="241" spans="1:6" x14ac:dyDescent="0.3">
      <c r="A241" s="12" t="s">
        <v>118</v>
      </c>
      <c r="B241" s="22">
        <f>B235-B240</f>
        <v>829.2</v>
      </c>
      <c r="C241" s="8"/>
      <c r="D241" s="8"/>
    </row>
    <row r="242" spans="1:6" x14ac:dyDescent="0.3">
      <c r="A242" s="19" t="s">
        <v>119</v>
      </c>
      <c r="B242" s="20">
        <f>C242/750</f>
        <v>0</v>
      </c>
      <c r="C242" s="8"/>
      <c r="D242" s="8"/>
    </row>
    <row r="243" spans="1:6" x14ac:dyDescent="0.3">
      <c r="A243" s="19" t="s">
        <v>120</v>
      </c>
      <c r="B243" s="20"/>
      <c r="C243" s="8"/>
      <c r="D243" s="8"/>
    </row>
    <row r="244" spans="1:6" x14ac:dyDescent="0.3">
      <c r="A244" s="19" t="s">
        <v>121</v>
      </c>
      <c r="B244" s="20">
        <f>C244/2</f>
        <v>0</v>
      </c>
      <c r="C244" s="8"/>
      <c r="D244" s="8"/>
    </row>
    <row r="245" spans="1:6" x14ac:dyDescent="0.3">
      <c r="A245" s="12" t="s">
        <v>122</v>
      </c>
      <c r="B245" s="22">
        <f>B242+B243+B244</f>
        <v>0</v>
      </c>
      <c r="C245" s="8"/>
      <c r="D245" s="8"/>
    </row>
    <row r="246" spans="1:6" x14ac:dyDescent="0.3">
      <c r="A246" s="19" t="s">
        <v>123</v>
      </c>
      <c r="B246" s="20">
        <v>715</v>
      </c>
      <c r="C246" s="8"/>
      <c r="D246" s="8"/>
    </row>
    <row r="247" spans="1:6" x14ac:dyDescent="0.3">
      <c r="A247" s="19" t="s">
        <v>36</v>
      </c>
      <c r="B247" s="20"/>
      <c r="C247" s="8"/>
      <c r="D247" s="8"/>
    </row>
    <row r="248" spans="1:6" x14ac:dyDescent="0.3">
      <c r="A248" s="19" t="s">
        <v>124</v>
      </c>
      <c r="B248" s="20">
        <f>C248/2.3</f>
        <v>0</v>
      </c>
      <c r="C248" s="8"/>
      <c r="D248" s="8"/>
    </row>
    <row r="249" spans="1:6" x14ac:dyDescent="0.3">
      <c r="A249" s="19" t="s">
        <v>125</v>
      </c>
      <c r="B249" s="20">
        <f>C249/750</f>
        <v>114.2</v>
      </c>
      <c r="C249" s="8">
        <v>85650</v>
      </c>
      <c r="D249" s="8"/>
      <c r="F249" t="s">
        <v>126</v>
      </c>
    </row>
    <row r="250" spans="1:6" x14ac:dyDescent="0.3">
      <c r="A250" s="19" t="s">
        <v>127</v>
      </c>
      <c r="B250" s="20">
        <f>D250/750</f>
        <v>0</v>
      </c>
      <c r="C250" s="8"/>
      <c r="D250" s="8"/>
    </row>
    <row r="251" spans="1:6" x14ac:dyDescent="0.3">
      <c r="A251" s="12" t="s">
        <v>128</v>
      </c>
      <c r="B251" s="22">
        <f>B246+B247+B248+B249+B250</f>
        <v>829.2</v>
      </c>
      <c r="C251" s="8"/>
      <c r="D251" s="8"/>
    </row>
    <row r="252" spans="1:6" x14ac:dyDescent="0.3">
      <c r="A252" s="19" t="s">
        <v>129</v>
      </c>
      <c r="B252" s="20">
        <f>C252/750</f>
        <v>0</v>
      </c>
      <c r="C252" s="8"/>
      <c r="D252" s="8"/>
    </row>
    <row r="253" spans="1:6" x14ac:dyDescent="0.3">
      <c r="A253" s="12" t="s">
        <v>107</v>
      </c>
      <c r="B253" s="22">
        <f>B252</f>
        <v>0</v>
      </c>
      <c r="C253" s="8"/>
      <c r="D253" s="8"/>
    </row>
    <row r="254" spans="1:6" x14ac:dyDescent="0.3">
      <c r="A254" s="12" t="s">
        <v>130</v>
      </c>
      <c r="B254" s="20">
        <f>B241-B245-B251-B253</f>
        <v>0</v>
      </c>
      <c r="C254" s="8" t="s">
        <v>126</v>
      </c>
      <c r="D254" s="8"/>
    </row>
    <row r="256" spans="1:6" x14ac:dyDescent="0.3">
      <c r="A256" s="12" t="s">
        <v>131</v>
      </c>
      <c r="B256" s="23" t="s">
        <v>10</v>
      </c>
    </row>
    <row r="257" spans="1:2" x14ac:dyDescent="0.3">
      <c r="A257" s="12" t="s">
        <v>132</v>
      </c>
      <c r="B257" s="7"/>
    </row>
    <row r="258" spans="1:2" x14ac:dyDescent="0.3">
      <c r="A258" s="19" t="s">
        <v>133</v>
      </c>
      <c r="B258" s="7"/>
    </row>
    <row r="259" spans="1:2" x14ac:dyDescent="0.3">
      <c r="A259" s="12" t="s">
        <v>134</v>
      </c>
      <c r="B259" s="17">
        <f>B257-B258</f>
        <v>0</v>
      </c>
    </row>
    <row r="260" spans="1:2" x14ac:dyDescent="0.3">
      <c r="A260" s="12" t="s">
        <v>135</v>
      </c>
      <c r="B260" s="17">
        <f>B261+B262+B263+B264+B265+B266+B267+B268</f>
        <v>0</v>
      </c>
    </row>
    <row r="261" spans="1:2" x14ac:dyDescent="0.3">
      <c r="A261" s="19" t="s">
        <v>136</v>
      </c>
      <c r="B261" s="7"/>
    </row>
    <row r="262" spans="1:2" x14ac:dyDescent="0.3">
      <c r="A262" s="19" t="s">
        <v>137</v>
      </c>
      <c r="B262" s="7"/>
    </row>
    <row r="263" spans="1:2" x14ac:dyDescent="0.3">
      <c r="A263" s="19" t="s">
        <v>138</v>
      </c>
      <c r="B263" s="7"/>
    </row>
    <row r="264" spans="1:2" x14ac:dyDescent="0.3">
      <c r="A264" s="19" t="s">
        <v>139</v>
      </c>
      <c r="B264" s="7"/>
    </row>
    <row r="265" spans="1:2" x14ac:dyDescent="0.3">
      <c r="A265" s="19" t="s">
        <v>140</v>
      </c>
      <c r="B265" s="7"/>
    </row>
    <row r="266" spans="1:2" x14ac:dyDescent="0.3">
      <c r="A266" s="19" t="s">
        <v>141</v>
      </c>
      <c r="B266" s="7"/>
    </row>
    <row r="267" spans="1:2" x14ac:dyDescent="0.3">
      <c r="A267" s="19" t="s">
        <v>142</v>
      </c>
      <c r="B267" s="7"/>
    </row>
    <row r="268" spans="1:2" x14ac:dyDescent="0.3">
      <c r="A268" s="19" t="s">
        <v>143</v>
      </c>
      <c r="B268" s="7"/>
    </row>
    <row r="269" spans="1:2" x14ac:dyDescent="0.3">
      <c r="A269" s="12" t="s">
        <v>144</v>
      </c>
      <c r="B269" s="17">
        <f>B270+B271+B272</f>
        <v>0</v>
      </c>
    </row>
    <row r="270" spans="1:2" x14ac:dyDescent="0.3">
      <c r="A270" s="19" t="s">
        <v>145</v>
      </c>
      <c r="B270" s="7"/>
    </row>
    <row r="271" spans="1:2" x14ac:dyDescent="0.3">
      <c r="A271" s="19" t="s">
        <v>146</v>
      </c>
      <c r="B271" s="7"/>
    </row>
    <row r="272" spans="1:2" x14ac:dyDescent="0.3">
      <c r="A272" s="19" t="s">
        <v>147</v>
      </c>
      <c r="B272" s="7"/>
    </row>
    <row r="273" spans="1:5" x14ac:dyDescent="0.3">
      <c r="A273" s="12" t="s">
        <v>148</v>
      </c>
      <c r="B273" s="17">
        <f>B259-B260-B269</f>
        <v>0</v>
      </c>
    </row>
    <row r="279" spans="1:5" x14ac:dyDescent="0.3">
      <c r="A279" s="24"/>
    </row>
    <row r="280" spans="1:5" x14ac:dyDescent="0.3">
      <c r="A280" s="24"/>
    </row>
    <row r="281" spans="1:5" x14ac:dyDescent="0.3">
      <c r="A281" s="24"/>
    </row>
    <row r="282" spans="1:5" x14ac:dyDescent="0.3">
      <c r="A282" s="24"/>
    </row>
    <row r="283" spans="1:5" x14ac:dyDescent="0.3">
      <c r="A283" s="24"/>
    </row>
    <row r="284" spans="1:5" x14ac:dyDescent="0.3">
      <c r="A284" s="24"/>
    </row>
    <row r="285" spans="1:5" x14ac:dyDescent="0.3">
      <c r="A285" s="24"/>
    </row>
    <row r="286" spans="1:5" x14ac:dyDescent="0.3">
      <c r="A286" s="25"/>
      <c r="B286" s="25"/>
      <c r="C286" s="25"/>
      <c r="D286" s="25"/>
      <c r="E286" s="25"/>
    </row>
  </sheetData>
  <autoFilter ref="A1:Y1" xr:uid="{18C7725A-0ECD-430D-BBBE-44C4B4D9ADA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1 9 26</vt:lpstr>
      <vt:lpstr>3 9 26</vt:lpstr>
      <vt:lpstr>4 9 26</vt:lpstr>
      <vt:lpstr>5 9 26</vt:lpstr>
      <vt:lpstr>7 9 26</vt:lpstr>
      <vt:lpstr>8 9 26</vt:lpstr>
      <vt:lpstr>9 9 26</vt:lpstr>
      <vt:lpstr>INVENTARIO</vt:lpstr>
      <vt:lpstr>10 9 26</vt:lpstr>
      <vt:lpstr>11 9 26</vt:lpstr>
      <vt:lpstr>12 9 26</vt:lpstr>
      <vt:lpstr>14 9 26</vt:lpstr>
      <vt:lpstr>15 9 26</vt:lpstr>
      <vt:lpstr>16 9 26</vt:lpstr>
      <vt:lpstr>17 9 26</vt:lpstr>
      <vt:lpstr>18 9 26</vt:lpstr>
      <vt:lpstr>19 9 26</vt:lpstr>
      <vt:lpstr>21 9 26</vt:lpstr>
      <vt:lpstr>22 9 26</vt:lpstr>
      <vt:lpstr>23 9 26</vt:lpstr>
      <vt:lpstr>24 9 26</vt:lpstr>
      <vt:lpstr>25 9 26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Yosvany Hernández Quintero</cp:lastModifiedBy>
  <dcterms:created xsi:type="dcterms:W3CDTF">2026-03-06T22:40:19Z</dcterms:created>
  <dcterms:modified xsi:type="dcterms:W3CDTF">2026-09-30T22:29:23Z</dcterms:modified>
</cp:coreProperties>
</file>