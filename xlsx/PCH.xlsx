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edro Julio\Desktop\"/>
    </mc:Choice>
  </mc:AlternateContent>
  <xr:revisionPtr revIDLastSave="0" documentId="13_ncr:1_{B10154FB-173D-46A4-8D44-5B78C306B0A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definedNames>
    <definedName name="_xlnm._FilterDatabase" localSheetId="0" hidden="1">Hoja1!$B$3:$I$116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2" i="1" l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251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I123" i="1"/>
  <c r="H123" i="1"/>
  <c r="I5" i="1"/>
  <c r="H7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5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251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123" i="1"/>
  <c r="G6" i="1"/>
  <c r="H6" i="1" s="1"/>
  <c r="G7" i="1"/>
  <c r="G8" i="1"/>
  <c r="H8" i="1" s="1"/>
  <c r="G9" i="1"/>
  <c r="H9" i="1" s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H41" i="1" s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H91" i="1" s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5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251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5" i="1"/>
  <c r="H298" i="1" l="1"/>
  <c r="F246" i="1"/>
  <c r="F247" i="1" s="1"/>
  <c r="F248" i="1" s="1"/>
  <c r="F370" i="1"/>
  <c r="F371" i="1" s="1"/>
  <c r="F372" i="1" s="1"/>
  <c r="F117" i="1"/>
  <c r="F118" i="1" s="1"/>
  <c r="F119" i="1" s="1"/>
</calcChain>
</file>

<file path=xl/sharedStrings.xml><?xml version="1.0" encoding="utf-8"?>
<sst xmlns="http://schemas.openxmlformats.org/spreadsheetml/2006/main" count="368" uniqueCount="319">
  <si>
    <t>PRODUCTO</t>
  </si>
  <si>
    <t>PINAR DEL RÍO</t>
  </si>
  <si>
    <t>SACO DE CEMENTO GRIS P350</t>
  </si>
  <si>
    <t>BATERIA HUMSIENK 24V 200AMP</t>
  </si>
  <si>
    <t>BATERIA DE 12V 100A JMD</t>
  </si>
  <si>
    <t>BATERIA DE 12V 150A SACO</t>
  </si>
  <si>
    <t>BATERIA EXTRA 16K SACO</t>
  </si>
  <si>
    <t>BASE PARA PANELES</t>
  </si>
  <si>
    <t>BREKE 63A SENCILLO</t>
  </si>
  <si>
    <t xml:space="preserve">BOCINA MILEXUS 8  PULGADAS  </t>
  </si>
  <si>
    <t>BOCINA MILEXUS 6 DUAL</t>
  </si>
  <si>
    <t>BOMBA DE AGUA SILVER POINT  1X1/2</t>
  </si>
  <si>
    <t>BICICLETA INFANTIL 20 TZ002</t>
  </si>
  <si>
    <t>BICICLETA 26 008-5</t>
  </si>
  <si>
    <t>BICICLETA 26 012</t>
  </si>
  <si>
    <t>BICICLETA 26 003-4</t>
  </si>
  <si>
    <t>BICICLETA 16 023</t>
  </si>
  <si>
    <t>CONECTORES MC4</t>
  </si>
  <si>
    <t>CAJITA DECODIFICADORA ATEC</t>
  </si>
  <si>
    <t>CAJA DE DISTRIBUCION DE 8 VIAS</t>
  </si>
  <si>
    <t>CAJA DE HERRAMIENTAS 13PCS</t>
  </si>
  <si>
    <t>COLCHON EKO</t>
  </si>
  <si>
    <t>CAJAS DE AZULEJOS 44X44 2.5 M</t>
  </si>
  <si>
    <t>CAFETERA  3 TASAS</t>
  </si>
  <si>
    <t>CAFETERA ELECTRICA ESPRESO 800W</t>
  </si>
  <si>
    <t>CALENTADOR 80 L</t>
  </si>
  <si>
    <t>ESTACION ENERGIA PECRON</t>
  </si>
  <si>
    <t>ESTACION ENERGIA ECOFLOW DELTA 3</t>
  </si>
  <si>
    <t>EQUIPO DE MUSICA LG GRANDE</t>
  </si>
  <si>
    <t>ESCALERA DE 4 ESCALONES</t>
  </si>
  <si>
    <t>ESTANTES</t>
  </si>
  <si>
    <t>FOGON DE PETROLEO</t>
  </si>
  <si>
    <t>FOGON DE GAS 3 QUEMADORES</t>
  </si>
  <si>
    <t>FOGON INFRARROJO MAF 2000 W</t>
  </si>
  <si>
    <t>FOGON INFRARROJO ROYAL 1500 W</t>
  </si>
  <si>
    <t>FOGON INFRARROJO EKO 1500 W</t>
  </si>
  <si>
    <t>FILTRO DE AGUA</t>
  </si>
  <si>
    <t>FREIDORA DE AIRE MILEXUS NEGRA 4.2L</t>
  </si>
  <si>
    <t>INVERSOR 4K</t>
  </si>
  <si>
    <t>INVERSOR 4K SUMRY</t>
  </si>
  <si>
    <t xml:space="preserve">INVERSOR MUST 3000 W </t>
  </si>
  <si>
    <t>LAMPARA RECARGABLE DE 50 CM</t>
  </si>
  <si>
    <t xml:space="preserve">LAMPARA SOLAR 800W </t>
  </si>
  <si>
    <t>LAMPARA DE 100W CON PANEL</t>
  </si>
  <si>
    <t>LAVADORA SECADORA AUTOMÁTICA MILEXUS 10 KG</t>
  </si>
  <si>
    <t>LAVADORA PREMIER AUTOMÁTICA 11 KG</t>
  </si>
  <si>
    <t>LAVADORA 7 KG MILEXUS SEMI.</t>
  </si>
  <si>
    <t>LAVADORA 10 KG AUTOMATICA SANKEY</t>
  </si>
  <si>
    <t>LAVADORA 7.5 AUTOMA MILEXUS</t>
  </si>
  <si>
    <t>LAVADORA 7 KG EKO SEMI</t>
  </si>
  <si>
    <t xml:space="preserve">LAVADORA 9 KG MILEXUS SEMI </t>
  </si>
  <si>
    <t xml:space="preserve">LAVADORA 8 KG CHALLENGER SEMI </t>
  </si>
  <si>
    <t>LICUADORA MILEXUS 300W PLASTICA 2 EN 1</t>
  </si>
  <si>
    <t>LICUADORA MILEXUS 400 W CRISTAL</t>
  </si>
  <si>
    <t>LICUADORA MILEXUS 550W CRISTAL</t>
  </si>
  <si>
    <t>LUZ LED EXTERIORES 100 W</t>
  </si>
  <si>
    <t>MICROONDAS 20 L MILEXUS</t>
  </si>
  <si>
    <t>MALETA DE CUBO 24PCS</t>
  </si>
  <si>
    <t>MALETA DE CUBO 172PCS</t>
  </si>
  <si>
    <t>NEVERA ROYAL 7.8 220L</t>
  </si>
  <si>
    <t>NEVERA MILEXUS 4.2</t>
  </si>
  <si>
    <t>HIDROLAVADORA ROYAL</t>
  </si>
  <si>
    <t>HERRAJES PARA BAÑO</t>
  </si>
  <si>
    <t>OLLA ARROCERA 2.2 L MILEXUS</t>
  </si>
  <si>
    <t>OLLA ARROCERA 1.8 L EKO</t>
  </si>
  <si>
    <t>OLLA REINA 7 L ESTELECTRIC</t>
  </si>
  <si>
    <t>OLLA REINA 6 L NIZATO</t>
  </si>
  <si>
    <t>JUEGO DE VAJILLAS</t>
  </si>
  <si>
    <t>JUEGO DE LLAVE/CUBO 37PCS</t>
  </si>
  <si>
    <t>JUEGO DE LLAVES 12PCS</t>
  </si>
  <si>
    <t>JUEGO DE CUBOS 12PCS</t>
  </si>
  <si>
    <t>JUEGO DE PINZA/DESTORNILLADOR</t>
  </si>
  <si>
    <t>PRESURIZADOR 6 L DAWANG</t>
  </si>
  <si>
    <t>PROTECTOR DE LINEA 110V</t>
  </si>
  <si>
    <t>PROTECTOR DE LINEA 220V</t>
  </si>
  <si>
    <t>PROTECTOR DE VOLTAJE 120V/15A</t>
  </si>
  <si>
    <t>PANELES 615 W</t>
  </si>
  <si>
    <t>PANELES 575 W</t>
  </si>
  <si>
    <t xml:space="preserve">PANELES 550 W </t>
  </si>
  <si>
    <t>PESA DIGITAL DAWANG</t>
  </si>
  <si>
    <t>REFRIGERADOR 7 PIES HISENSE</t>
  </si>
  <si>
    <t>REFRIGERADOR 15.2 PIES MILEXUS</t>
  </si>
  <si>
    <t xml:space="preserve">REFRIGERADOR MILEXUS 9 PIES </t>
  </si>
  <si>
    <t xml:space="preserve">SANDWICHERA </t>
  </si>
  <si>
    <t>SECADORA A VAPOR EKO</t>
  </si>
  <si>
    <t>SUPRESOR AC</t>
  </si>
  <si>
    <t>SUPRESOR DC</t>
  </si>
  <si>
    <t>SPLIT MILEXUS 1 T 220 VOLT</t>
  </si>
  <si>
    <t>SPLIT 1 T MILEXUS 220 V INVERTER</t>
  </si>
  <si>
    <t>TV 43" NIZATO</t>
  </si>
  <si>
    <t xml:space="preserve">MAQUINA DE FRIO </t>
  </si>
  <si>
    <t>TV 32" MILEXUS</t>
  </si>
  <si>
    <t>TUBO DE LUZ LED INTEGRAL T8 SACO</t>
  </si>
  <si>
    <t>TOLDO 4X2.5</t>
  </si>
  <si>
    <t>TOLDO 3X2</t>
  </si>
  <si>
    <t>TOLDO 2X1</t>
  </si>
  <si>
    <t>TANQUE GASOLINA 20L</t>
  </si>
  <si>
    <t>TUBO DE SILICONA</t>
  </si>
  <si>
    <t>VENTILADOR DE PARED DAWANG 18</t>
  </si>
  <si>
    <t>VENTILADOR INDUSTRIAL 30 ROYAL</t>
  </si>
  <si>
    <t>VENTILADOR RECARGABLE CHIQUITO DE 40000 MAH F22</t>
  </si>
  <si>
    <t>VENTILADOR RECARGABLE CON PANEL DAWANG 16</t>
  </si>
  <si>
    <t>VENTILADOR DE PEDESTAL DAWANG 18</t>
  </si>
  <si>
    <t>VENTILADOR DE PEDESTAL EKO 16</t>
  </si>
  <si>
    <t>VENTILADOR DE TECHO ROYAL 56</t>
  </si>
  <si>
    <t>BICICLETA 26 DC021</t>
  </si>
  <si>
    <t>EXHIBIDOR EKO 7P</t>
  </si>
  <si>
    <t xml:space="preserve">VENTILADOR DE TECHO NIZATO </t>
  </si>
  <si>
    <t>REFRIGERADOR EKO 16P</t>
  </si>
  <si>
    <t>REFRIGERADOR EKO 11P</t>
  </si>
  <si>
    <t>INVERSOR POWERMR 6.2K</t>
  </si>
  <si>
    <t>VENTILADOR RECARGABLE P60</t>
  </si>
  <si>
    <t>REFRIGERADOR ROYAL 20P</t>
  </si>
  <si>
    <t>PANELES 535W</t>
  </si>
  <si>
    <t>EXISTENCIA</t>
  </si>
  <si>
    <t>PRECIO DE VENTA</t>
  </si>
  <si>
    <t>PRECIO DE COTSO</t>
  </si>
  <si>
    <t>CONSOLACIÓN</t>
  </si>
  <si>
    <t xml:space="preserve">BATERIA JMD 12VX100AH </t>
  </si>
  <si>
    <t>BATIDORA CRISTAL MILEXUS 1.5L MODELO 696</t>
  </si>
  <si>
    <t>BATIDORA CRISTAL MILEXUS MODELO 602</t>
  </si>
  <si>
    <t>BATIDORA KITCHEN</t>
  </si>
  <si>
    <t>BATIDORA PLASTICA MILEXUS</t>
  </si>
  <si>
    <t>BICIBLETA 16" YNO23</t>
  </si>
  <si>
    <t>BICICLETA 26 " WH008-5</t>
  </si>
  <si>
    <t>BICIBLETA 26 " WH003-4</t>
  </si>
  <si>
    <t>BICIBLETA 26 " BC012</t>
  </si>
  <si>
    <t>BICIBLETA 26 " DC-021</t>
  </si>
  <si>
    <t>BICIBLETA 26 " DC-041</t>
  </si>
  <si>
    <t>BICICLETA 20</t>
  </si>
  <si>
    <t>BOCINA MILEXUS 6.5"</t>
  </si>
  <si>
    <t xml:space="preserve">BOCINA MILEXUS 8" </t>
  </si>
  <si>
    <t>BOMBA  DE AGUA 1/2 HP</t>
  </si>
  <si>
    <t>BREAKER DE 25A</t>
  </si>
  <si>
    <t>BREAKER DE 32A</t>
  </si>
  <si>
    <t>BREAKER DE 63A</t>
  </si>
  <si>
    <t>CABLE ELECTRICO 12 AWG ROJO</t>
  </si>
  <si>
    <t xml:space="preserve">CAFETERA  DE 3 TASAS GAS </t>
  </si>
  <si>
    <t>CAJA DE HERRAMIENTAS 13 PCS</t>
  </si>
  <si>
    <t>CAJITA DIGITAL HD ATEC</t>
  </si>
  <si>
    <t>CALENTADOR  DESMAT 80 L</t>
  </si>
  <si>
    <t xml:space="preserve">COLCHON MATRIMONIAL </t>
  </si>
  <si>
    <t>EQUIPO DE MUSICA LG</t>
  </si>
  <si>
    <t>ESCRITORIO</t>
  </si>
  <si>
    <t>ESCALERA  4 ESCALONES</t>
  </si>
  <si>
    <t xml:space="preserve">ESTANTES </t>
  </si>
  <si>
    <t>ESTACION ENERGIA ECOFLOW  DELTA 3 CLASIC</t>
  </si>
  <si>
    <t>ESTACION  PECRON</t>
  </si>
  <si>
    <t>EXHIBIDOR  VERTICAL EKO 7P</t>
  </si>
  <si>
    <t>FILTRO</t>
  </si>
  <si>
    <t>FOGON INFRARROJO     EKO</t>
  </si>
  <si>
    <t>FREIDORA MILEXUS 4.2 L</t>
  </si>
  <si>
    <t>FREIDORA MILEXUS AIRE 4.2 L</t>
  </si>
  <si>
    <t>HERRAJE PARA BAÑO</t>
  </si>
  <si>
    <t xml:space="preserve">INVERSOR POWMR 6.2KW </t>
  </si>
  <si>
    <t xml:space="preserve">INVERSOR POWMR 6.5KW </t>
  </si>
  <si>
    <t>INVERSOR 4KW</t>
  </si>
  <si>
    <t xml:space="preserve">INVERSOR SUMRY 3.6KW 24 V </t>
  </si>
  <si>
    <t>INVERSOR SUMRY 4KW</t>
  </si>
  <si>
    <t>INVERSOR SUNPAL 10 K</t>
  </si>
  <si>
    <t>INVERSOR YINGFA 3.6KW 24V</t>
  </si>
  <si>
    <t>JUEGO DE LLAVE CON CUBO 37 PCS</t>
  </si>
  <si>
    <t>JUEGO DE PINZA Y DESTORNILLADOR</t>
  </si>
  <si>
    <t>JUEGO DE LLAVE  12 PCS</t>
  </si>
  <si>
    <t>JUEGO DE CUBO  12 PCS</t>
  </si>
  <si>
    <t>JUEGO DE VAJILLA  FLOR</t>
  </si>
  <si>
    <t xml:space="preserve">LAMPARA RECARGABLE 60W </t>
  </si>
  <si>
    <t>LAMPARA SOLAR SILVER LIGHT 200W</t>
  </si>
  <si>
    <t xml:space="preserve">LAVADORA  / SECADORA  AUTOMATICA MILEXUS   10KG </t>
  </si>
  <si>
    <t xml:space="preserve">LAVADORA 9 KG MILEXUS SEMIAUTOMATICAS </t>
  </si>
  <si>
    <t>LAVADORA 7 KG MILEXUS SEMIAUTOMATICAS  ROTAS</t>
  </si>
  <si>
    <t xml:space="preserve">LAVADORA 9 KG  SEMIAUTOMATICA </t>
  </si>
  <si>
    <t xml:space="preserve">LAVADORA CHALLENGER  8KG SEMI </t>
  </si>
  <si>
    <t>LUZ EXTERIOR 800W</t>
  </si>
  <si>
    <t>LUZ LED EXTERIORES 100 W CAJA VERDE</t>
  </si>
  <si>
    <t xml:space="preserve">LUZ LED INTERIOR PEQUEÑA 100 W CON PANEL </t>
  </si>
  <si>
    <t xml:space="preserve">LUZ LED SOLAR 100 W QUE LE FALTA EL MANDO </t>
  </si>
  <si>
    <t>MALETA DE CUBOS 24 PCS</t>
  </si>
  <si>
    <t>MALETA DE CUBOS 172 PCS</t>
  </si>
  <si>
    <t xml:space="preserve">MAQUINA DE CAFE EXPRESSO </t>
  </si>
  <si>
    <t>MAQUINAS DE REFRIGERACIÓN</t>
  </si>
  <si>
    <t xml:space="preserve">METROS DE AZULEJOS 33X33 (1.2 MTS) </t>
  </si>
  <si>
    <t>MICROONDAS 20 L EKO</t>
  </si>
  <si>
    <t>NEVERA 11.2 PIES MILEXUS</t>
  </si>
  <si>
    <t>NEVERA ENERLIFE 5.5 P</t>
  </si>
  <si>
    <t xml:space="preserve">NEVERA MILEXUS 4.2 </t>
  </si>
  <si>
    <t>OLLA REINA NIZZATO 6L</t>
  </si>
  <si>
    <t>PANELES SOLARES 550 W</t>
  </si>
  <si>
    <t>PANELES SOLARES 500 W ROTO</t>
  </si>
  <si>
    <t>PANELES SOLARES 575W</t>
  </si>
  <si>
    <t>PANELES SOLARES 585 W ROTO</t>
  </si>
  <si>
    <t>PANELES SOLARES 615W</t>
  </si>
  <si>
    <t>PANELES SOLARES 620W ROTO</t>
  </si>
  <si>
    <t>PANELES SOLARES 600 W ROTO</t>
  </si>
  <si>
    <t>PANELES SOLARES 535W</t>
  </si>
  <si>
    <t>PAREJA DE CONECTORES MC4</t>
  </si>
  <si>
    <t>PESA DIGITAL</t>
  </si>
  <si>
    <t xml:space="preserve">PRESURIZADOR </t>
  </si>
  <si>
    <t>PROTECTOR DE LINEA 110 V</t>
  </si>
  <si>
    <t>PROTECTOR DE VOLTAJE  120 V 15 A (REF)</t>
  </si>
  <si>
    <t xml:space="preserve">REFRIGERADOR  7.23 PIES HISENSE </t>
  </si>
  <si>
    <t xml:space="preserve">REFRIGERADOR 10.5 PIES ENERLIFE </t>
  </si>
  <si>
    <t>REFRIGERADOR 7.3 PIES ROYAL</t>
  </si>
  <si>
    <t xml:space="preserve">REFRIGERADOR MILEXUS 9.1 PIES </t>
  </si>
  <si>
    <t xml:space="preserve">REFRIGERADOR ROYAL 20 PIES </t>
  </si>
  <si>
    <t xml:space="preserve">REFRIGERADOR MILEXUS 15 PIES </t>
  </si>
  <si>
    <t>ROLLO DE CABLE COBRE  Y ALUMINIO ROJO(500 METROS)V</t>
  </si>
  <si>
    <t>ROLLO DE CABLE COBRE Y ALUMINIO NEGRO(500 METROS)N</t>
  </si>
  <si>
    <t>SALTENES 30 CM</t>
  </si>
  <si>
    <t>SANDWICHERA EKO</t>
  </si>
  <si>
    <t>SILICONA</t>
  </si>
  <si>
    <t>SACOS DE CEMENTO SELLADO</t>
  </si>
  <si>
    <t>SACOS DE CEMENTO REEMBOLSADO</t>
  </si>
  <si>
    <t xml:space="preserve">SPLIT 1 T 110 V MILEXUS </t>
  </si>
  <si>
    <t>SPLIT 1.5 T      V INVERTER</t>
  </si>
  <si>
    <t>SPLIT 1 T MILEXUS 220V</t>
  </si>
  <si>
    <t>SUPRESOR  AC</t>
  </si>
  <si>
    <t>SUPRESOR  DC</t>
  </si>
  <si>
    <t>TANQUE PARA COMBUSTIBLE 20 L</t>
  </si>
  <si>
    <t>TRANSFER 220V</t>
  </si>
  <si>
    <t>TUBOS LED 20W</t>
  </si>
  <si>
    <t>TV 43" KODAK</t>
  </si>
  <si>
    <t xml:space="preserve">VENTILADOR  RECARGABLE CON PANEL </t>
  </si>
  <si>
    <t>VENTILADOR DE PARED 18¨</t>
  </si>
  <si>
    <t>VENTILADOR DE PEDESTAL 18¨</t>
  </si>
  <si>
    <t>VENTILADOR DE TECHO 24" CON LUZ Y BOCINA BLUETOOTH</t>
  </si>
  <si>
    <t>VENTILADOR RECARGABLE 20000 MA F6</t>
  </si>
  <si>
    <t>VENTILADOR RECARGABLE F22</t>
  </si>
  <si>
    <t>HERRADURA</t>
  </si>
  <si>
    <t>BASES GRANDES PARA PANELES</t>
  </si>
  <si>
    <t>BATERIA JMD  12V 100 AH</t>
  </si>
  <si>
    <t>BATIDORA CRISTAL HOMESTAR</t>
  </si>
  <si>
    <t>BATIDORA CRISTAL MILEXUS 1.5L  696 G</t>
  </si>
  <si>
    <t>BATIDORA CRISTAL PREMIER 2 en 1</t>
  </si>
  <si>
    <t xml:space="preserve">BATIDORA PLASTICA MILEXUS </t>
  </si>
  <si>
    <t>BATIDORA ROYAL 2 en 1</t>
  </si>
  <si>
    <t xml:space="preserve">BICIBLETA 20 </t>
  </si>
  <si>
    <t xml:space="preserve">BICICLETA ELECTRICA </t>
  </si>
  <si>
    <t xml:space="preserve">BOCINA MILEXUS 8  PULGADAS   </t>
  </si>
  <si>
    <t>BREAKER DOBLE PASO</t>
  </si>
  <si>
    <t xml:space="preserve">BREAKER SENCILLO </t>
  </si>
  <si>
    <t>CABLE ELECTRICO 12 AWG NEGRO</t>
  </si>
  <si>
    <t>COLCHONES EKO</t>
  </si>
  <si>
    <t>COLCHONES PERSONAL</t>
  </si>
  <si>
    <t>CONECTOR MC4</t>
  </si>
  <si>
    <t>ESTACION ECOFLOW  DELTA 3 CLASIC</t>
  </si>
  <si>
    <t>ESTACION PECRON</t>
  </si>
  <si>
    <t>ESTACION ENERGIA OUPES</t>
  </si>
  <si>
    <t xml:space="preserve">ESCALERA PEQUEÑA 4 ESCALONES </t>
  </si>
  <si>
    <t>EXHIBIDOR  VERTICAL EKO 7 P</t>
  </si>
  <si>
    <t xml:space="preserve">FOGON DE GAS 3 QUEM CAFETERA METAL </t>
  </si>
  <si>
    <t xml:space="preserve">FOGON DE GAS CRISTAL RUDENKOV  </t>
  </si>
  <si>
    <t>FOGON DE PETROLEO MODELO 138</t>
  </si>
  <si>
    <t>FREIDORA AIRE 4.2  L MILEXUS</t>
  </si>
  <si>
    <t xml:space="preserve">INVERSOR  POWMR 6.2 KW </t>
  </si>
  <si>
    <t xml:space="preserve">INVERSOR  POWMR 6.5 KW </t>
  </si>
  <si>
    <t>INVERSOR  4KW 110V/220V</t>
  </si>
  <si>
    <t>INVERSOR  SUMRY 3.6K 24 V</t>
  </si>
  <si>
    <t>INVERSOR  SUMRY 4 KW</t>
  </si>
  <si>
    <t>INVERSOR  SUNPAL 10 KW</t>
  </si>
  <si>
    <t>INVERSOR  YINGFA 3.6KW 24 V</t>
  </si>
  <si>
    <t>INVERSOR SAKO 12 KW</t>
  </si>
  <si>
    <t xml:space="preserve">JUEGO DE VAJILLA DE PORCELANA 16 PIEZAS </t>
  </si>
  <si>
    <t>JUEGO DE CUBOS 12 PCS</t>
  </si>
  <si>
    <t xml:space="preserve">JUEGO DE 12 LLAVES </t>
  </si>
  <si>
    <t>LAMPARA RECARGABLE 60W</t>
  </si>
  <si>
    <t>LAMPARA SOLAR SOLAR SILVER LIHGT  200 W</t>
  </si>
  <si>
    <t xml:space="preserve">LAVADORA 7 KG EKO SEMIAUTOMATICA </t>
  </si>
  <si>
    <t>LAVADORA 7 KG SANKEY</t>
  </si>
  <si>
    <t>LAVADORA 9 KG MILEXUS SEMI. NEGRAS</t>
  </si>
  <si>
    <t>LAVADORA CHALLENGER 8KG SEMI</t>
  </si>
  <si>
    <t>LAVADORA AUTOMATICA 7.5 KG MILEXUS</t>
  </si>
  <si>
    <t xml:space="preserve">LAVADORA /SECADORA MILEXUS  10 KG AUTOMÁTICA </t>
  </si>
  <si>
    <t>LUZ LED EXTERIORES 100 W CON PANEL SOLA LIHGT</t>
  </si>
  <si>
    <t>MALETA DE CUBOS 37 PCS</t>
  </si>
  <si>
    <t>MAQUINA DE CAFE EXPESSO ROYAL</t>
  </si>
  <si>
    <t xml:space="preserve">MAQUINAS DE REFRIGERACIÓN </t>
  </si>
  <si>
    <t>NEVERA 11.2 PIES MILEXUS  319L</t>
  </si>
  <si>
    <t>NEVERA MILEXUS 4.2 119 L</t>
  </si>
  <si>
    <t xml:space="preserve">NEVERA ROYAL 3.5P  </t>
  </si>
  <si>
    <t xml:space="preserve">NEVERA ROYAL 3.5P </t>
  </si>
  <si>
    <t>OLLA REINA NIZZATO</t>
  </si>
  <si>
    <t>OLLA REINA  7L ESTELECTRIC</t>
  </si>
  <si>
    <t>PANELES 550 W</t>
  </si>
  <si>
    <t>PANELES 540 W</t>
  </si>
  <si>
    <t>PANELES 585 W</t>
  </si>
  <si>
    <t>PANELES 535 W</t>
  </si>
  <si>
    <t>PESA DIGITAL MARWA</t>
  </si>
  <si>
    <t xml:space="preserve">PRESURIZDOR SACO </t>
  </si>
  <si>
    <t>PROTECTOR DE VOLTAJE 110V</t>
  </si>
  <si>
    <t>PROTECTOR DE VOLTAJE 220V</t>
  </si>
  <si>
    <t>PROTECTOR DE VOLTAJE 120V  15 A</t>
  </si>
  <si>
    <t>REFRIGERADOR 9.1 PIES MILEXUS</t>
  </si>
  <si>
    <t>ROLLO DE CABLE COBRE Y ALUMINIO  NEGRO</t>
  </si>
  <si>
    <t xml:space="preserve">ROLLO DE CABLE COBRE Y ALUMINIO ROJO </t>
  </si>
  <si>
    <t>SALTENES 28 CM</t>
  </si>
  <si>
    <t xml:space="preserve">SANDWICHERA EKO </t>
  </si>
  <si>
    <t xml:space="preserve">SACOS DE CEMENTO SELLADO </t>
  </si>
  <si>
    <t xml:space="preserve">SACOS DE CEMENTO A GRANEL </t>
  </si>
  <si>
    <t xml:space="preserve">SECADORA A VAPOR EKO </t>
  </si>
  <si>
    <t xml:space="preserve">SILLA GIRATORIA </t>
  </si>
  <si>
    <t>SPLIT 1T MILEXUS 220 V</t>
  </si>
  <si>
    <t>SPLIT MILEXUS 1 T 110 VOLT</t>
  </si>
  <si>
    <t>TUBOS LED  DE 20 W</t>
  </si>
  <si>
    <t>TV 32" ROYAL</t>
  </si>
  <si>
    <t>VENTILADOR 3 EN 1</t>
  </si>
  <si>
    <t xml:space="preserve">VENTILADOR DE PARED DAWAN  18¨25W </t>
  </si>
  <si>
    <t>VENTILADOR DE TECHO INTELIGENTE NIZZATO</t>
  </si>
  <si>
    <t>VENTILADOR DE PEDESTAL  DAWAN 18¨</t>
  </si>
  <si>
    <t>VENTILADOR RECARGABLE  CON PANEL</t>
  </si>
  <si>
    <t xml:space="preserve">VENTILADOR RECARGABLE  F6 </t>
  </si>
  <si>
    <t>VENTILADOR RECARGABLE  F6</t>
  </si>
  <si>
    <t>VENTILADOR RECARGABLE MILEXUS DE PEDESTAL</t>
  </si>
  <si>
    <t>VENTILADOR ROYAL 30"</t>
  </si>
  <si>
    <t>TOTAL DE INVERSION</t>
  </si>
  <si>
    <t>TOTAL DE GASTO</t>
  </si>
  <si>
    <t>COSTO + GASTO</t>
  </si>
  <si>
    <t>MARGEN EN $</t>
  </si>
  <si>
    <t>MARGEN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</si>
</sst>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373"/>
  <sheetViews>
    <sheetView tabSelected="1" workbookViewId="0"/>
  </sheetViews>
  <sheetFormatPr baseColWidth="10" defaultColWidth="9.140625" defaultRowHeight="15" x14ac:dyDescent="0.25"/>
  <cols>
    <col min="2" max="2" width="50.42578125" bestFit="1" customWidth="1"/>
    <col min="3" max="3" width="11.140625" style="1" bestFit="1" customWidth="1"/>
    <col min="4" max="5" width="16.7109375" style="1" bestFit="1" customWidth="1"/>
    <col min="6" max="6" width="19.7109375" style="1" bestFit="1" customWidth="1"/>
    <col min="7" max="7" width="19" style="1" customWidth="1"/>
    <col min="8" max="8" width="18.42578125" style="1" customWidth="1"/>
    <col min="9" max="9" width="18.5703125" style="1" customWidth="1"/>
  </cols>
  <sheetData>
    <row r="3" spans="2:9" x14ac:dyDescent="0.25">
      <c r="B3" s="6" t="s">
        <v>0</v>
      </c>
      <c r="C3" s="6" t="s">
        <v>114</v>
      </c>
      <c r="D3" s="6" t="s">
        <v>115</v>
      </c>
      <c r="E3" s="6" t="s">
        <v>116</v>
      </c>
      <c r="F3" s="6" t="s">
        <v>314</v>
      </c>
      <c r="G3" s="6" t="s">
        <v>316</v>
      </c>
      <c r="H3" s="6" t="s">
        <v>317</v>
      </c>
      <c r="I3" s="6" t="s">
        <v>318</v>
      </c>
    </row>
    <row r="4" spans="2:9" x14ac:dyDescent="0.25">
      <c r="B4" s="7" t="s">
        <v>1</v>
      </c>
      <c r="C4" s="6"/>
      <c r="D4" s="6"/>
      <c r="E4" s="6"/>
      <c r="F4" s="6"/>
      <c r="G4" s="6"/>
      <c r="H4" s="6"/>
      <c r="I4" s="6"/>
    </row>
    <row r="5" spans="2:9" x14ac:dyDescent="0.25">
      <c r="B5" s="4" t="s">
        <v>2</v>
      </c>
      <c r="C5" s="2">
        <v>25</v>
      </c>
      <c r="D5" s="2">
        <v>27.61</v>
      </c>
      <c r="E5" s="2">
        <v>22</v>
      </c>
      <c r="F5" s="2">
        <f>C5*E5</f>
        <v>550</v>
      </c>
      <c r="G5" s="2">
        <f>E5+1.9</f>
        <v>23.9</v>
      </c>
      <c r="H5" s="2">
        <f>D5-G5</f>
        <v>3.7100000000000009</v>
      </c>
      <c r="I5" s="5">
        <f>(D5-G5)/(G5)*100</f>
        <v>15.52301255230126</v>
      </c>
    </row>
    <row r="6" spans="2:9" x14ac:dyDescent="0.25">
      <c r="B6" s="4" t="s">
        <v>3</v>
      </c>
      <c r="C6" s="2">
        <v>1</v>
      </c>
      <c r="D6" s="2">
        <v>900</v>
      </c>
      <c r="E6" s="2">
        <v>780</v>
      </c>
      <c r="F6" s="2">
        <f t="shared" ref="F6:F69" si="0">C6*E6</f>
        <v>780</v>
      </c>
      <c r="G6" s="2">
        <f t="shared" ref="G6:G69" si="1">E6+1.9</f>
        <v>781.9</v>
      </c>
      <c r="H6" s="2">
        <f t="shared" ref="H6:H69" si="2">D6-G6</f>
        <v>118.10000000000002</v>
      </c>
      <c r="I6" s="5">
        <f t="shared" ref="I6:I69" si="3">(D6-G6)/(G6)*100</f>
        <v>15.10423327791278</v>
      </c>
    </row>
    <row r="7" spans="2:9" x14ac:dyDescent="0.25">
      <c r="B7" s="4" t="s">
        <v>4</v>
      </c>
      <c r="C7" s="2">
        <v>4</v>
      </c>
      <c r="D7" s="2">
        <v>350</v>
      </c>
      <c r="E7" s="2">
        <v>280</v>
      </c>
      <c r="F7" s="2">
        <f t="shared" si="0"/>
        <v>1120</v>
      </c>
      <c r="G7" s="2">
        <f t="shared" si="1"/>
        <v>281.89999999999998</v>
      </c>
      <c r="H7" s="2">
        <f t="shared" si="2"/>
        <v>68.100000000000023</v>
      </c>
      <c r="I7" s="5">
        <f t="shared" si="3"/>
        <v>24.157502660517924</v>
      </c>
    </row>
    <row r="8" spans="2:9" x14ac:dyDescent="0.25">
      <c r="B8" s="4" t="s">
        <v>5</v>
      </c>
      <c r="C8" s="2">
        <v>1</v>
      </c>
      <c r="D8" s="2">
        <v>350</v>
      </c>
      <c r="E8" s="2">
        <v>300</v>
      </c>
      <c r="F8" s="2">
        <f t="shared" si="0"/>
        <v>300</v>
      </c>
      <c r="G8" s="2">
        <f t="shared" si="1"/>
        <v>301.89999999999998</v>
      </c>
      <c r="H8" s="2">
        <f t="shared" si="2"/>
        <v>48.100000000000023</v>
      </c>
      <c r="I8" s="5">
        <f t="shared" si="3"/>
        <v>15.932427956276921</v>
      </c>
    </row>
    <row r="9" spans="2:9" x14ac:dyDescent="0.25">
      <c r="B9" s="4" t="s">
        <v>6</v>
      </c>
      <c r="C9" s="2">
        <v>1</v>
      </c>
      <c r="D9" s="2">
        <v>2200</v>
      </c>
      <c r="E9" s="2">
        <v>1300</v>
      </c>
      <c r="F9" s="2">
        <f t="shared" si="0"/>
        <v>1300</v>
      </c>
      <c r="G9" s="2">
        <f t="shared" si="1"/>
        <v>1301.9000000000001</v>
      </c>
      <c r="H9" s="2">
        <f t="shared" si="2"/>
        <v>898.09999999999991</v>
      </c>
      <c r="I9" s="5">
        <f t="shared" si="3"/>
        <v>68.983792918042852</v>
      </c>
    </row>
    <row r="10" spans="2:9" x14ac:dyDescent="0.25">
      <c r="B10" s="4" t="s">
        <v>7</v>
      </c>
      <c r="C10" s="2">
        <v>8</v>
      </c>
      <c r="D10" s="2">
        <v>50</v>
      </c>
      <c r="E10" s="2">
        <v>30</v>
      </c>
      <c r="F10" s="2">
        <f t="shared" si="0"/>
        <v>240</v>
      </c>
      <c r="G10" s="2">
        <f t="shared" si="1"/>
        <v>31.9</v>
      </c>
      <c r="H10" s="2">
        <f t="shared" si="2"/>
        <v>18.100000000000001</v>
      </c>
      <c r="I10" s="5">
        <f t="shared" si="3"/>
        <v>56.739811912225711</v>
      </c>
    </row>
    <row r="11" spans="2:9" x14ac:dyDescent="0.25">
      <c r="B11" s="4" t="s">
        <v>8</v>
      </c>
      <c r="C11" s="2">
        <v>1</v>
      </c>
      <c r="D11" s="2">
        <v>20</v>
      </c>
      <c r="E11" s="2">
        <v>4.75</v>
      </c>
      <c r="F11" s="2">
        <f t="shared" si="0"/>
        <v>4.75</v>
      </c>
      <c r="G11" s="2">
        <f t="shared" si="1"/>
        <v>6.65</v>
      </c>
      <c r="H11" s="2">
        <f t="shared" si="2"/>
        <v>13.35</v>
      </c>
      <c r="I11" s="5">
        <f t="shared" si="3"/>
        <v>200.75187969924809</v>
      </c>
    </row>
    <row r="12" spans="2:9" x14ac:dyDescent="0.25">
      <c r="B12" s="4" t="s">
        <v>9</v>
      </c>
      <c r="C12" s="2">
        <v>1</v>
      </c>
      <c r="D12" s="2">
        <v>85</v>
      </c>
      <c r="E12" s="2">
        <v>20</v>
      </c>
      <c r="F12" s="2">
        <f t="shared" si="0"/>
        <v>20</v>
      </c>
      <c r="G12" s="2">
        <f t="shared" si="1"/>
        <v>21.9</v>
      </c>
      <c r="H12" s="2">
        <f t="shared" si="2"/>
        <v>63.1</v>
      </c>
      <c r="I12" s="5">
        <f t="shared" si="3"/>
        <v>288.12785388127855</v>
      </c>
    </row>
    <row r="13" spans="2:9" x14ac:dyDescent="0.25">
      <c r="B13" s="4" t="s">
        <v>10</v>
      </c>
      <c r="C13" s="2">
        <v>2</v>
      </c>
      <c r="D13" s="2">
        <v>190</v>
      </c>
      <c r="E13" s="2">
        <v>160</v>
      </c>
      <c r="F13" s="2">
        <f t="shared" si="0"/>
        <v>320</v>
      </c>
      <c r="G13" s="2">
        <f t="shared" si="1"/>
        <v>161.9</v>
      </c>
      <c r="H13" s="2">
        <f t="shared" si="2"/>
        <v>28.099999999999994</v>
      </c>
      <c r="I13" s="5">
        <f t="shared" si="3"/>
        <v>17.35639283508338</v>
      </c>
    </row>
    <row r="14" spans="2:9" x14ac:dyDescent="0.25">
      <c r="B14" s="4" t="s">
        <v>11</v>
      </c>
      <c r="C14" s="2">
        <v>1</v>
      </c>
      <c r="D14" s="2">
        <v>45</v>
      </c>
      <c r="E14" s="2">
        <v>30</v>
      </c>
      <c r="F14" s="2">
        <f t="shared" si="0"/>
        <v>30</v>
      </c>
      <c r="G14" s="2">
        <f t="shared" si="1"/>
        <v>31.9</v>
      </c>
      <c r="H14" s="2">
        <f t="shared" si="2"/>
        <v>13.100000000000001</v>
      </c>
      <c r="I14" s="5">
        <f t="shared" si="3"/>
        <v>41.065830721003145</v>
      </c>
    </row>
    <row r="15" spans="2:9" x14ac:dyDescent="0.25">
      <c r="B15" s="4" t="s">
        <v>12</v>
      </c>
      <c r="C15" s="2">
        <v>6</v>
      </c>
      <c r="D15" s="2">
        <v>130</v>
      </c>
      <c r="E15" s="2">
        <v>90</v>
      </c>
      <c r="F15" s="2">
        <f t="shared" si="0"/>
        <v>540</v>
      </c>
      <c r="G15" s="2">
        <f t="shared" si="1"/>
        <v>91.9</v>
      </c>
      <c r="H15" s="2">
        <f t="shared" si="2"/>
        <v>38.099999999999994</v>
      </c>
      <c r="I15" s="5">
        <f t="shared" si="3"/>
        <v>41.458106637649614</v>
      </c>
    </row>
    <row r="16" spans="2:9" x14ac:dyDescent="0.25">
      <c r="B16" s="4" t="s">
        <v>13</v>
      </c>
      <c r="C16" s="2">
        <v>5</v>
      </c>
      <c r="D16" s="2">
        <v>180</v>
      </c>
      <c r="E16" s="2">
        <v>147</v>
      </c>
      <c r="F16" s="2">
        <f t="shared" si="0"/>
        <v>735</v>
      </c>
      <c r="G16" s="2">
        <f t="shared" si="1"/>
        <v>148.9</v>
      </c>
      <c r="H16" s="2">
        <f t="shared" si="2"/>
        <v>31.099999999999994</v>
      </c>
      <c r="I16" s="5">
        <f t="shared" si="3"/>
        <v>20.886501007387505</v>
      </c>
    </row>
    <row r="17" spans="2:9" x14ac:dyDescent="0.25">
      <c r="B17" s="4" t="s">
        <v>14</v>
      </c>
      <c r="C17" s="2">
        <v>5</v>
      </c>
      <c r="D17" s="2">
        <v>180</v>
      </c>
      <c r="E17" s="2">
        <v>137</v>
      </c>
      <c r="F17" s="2">
        <f t="shared" si="0"/>
        <v>685</v>
      </c>
      <c r="G17" s="2">
        <f t="shared" si="1"/>
        <v>138.9</v>
      </c>
      <c r="H17" s="2">
        <f t="shared" si="2"/>
        <v>41.099999999999994</v>
      </c>
      <c r="I17" s="5">
        <f t="shared" si="3"/>
        <v>29.589632829373645</v>
      </c>
    </row>
    <row r="18" spans="2:9" x14ac:dyDescent="0.25">
      <c r="B18" s="4" t="s">
        <v>15</v>
      </c>
      <c r="C18" s="2">
        <v>2</v>
      </c>
      <c r="D18" s="2">
        <v>180</v>
      </c>
      <c r="E18" s="2">
        <v>143</v>
      </c>
      <c r="F18" s="2">
        <f t="shared" si="0"/>
        <v>286</v>
      </c>
      <c r="G18" s="2">
        <f t="shared" si="1"/>
        <v>144.9</v>
      </c>
      <c r="H18" s="2">
        <f t="shared" si="2"/>
        <v>35.099999999999994</v>
      </c>
      <c r="I18" s="5">
        <f t="shared" si="3"/>
        <v>24.223602484472046</v>
      </c>
    </row>
    <row r="19" spans="2:9" x14ac:dyDescent="0.25">
      <c r="B19" s="4" t="s">
        <v>16</v>
      </c>
      <c r="C19" s="2">
        <v>4</v>
      </c>
      <c r="D19" s="2">
        <v>180</v>
      </c>
      <c r="E19" s="2">
        <v>83</v>
      </c>
      <c r="F19" s="2">
        <f t="shared" si="0"/>
        <v>332</v>
      </c>
      <c r="G19" s="2">
        <f t="shared" si="1"/>
        <v>84.9</v>
      </c>
      <c r="H19" s="2">
        <f t="shared" si="2"/>
        <v>95.1</v>
      </c>
      <c r="I19" s="5">
        <f t="shared" si="3"/>
        <v>112.01413427561837</v>
      </c>
    </row>
    <row r="20" spans="2:9" x14ac:dyDescent="0.25">
      <c r="B20" s="4" t="s">
        <v>17</v>
      </c>
      <c r="C20" s="2">
        <v>1</v>
      </c>
      <c r="D20" s="2">
        <v>5</v>
      </c>
      <c r="E20" s="2">
        <v>1.75</v>
      </c>
      <c r="F20" s="2">
        <f t="shared" si="0"/>
        <v>1.75</v>
      </c>
      <c r="G20" s="2">
        <f t="shared" si="1"/>
        <v>3.65</v>
      </c>
      <c r="H20" s="2">
        <f t="shared" si="2"/>
        <v>1.35</v>
      </c>
      <c r="I20" s="5">
        <f t="shared" si="3"/>
        <v>36.986301369863014</v>
      </c>
    </row>
    <row r="21" spans="2:9" x14ac:dyDescent="0.25">
      <c r="B21" s="4" t="s">
        <v>18</v>
      </c>
      <c r="C21" s="2">
        <v>5</v>
      </c>
      <c r="D21" s="2">
        <v>45</v>
      </c>
      <c r="E21" s="2">
        <v>24</v>
      </c>
      <c r="F21" s="2">
        <f t="shared" si="0"/>
        <v>120</v>
      </c>
      <c r="G21" s="2">
        <f t="shared" si="1"/>
        <v>25.9</v>
      </c>
      <c r="H21" s="2">
        <f t="shared" si="2"/>
        <v>19.100000000000001</v>
      </c>
      <c r="I21" s="5">
        <f t="shared" si="3"/>
        <v>73.745173745173759</v>
      </c>
    </row>
    <row r="22" spans="2:9" x14ac:dyDescent="0.25">
      <c r="B22" s="4" t="s">
        <v>19</v>
      </c>
      <c r="C22" s="2">
        <v>3</v>
      </c>
      <c r="D22" s="2">
        <v>10</v>
      </c>
      <c r="E22" s="2">
        <v>7</v>
      </c>
      <c r="F22" s="2">
        <f t="shared" si="0"/>
        <v>21</v>
      </c>
      <c r="G22" s="2">
        <f t="shared" si="1"/>
        <v>8.9</v>
      </c>
      <c r="H22" s="2">
        <f t="shared" si="2"/>
        <v>1.0999999999999996</v>
      </c>
      <c r="I22" s="5">
        <f t="shared" si="3"/>
        <v>12.359550561797748</v>
      </c>
    </row>
    <row r="23" spans="2:9" x14ac:dyDescent="0.25">
      <c r="B23" s="4" t="s">
        <v>20</v>
      </c>
      <c r="C23" s="2">
        <v>10</v>
      </c>
      <c r="D23" s="2">
        <v>20</v>
      </c>
      <c r="E23" s="2">
        <v>13</v>
      </c>
      <c r="F23" s="2">
        <f t="shared" si="0"/>
        <v>130</v>
      </c>
      <c r="G23" s="2">
        <f t="shared" si="1"/>
        <v>14.9</v>
      </c>
      <c r="H23" s="2">
        <f t="shared" si="2"/>
        <v>5.0999999999999996</v>
      </c>
      <c r="I23" s="5">
        <f t="shared" si="3"/>
        <v>34.228187919463082</v>
      </c>
    </row>
    <row r="24" spans="2:9" x14ac:dyDescent="0.25">
      <c r="B24" s="4" t="s">
        <v>21</v>
      </c>
      <c r="C24" s="2">
        <v>1</v>
      </c>
      <c r="D24" s="2">
        <v>190</v>
      </c>
      <c r="E24" s="2">
        <v>150</v>
      </c>
      <c r="F24" s="2">
        <f t="shared" si="0"/>
        <v>150</v>
      </c>
      <c r="G24" s="2">
        <f t="shared" si="1"/>
        <v>151.9</v>
      </c>
      <c r="H24" s="2">
        <f t="shared" si="2"/>
        <v>38.099999999999994</v>
      </c>
      <c r="I24" s="5">
        <f t="shared" si="3"/>
        <v>25.082290980908489</v>
      </c>
    </row>
    <row r="25" spans="2:9" x14ac:dyDescent="0.25">
      <c r="B25" s="4" t="s">
        <v>22</v>
      </c>
      <c r="C25" s="2">
        <v>2</v>
      </c>
      <c r="D25" s="2">
        <v>36.409999999999997</v>
      </c>
      <c r="E25" s="2">
        <v>10</v>
      </c>
      <c r="F25" s="2">
        <f t="shared" si="0"/>
        <v>20</v>
      </c>
      <c r="G25" s="2">
        <f t="shared" si="1"/>
        <v>11.9</v>
      </c>
      <c r="H25" s="2">
        <f t="shared" si="2"/>
        <v>24.509999999999998</v>
      </c>
      <c r="I25" s="5">
        <f t="shared" si="3"/>
        <v>205.96638655462183</v>
      </c>
    </row>
    <row r="26" spans="2:9" x14ac:dyDescent="0.25">
      <c r="B26" s="4" t="s">
        <v>23</v>
      </c>
      <c r="C26" s="2">
        <v>1</v>
      </c>
      <c r="D26" s="2">
        <v>15</v>
      </c>
      <c r="E26" s="2">
        <v>4</v>
      </c>
      <c r="F26" s="2">
        <f t="shared" si="0"/>
        <v>4</v>
      </c>
      <c r="G26" s="2">
        <f t="shared" si="1"/>
        <v>5.9</v>
      </c>
      <c r="H26" s="2">
        <f t="shared" si="2"/>
        <v>9.1</v>
      </c>
      <c r="I26" s="5">
        <f t="shared" si="3"/>
        <v>154.23728813559322</v>
      </c>
    </row>
    <row r="27" spans="2:9" x14ac:dyDescent="0.25">
      <c r="B27" s="4" t="s">
        <v>24</v>
      </c>
      <c r="C27" s="2">
        <v>4</v>
      </c>
      <c r="D27" s="2">
        <v>70</v>
      </c>
      <c r="E27" s="2">
        <v>38</v>
      </c>
      <c r="F27" s="2">
        <f t="shared" si="0"/>
        <v>152</v>
      </c>
      <c r="G27" s="2">
        <f t="shared" si="1"/>
        <v>39.9</v>
      </c>
      <c r="H27" s="2">
        <f t="shared" si="2"/>
        <v>30.1</v>
      </c>
      <c r="I27" s="5">
        <f t="shared" si="3"/>
        <v>75.438596491228068</v>
      </c>
    </row>
    <row r="28" spans="2:9" x14ac:dyDescent="0.25">
      <c r="B28" s="4" t="s">
        <v>25</v>
      </c>
      <c r="C28" s="2">
        <v>4</v>
      </c>
      <c r="D28" s="2">
        <v>230</v>
      </c>
      <c r="E28" s="2">
        <v>170</v>
      </c>
      <c r="F28" s="2">
        <f t="shared" si="0"/>
        <v>680</v>
      </c>
      <c r="G28" s="2">
        <f t="shared" si="1"/>
        <v>171.9</v>
      </c>
      <c r="H28" s="2">
        <f t="shared" si="2"/>
        <v>58.099999999999994</v>
      </c>
      <c r="I28" s="5">
        <f t="shared" si="3"/>
        <v>33.798720186154732</v>
      </c>
    </row>
    <row r="29" spans="2:9" x14ac:dyDescent="0.25">
      <c r="B29" s="4" t="s">
        <v>26</v>
      </c>
      <c r="C29" s="2">
        <v>2</v>
      </c>
      <c r="D29" s="2">
        <v>1100</v>
      </c>
      <c r="E29" s="2">
        <v>750</v>
      </c>
      <c r="F29" s="2">
        <f t="shared" si="0"/>
        <v>1500</v>
      </c>
      <c r="G29" s="2">
        <f t="shared" si="1"/>
        <v>751.9</v>
      </c>
      <c r="H29" s="2">
        <f t="shared" si="2"/>
        <v>348.1</v>
      </c>
      <c r="I29" s="5">
        <f t="shared" si="3"/>
        <v>46.296050006649821</v>
      </c>
    </row>
    <row r="30" spans="2:9" x14ac:dyDescent="0.25">
      <c r="B30" s="4" t="s">
        <v>27</v>
      </c>
      <c r="C30" s="2">
        <v>3</v>
      </c>
      <c r="D30" s="2">
        <v>820</v>
      </c>
      <c r="E30" s="2">
        <v>680</v>
      </c>
      <c r="F30" s="2">
        <f t="shared" si="0"/>
        <v>2040</v>
      </c>
      <c r="G30" s="2">
        <f t="shared" si="1"/>
        <v>681.9</v>
      </c>
      <c r="H30" s="2">
        <f t="shared" si="2"/>
        <v>138.10000000000002</v>
      </c>
      <c r="I30" s="5">
        <f t="shared" si="3"/>
        <v>20.252236398298876</v>
      </c>
    </row>
    <row r="31" spans="2:9" x14ac:dyDescent="0.25">
      <c r="B31" s="4" t="s">
        <v>28</v>
      </c>
      <c r="C31" s="2">
        <v>1</v>
      </c>
      <c r="D31" s="2">
        <v>235</v>
      </c>
      <c r="E31" s="2">
        <v>220</v>
      </c>
      <c r="F31" s="2">
        <f t="shared" si="0"/>
        <v>220</v>
      </c>
      <c r="G31" s="2">
        <f t="shared" si="1"/>
        <v>221.9</v>
      </c>
      <c r="H31" s="2">
        <f t="shared" si="2"/>
        <v>13.099999999999994</v>
      </c>
      <c r="I31" s="5">
        <f t="shared" si="3"/>
        <v>5.9035601622352383</v>
      </c>
    </row>
    <row r="32" spans="2:9" x14ac:dyDescent="0.25">
      <c r="B32" s="4" t="s">
        <v>29</v>
      </c>
      <c r="C32" s="2">
        <v>1</v>
      </c>
      <c r="D32" s="2">
        <v>75</v>
      </c>
      <c r="E32" s="2">
        <v>42</v>
      </c>
      <c r="F32" s="2">
        <f t="shared" si="0"/>
        <v>42</v>
      </c>
      <c r="G32" s="2">
        <f t="shared" si="1"/>
        <v>43.9</v>
      </c>
      <c r="H32" s="2">
        <f t="shared" si="2"/>
        <v>31.1</v>
      </c>
      <c r="I32" s="5">
        <f t="shared" si="3"/>
        <v>70.842824601366743</v>
      </c>
    </row>
    <row r="33" spans="2:9" x14ac:dyDescent="0.25">
      <c r="B33" s="4" t="s">
        <v>30</v>
      </c>
      <c r="C33" s="2">
        <v>1</v>
      </c>
      <c r="D33" s="2">
        <v>125</v>
      </c>
      <c r="E33" s="2">
        <v>85</v>
      </c>
      <c r="F33" s="2">
        <f t="shared" si="0"/>
        <v>85</v>
      </c>
      <c r="G33" s="2">
        <f t="shared" si="1"/>
        <v>86.9</v>
      </c>
      <c r="H33" s="2">
        <f t="shared" si="2"/>
        <v>38.099999999999994</v>
      </c>
      <c r="I33" s="5">
        <f t="shared" si="3"/>
        <v>43.843498273878012</v>
      </c>
    </row>
    <row r="34" spans="2:9" x14ac:dyDescent="0.25">
      <c r="B34" s="4" t="s">
        <v>31</v>
      </c>
      <c r="C34" s="2">
        <v>1</v>
      </c>
      <c r="D34" s="2">
        <v>35</v>
      </c>
      <c r="E34" s="2">
        <v>30</v>
      </c>
      <c r="F34" s="2">
        <f t="shared" si="0"/>
        <v>30</v>
      </c>
      <c r="G34" s="2">
        <f t="shared" si="1"/>
        <v>31.9</v>
      </c>
      <c r="H34" s="2">
        <f t="shared" si="2"/>
        <v>3.1000000000000014</v>
      </c>
      <c r="I34" s="5">
        <f t="shared" si="3"/>
        <v>9.7178683385579987</v>
      </c>
    </row>
    <row r="35" spans="2:9" x14ac:dyDescent="0.25">
      <c r="B35" s="4" t="s">
        <v>32</v>
      </c>
      <c r="C35" s="2">
        <v>3</v>
      </c>
      <c r="D35" s="2">
        <v>35</v>
      </c>
      <c r="E35" s="2">
        <v>18</v>
      </c>
      <c r="F35" s="2">
        <f t="shared" si="0"/>
        <v>54</v>
      </c>
      <c r="G35" s="2">
        <f t="shared" si="1"/>
        <v>19.899999999999999</v>
      </c>
      <c r="H35" s="2">
        <f t="shared" si="2"/>
        <v>15.100000000000001</v>
      </c>
      <c r="I35" s="5">
        <f t="shared" si="3"/>
        <v>75.879396984924639</v>
      </c>
    </row>
    <row r="36" spans="2:9" x14ac:dyDescent="0.25">
      <c r="B36" s="4" t="s">
        <v>33</v>
      </c>
      <c r="C36" s="2">
        <v>1</v>
      </c>
      <c r="D36" s="2">
        <v>45</v>
      </c>
      <c r="E36" s="2">
        <v>25</v>
      </c>
      <c r="F36" s="2">
        <f t="shared" si="0"/>
        <v>25</v>
      </c>
      <c r="G36" s="2">
        <f t="shared" si="1"/>
        <v>26.9</v>
      </c>
      <c r="H36" s="2">
        <f t="shared" si="2"/>
        <v>18.100000000000001</v>
      </c>
      <c r="I36" s="5">
        <f t="shared" si="3"/>
        <v>67.286245353159856</v>
      </c>
    </row>
    <row r="37" spans="2:9" x14ac:dyDescent="0.25">
      <c r="B37" s="4" t="s">
        <v>34</v>
      </c>
      <c r="C37" s="2">
        <v>1</v>
      </c>
      <c r="D37" s="2">
        <v>45</v>
      </c>
      <c r="E37" s="2">
        <v>23</v>
      </c>
      <c r="F37" s="2">
        <f t="shared" si="0"/>
        <v>23</v>
      </c>
      <c r="G37" s="2">
        <f t="shared" si="1"/>
        <v>24.9</v>
      </c>
      <c r="H37" s="2">
        <f t="shared" si="2"/>
        <v>20.100000000000001</v>
      </c>
      <c r="I37" s="5">
        <f t="shared" si="3"/>
        <v>80.722891566265076</v>
      </c>
    </row>
    <row r="38" spans="2:9" x14ac:dyDescent="0.25">
      <c r="B38" s="4" t="s">
        <v>35</v>
      </c>
      <c r="C38" s="2">
        <v>1</v>
      </c>
      <c r="D38" s="2">
        <v>50</v>
      </c>
      <c r="E38" s="2">
        <v>30</v>
      </c>
      <c r="F38" s="2">
        <f t="shared" si="0"/>
        <v>30</v>
      </c>
      <c r="G38" s="2">
        <f t="shared" si="1"/>
        <v>31.9</v>
      </c>
      <c r="H38" s="2">
        <f t="shared" si="2"/>
        <v>18.100000000000001</v>
      </c>
      <c r="I38" s="5">
        <f t="shared" si="3"/>
        <v>56.739811912225711</v>
      </c>
    </row>
    <row r="39" spans="2:9" x14ac:dyDescent="0.25">
      <c r="B39" s="4" t="s">
        <v>36</v>
      </c>
      <c r="C39" s="2">
        <v>1</v>
      </c>
      <c r="D39" s="2">
        <v>50</v>
      </c>
      <c r="E39" s="2">
        <v>28</v>
      </c>
      <c r="F39" s="2">
        <f t="shared" si="0"/>
        <v>28</v>
      </c>
      <c r="G39" s="2">
        <f t="shared" si="1"/>
        <v>29.9</v>
      </c>
      <c r="H39" s="2">
        <f t="shared" si="2"/>
        <v>20.100000000000001</v>
      </c>
      <c r="I39" s="5">
        <f t="shared" si="3"/>
        <v>67.224080267558534</v>
      </c>
    </row>
    <row r="40" spans="2:9" x14ac:dyDescent="0.25">
      <c r="B40" s="4" t="s">
        <v>37</v>
      </c>
      <c r="C40" s="2">
        <v>2</v>
      </c>
      <c r="D40" s="2">
        <v>65</v>
      </c>
      <c r="E40" s="2">
        <v>45</v>
      </c>
      <c r="F40" s="2">
        <f t="shared" si="0"/>
        <v>90</v>
      </c>
      <c r="G40" s="2">
        <f t="shared" si="1"/>
        <v>46.9</v>
      </c>
      <c r="H40" s="2">
        <f t="shared" si="2"/>
        <v>18.100000000000001</v>
      </c>
      <c r="I40" s="5">
        <f t="shared" si="3"/>
        <v>38.592750533049049</v>
      </c>
    </row>
    <row r="41" spans="2:9" x14ac:dyDescent="0.25">
      <c r="B41" s="4" t="s">
        <v>38</v>
      </c>
      <c r="C41" s="2">
        <v>1</v>
      </c>
      <c r="D41" s="2">
        <v>550</v>
      </c>
      <c r="E41" s="2">
        <v>500</v>
      </c>
      <c r="F41" s="2">
        <f t="shared" si="0"/>
        <v>500</v>
      </c>
      <c r="G41" s="2">
        <f t="shared" si="1"/>
        <v>501.9</v>
      </c>
      <c r="H41" s="2">
        <f t="shared" si="2"/>
        <v>48.100000000000023</v>
      </c>
      <c r="I41" s="5">
        <f t="shared" si="3"/>
        <v>9.5835823869296721</v>
      </c>
    </row>
    <row r="42" spans="2:9" x14ac:dyDescent="0.25">
      <c r="B42" s="4" t="s">
        <v>39</v>
      </c>
      <c r="C42" s="2">
        <v>2</v>
      </c>
      <c r="D42" s="2">
        <v>500</v>
      </c>
      <c r="E42" s="2">
        <v>400</v>
      </c>
      <c r="F42" s="2">
        <f t="shared" si="0"/>
        <v>800</v>
      </c>
      <c r="G42" s="2">
        <f t="shared" si="1"/>
        <v>401.9</v>
      </c>
      <c r="H42" s="2">
        <f t="shared" si="2"/>
        <v>98.100000000000023</v>
      </c>
      <c r="I42" s="5">
        <f t="shared" si="3"/>
        <v>24.409056979348104</v>
      </c>
    </row>
    <row r="43" spans="2:9" x14ac:dyDescent="0.25">
      <c r="B43" s="4" t="s">
        <v>40</v>
      </c>
      <c r="C43" s="2">
        <v>1</v>
      </c>
      <c r="D43" s="2">
        <v>600</v>
      </c>
      <c r="E43" s="2">
        <v>500</v>
      </c>
      <c r="F43" s="2">
        <f t="shared" si="0"/>
        <v>500</v>
      </c>
      <c r="G43" s="2">
        <f t="shared" si="1"/>
        <v>501.9</v>
      </c>
      <c r="H43" s="2">
        <f t="shared" si="2"/>
        <v>98.100000000000023</v>
      </c>
      <c r="I43" s="5">
        <f t="shared" si="3"/>
        <v>19.545726240286914</v>
      </c>
    </row>
    <row r="44" spans="2:9" x14ac:dyDescent="0.25">
      <c r="B44" s="4" t="s">
        <v>41</v>
      </c>
      <c r="C44" s="2">
        <v>2</v>
      </c>
      <c r="D44" s="2">
        <v>10</v>
      </c>
      <c r="E44" s="2">
        <v>5</v>
      </c>
      <c r="F44" s="2">
        <f t="shared" si="0"/>
        <v>10</v>
      </c>
      <c r="G44" s="2">
        <f t="shared" si="1"/>
        <v>6.9</v>
      </c>
      <c r="H44" s="2">
        <f t="shared" si="2"/>
        <v>3.0999999999999996</v>
      </c>
      <c r="I44" s="5">
        <f t="shared" si="3"/>
        <v>44.927536231884055</v>
      </c>
    </row>
    <row r="45" spans="2:9" x14ac:dyDescent="0.25">
      <c r="B45" s="4" t="s">
        <v>42</v>
      </c>
      <c r="C45" s="2">
        <v>1</v>
      </c>
      <c r="D45" s="2">
        <v>130</v>
      </c>
      <c r="E45" s="2">
        <v>90</v>
      </c>
      <c r="F45" s="2">
        <f t="shared" si="0"/>
        <v>90</v>
      </c>
      <c r="G45" s="2">
        <f t="shared" si="1"/>
        <v>91.9</v>
      </c>
      <c r="H45" s="2">
        <f t="shared" si="2"/>
        <v>38.099999999999994</v>
      </c>
      <c r="I45" s="5">
        <f t="shared" si="3"/>
        <v>41.458106637649614</v>
      </c>
    </row>
    <row r="46" spans="2:9" x14ac:dyDescent="0.25">
      <c r="B46" s="4" t="s">
        <v>43</v>
      </c>
      <c r="C46" s="2">
        <v>4</v>
      </c>
      <c r="D46" s="2">
        <v>45</v>
      </c>
      <c r="E46" s="2">
        <v>30</v>
      </c>
      <c r="F46" s="2">
        <f t="shared" si="0"/>
        <v>120</v>
      </c>
      <c r="G46" s="2">
        <f t="shared" si="1"/>
        <v>31.9</v>
      </c>
      <c r="H46" s="2">
        <f t="shared" si="2"/>
        <v>13.100000000000001</v>
      </c>
      <c r="I46" s="5">
        <f t="shared" si="3"/>
        <v>41.065830721003145</v>
      </c>
    </row>
    <row r="47" spans="2:9" x14ac:dyDescent="0.25">
      <c r="B47" s="4" t="s">
        <v>44</v>
      </c>
      <c r="C47" s="2">
        <v>3</v>
      </c>
      <c r="D47" s="2">
        <v>600</v>
      </c>
      <c r="E47" s="2">
        <v>390</v>
      </c>
      <c r="F47" s="2">
        <f t="shared" si="0"/>
        <v>1170</v>
      </c>
      <c r="G47" s="2">
        <f t="shared" si="1"/>
        <v>391.9</v>
      </c>
      <c r="H47" s="2">
        <f t="shared" si="2"/>
        <v>208.10000000000002</v>
      </c>
      <c r="I47" s="5">
        <f t="shared" si="3"/>
        <v>53.100280683847934</v>
      </c>
    </row>
    <row r="48" spans="2:9" x14ac:dyDescent="0.25">
      <c r="B48" s="4" t="s">
        <v>45</v>
      </c>
      <c r="C48" s="2">
        <v>1</v>
      </c>
      <c r="D48" s="2">
        <v>380</v>
      </c>
      <c r="E48" s="2">
        <v>300</v>
      </c>
      <c r="F48" s="2">
        <f t="shared" si="0"/>
        <v>300</v>
      </c>
      <c r="G48" s="2">
        <f t="shared" si="1"/>
        <v>301.89999999999998</v>
      </c>
      <c r="H48" s="2">
        <f t="shared" si="2"/>
        <v>78.100000000000023</v>
      </c>
      <c r="I48" s="5">
        <f t="shared" si="3"/>
        <v>25.869493209672083</v>
      </c>
    </row>
    <row r="49" spans="2:9" x14ac:dyDescent="0.25">
      <c r="B49" s="4" t="s">
        <v>46</v>
      </c>
      <c r="C49" s="2">
        <v>1</v>
      </c>
      <c r="D49" s="2">
        <v>180</v>
      </c>
      <c r="E49" s="2">
        <v>150</v>
      </c>
      <c r="F49" s="2">
        <f t="shared" si="0"/>
        <v>150</v>
      </c>
      <c r="G49" s="2">
        <f t="shared" si="1"/>
        <v>151.9</v>
      </c>
      <c r="H49" s="2">
        <f t="shared" si="2"/>
        <v>28.099999999999994</v>
      </c>
      <c r="I49" s="5">
        <f t="shared" si="3"/>
        <v>18.499012508229093</v>
      </c>
    </row>
    <row r="50" spans="2:9" x14ac:dyDescent="0.25">
      <c r="B50" s="4" t="s">
        <v>47</v>
      </c>
      <c r="C50" s="2">
        <v>2</v>
      </c>
      <c r="D50" s="2">
        <v>265</v>
      </c>
      <c r="E50" s="2">
        <v>250</v>
      </c>
      <c r="F50" s="2">
        <f t="shared" si="0"/>
        <v>500</v>
      </c>
      <c r="G50" s="2">
        <f t="shared" si="1"/>
        <v>251.9</v>
      </c>
      <c r="H50" s="2">
        <f t="shared" si="2"/>
        <v>13.099999999999994</v>
      </c>
      <c r="I50" s="5">
        <f t="shared" si="3"/>
        <v>5.2004763795156785</v>
      </c>
    </row>
    <row r="51" spans="2:9" x14ac:dyDescent="0.25">
      <c r="B51" s="4" t="s">
        <v>48</v>
      </c>
      <c r="C51" s="2">
        <v>2</v>
      </c>
      <c r="D51" s="2">
        <v>225</v>
      </c>
      <c r="E51" s="2">
        <v>180</v>
      </c>
      <c r="F51" s="2">
        <f t="shared" si="0"/>
        <v>360</v>
      </c>
      <c r="G51" s="2">
        <f t="shared" si="1"/>
        <v>181.9</v>
      </c>
      <c r="H51" s="2">
        <f t="shared" si="2"/>
        <v>43.099999999999994</v>
      </c>
      <c r="I51" s="5">
        <f t="shared" si="3"/>
        <v>23.694337548103348</v>
      </c>
    </row>
    <row r="52" spans="2:9" x14ac:dyDescent="0.25">
      <c r="B52" s="4" t="s">
        <v>49</v>
      </c>
      <c r="C52" s="2">
        <v>1</v>
      </c>
      <c r="D52" s="2">
        <v>170</v>
      </c>
      <c r="E52" s="2">
        <v>150</v>
      </c>
      <c r="F52" s="2">
        <f t="shared" si="0"/>
        <v>150</v>
      </c>
      <c r="G52" s="2">
        <f t="shared" si="1"/>
        <v>151.9</v>
      </c>
      <c r="H52" s="2">
        <f t="shared" si="2"/>
        <v>18.099999999999994</v>
      </c>
      <c r="I52" s="5">
        <f t="shared" si="3"/>
        <v>11.915734035549699</v>
      </c>
    </row>
    <row r="53" spans="2:9" x14ac:dyDescent="0.25">
      <c r="B53" s="4" t="s">
        <v>50</v>
      </c>
      <c r="C53" s="2">
        <v>6</v>
      </c>
      <c r="D53" s="2">
        <v>200</v>
      </c>
      <c r="E53" s="2">
        <v>165</v>
      </c>
      <c r="F53" s="2">
        <f t="shared" si="0"/>
        <v>990</v>
      </c>
      <c r="G53" s="2">
        <f t="shared" si="1"/>
        <v>166.9</v>
      </c>
      <c r="H53" s="2">
        <f t="shared" si="2"/>
        <v>33.099999999999994</v>
      </c>
      <c r="I53" s="5">
        <f t="shared" si="3"/>
        <v>19.832234871180344</v>
      </c>
    </row>
    <row r="54" spans="2:9" x14ac:dyDescent="0.25">
      <c r="B54" s="4" t="s">
        <v>51</v>
      </c>
      <c r="C54" s="2">
        <v>9</v>
      </c>
      <c r="D54" s="2">
        <v>195</v>
      </c>
      <c r="E54" s="2">
        <v>165</v>
      </c>
      <c r="F54" s="2">
        <f t="shared" si="0"/>
        <v>1485</v>
      </c>
      <c r="G54" s="2">
        <f t="shared" si="1"/>
        <v>166.9</v>
      </c>
      <c r="H54" s="2">
        <f t="shared" si="2"/>
        <v>28.099999999999994</v>
      </c>
      <c r="I54" s="5">
        <f t="shared" si="3"/>
        <v>16.836428999400834</v>
      </c>
    </row>
    <row r="55" spans="2:9" x14ac:dyDescent="0.25">
      <c r="B55" s="4" t="s">
        <v>52</v>
      </c>
      <c r="C55" s="2">
        <v>2</v>
      </c>
      <c r="D55" s="2">
        <v>35</v>
      </c>
      <c r="E55" s="2">
        <v>30</v>
      </c>
      <c r="F55" s="2">
        <f t="shared" si="0"/>
        <v>60</v>
      </c>
      <c r="G55" s="2">
        <f t="shared" si="1"/>
        <v>31.9</v>
      </c>
      <c r="H55" s="2">
        <f t="shared" si="2"/>
        <v>3.1000000000000014</v>
      </c>
      <c r="I55" s="5">
        <f t="shared" si="3"/>
        <v>9.7178683385579987</v>
      </c>
    </row>
    <row r="56" spans="2:9" x14ac:dyDescent="0.25">
      <c r="B56" s="4" t="s">
        <v>53</v>
      </c>
      <c r="C56" s="2">
        <v>3</v>
      </c>
      <c r="D56" s="2">
        <v>40</v>
      </c>
      <c r="E56" s="2">
        <v>28</v>
      </c>
      <c r="F56" s="2">
        <f t="shared" si="0"/>
        <v>84</v>
      </c>
      <c r="G56" s="2">
        <f t="shared" si="1"/>
        <v>29.9</v>
      </c>
      <c r="H56" s="2">
        <f t="shared" si="2"/>
        <v>10.100000000000001</v>
      </c>
      <c r="I56" s="5">
        <f t="shared" si="3"/>
        <v>33.779264214046826</v>
      </c>
    </row>
    <row r="57" spans="2:9" x14ac:dyDescent="0.25">
      <c r="B57" s="4" t="s">
        <v>54</v>
      </c>
      <c r="C57" s="2">
        <v>5</v>
      </c>
      <c r="D57" s="2">
        <v>40</v>
      </c>
      <c r="E57" s="2">
        <v>30</v>
      </c>
      <c r="F57" s="2">
        <f t="shared" si="0"/>
        <v>150</v>
      </c>
      <c r="G57" s="2">
        <f t="shared" si="1"/>
        <v>31.9</v>
      </c>
      <c r="H57" s="2">
        <f t="shared" si="2"/>
        <v>8.1000000000000014</v>
      </c>
      <c r="I57" s="5">
        <f t="shared" si="3"/>
        <v>25.391849529780568</v>
      </c>
    </row>
    <row r="58" spans="2:9" x14ac:dyDescent="0.25">
      <c r="B58" s="4" t="s">
        <v>55</v>
      </c>
      <c r="C58" s="2">
        <v>8</v>
      </c>
      <c r="D58" s="2">
        <v>50</v>
      </c>
      <c r="E58" s="2">
        <v>30</v>
      </c>
      <c r="F58" s="2">
        <f t="shared" si="0"/>
        <v>240</v>
      </c>
      <c r="G58" s="2">
        <f t="shared" si="1"/>
        <v>31.9</v>
      </c>
      <c r="H58" s="2">
        <f t="shared" si="2"/>
        <v>18.100000000000001</v>
      </c>
      <c r="I58" s="5">
        <f t="shared" si="3"/>
        <v>56.739811912225711</v>
      </c>
    </row>
    <row r="59" spans="2:9" x14ac:dyDescent="0.25">
      <c r="B59" s="4" t="s">
        <v>56</v>
      </c>
      <c r="C59" s="2">
        <v>1</v>
      </c>
      <c r="D59" s="2">
        <v>100</v>
      </c>
      <c r="E59" s="2">
        <v>75</v>
      </c>
      <c r="F59" s="2">
        <f t="shared" si="0"/>
        <v>75</v>
      </c>
      <c r="G59" s="2">
        <f t="shared" si="1"/>
        <v>76.900000000000006</v>
      </c>
      <c r="H59" s="2">
        <f t="shared" si="2"/>
        <v>23.099999999999994</v>
      </c>
      <c r="I59" s="5">
        <f t="shared" si="3"/>
        <v>30.039011703511044</v>
      </c>
    </row>
    <row r="60" spans="2:9" x14ac:dyDescent="0.25">
      <c r="B60" s="4" t="s">
        <v>57</v>
      </c>
      <c r="C60" s="2">
        <v>5</v>
      </c>
      <c r="D60" s="2">
        <v>60</v>
      </c>
      <c r="E60" s="2">
        <v>40</v>
      </c>
      <c r="F60" s="2">
        <f t="shared" si="0"/>
        <v>200</v>
      </c>
      <c r="G60" s="2">
        <f t="shared" si="1"/>
        <v>41.9</v>
      </c>
      <c r="H60" s="2">
        <f t="shared" si="2"/>
        <v>18.100000000000001</v>
      </c>
      <c r="I60" s="5">
        <f t="shared" si="3"/>
        <v>43.198090692124111</v>
      </c>
    </row>
    <row r="61" spans="2:9" x14ac:dyDescent="0.25">
      <c r="B61" s="4" t="s">
        <v>58</v>
      </c>
      <c r="C61" s="2">
        <v>3</v>
      </c>
      <c r="D61" s="2">
        <v>110</v>
      </c>
      <c r="E61" s="2">
        <v>80</v>
      </c>
      <c r="F61" s="2">
        <f t="shared" si="0"/>
        <v>240</v>
      </c>
      <c r="G61" s="2">
        <f t="shared" si="1"/>
        <v>81.900000000000006</v>
      </c>
      <c r="H61" s="2">
        <f t="shared" si="2"/>
        <v>28.099999999999994</v>
      </c>
      <c r="I61" s="5">
        <f t="shared" si="3"/>
        <v>34.310134310134302</v>
      </c>
    </row>
    <row r="62" spans="2:9" x14ac:dyDescent="0.25">
      <c r="B62" s="4" t="s">
        <v>59</v>
      </c>
      <c r="C62" s="2">
        <v>1</v>
      </c>
      <c r="D62" s="2">
        <v>290</v>
      </c>
      <c r="E62" s="2">
        <v>210</v>
      </c>
      <c r="F62" s="2">
        <f t="shared" si="0"/>
        <v>210</v>
      </c>
      <c r="G62" s="2">
        <f t="shared" si="1"/>
        <v>211.9</v>
      </c>
      <c r="H62" s="2">
        <f t="shared" si="2"/>
        <v>78.099999999999994</v>
      </c>
      <c r="I62" s="5">
        <f t="shared" si="3"/>
        <v>36.857008022652195</v>
      </c>
    </row>
    <row r="63" spans="2:9" x14ac:dyDescent="0.25">
      <c r="B63" s="4" t="s">
        <v>60</v>
      </c>
      <c r="C63" s="2">
        <v>26</v>
      </c>
      <c r="D63" s="2">
        <v>190</v>
      </c>
      <c r="E63" s="2">
        <v>155</v>
      </c>
      <c r="F63" s="2">
        <f t="shared" si="0"/>
        <v>4030</v>
      </c>
      <c r="G63" s="2">
        <f t="shared" si="1"/>
        <v>156.9</v>
      </c>
      <c r="H63" s="2">
        <f t="shared" si="2"/>
        <v>33.099999999999994</v>
      </c>
      <c r="I63" s="5">
        <f t="shared" si="3"/>
        <v>21.096239643084765</v>
      </c>
    </row>
    <row r="64" spans="2:9" x14ac:dyDescent="0.25">
      <c r="B64" s="4" t="s">
        <v>61</v>
      </c>
      <c r="C64" s="2">
        <v>1</v>
      </c>
      <c r="D64" s="2">
        <v>150</v>
      </c>
      <c r="E64" s="2">
        <v>85</v>
      </c>
      <c r="F64" s="2">
        <f t="shared" si="0"/>
        <v>85</v>
      </c>
      <c r="G64" s="2">
        <f t="shared" si="1"/>
        <v>86.9</v>
      </c>
      <c r="H64" s="2">
        <f t="shared" si="2"/>
        <v>63.099999999999994</v>
      </c>
      <c r="I64" s="5">
        <f t="shared" si="3"/>
        <v>72.612197928653615</v>
      </c>
    </row>
    <row r="65" spans="2:9" x14ac:dyDescent="0.25">
      <c r="B65" s="4" t="s">
        <v>62</v>
      </c>
      <c r="C65" s="2">
        <v>49</v>
      </c>
      <c r="D65" s="2">
        <v>5</v>
      </c>
      <c r="E65" s="2">
        <v>2.2000000000000002</v>
      </c>
      <c r="F65" s="2">
        <f t="shared" si="0"/>
        <v>107.80000000000001</v>
      </c>
      <c r="G65" s="2">
        <f t="shared" si="1"/>
        <v>4.0999999999999996</v>
      </c>
      <c r="H65" s="2">
        <f t="shared" si="2"/>
        <v>0.90000000000000036</v>
      </c>
      <c r="I65" s="5">
        <f t="shared" si="3"/>
        <v>21.951219512195134</v>
      </c>
    </row>
    <row r="66" spans="2:9" x14ac:dyDescent="0.25">
      <c r="B66" s="4" t="s">
        <v>63</v>
      </c>
      <c r="C66" s="2">
        <v>2</v>
      </c>
      <c r="D66" s="2">
        <v>45</v>
      </c>
      <c r="E66" s="2">
        <v>23</v>
      </c>
      <c r="F66" s="2">
        <f t="shared" si="0"/>
        <v>46</v>
      </c>
      <c r="G66" s="2">
        <f t="shared" si="1"/>
        <v>24.9</v>
      </c>
      <c r="H66" s="2">
        <f t="shared" si="2"/>
        <v>20.100000000000001</v>
      </c>
      <c r="I66" s="5">
        <f t="shared" si="3"/>
        <v>80.722891566265076</v>
      </c>
    </row>
    <row r="67" spans="2:9" x14ac:dyDescent="0.25">
      <c r="B67" s="4" t="s">
        <v>64</v>
      </c>
      <c r="C67" s="2">
        <v>5</v>
      </c>
      <c r="D67" s="2">
        <v>40</v>
      </c>
      <c r="E67" s="2">
        <v>21</v>
      </c>
      <c r="F67" s="2">
        <f t="shared" si="0"/>
        <v>105</v>
      </c>
      <c r="G67" s="2">
        <f t="shared" si="1"/>
        <v>22.9</v>
      </c>
      <c r="H67" s="2">
        <f t="shared" si="2"/>
        <v>17.100000000000001</v>
      </c>
      <c r="I67" s="5">
        <f t="shared" si="3"/>
        <v>74.672489082969435</v>
      </c>
    </row>
    <row r="68" spans="2:9" x14ac:dyDescent="0.25">
      <c r="B68" s="4" t="s">
        <v>65</v>
      </c>
      <c r="C68" s="2">
        <v>2</v>
      </c>
      <c r="D68" s="2">
        <v>65</v>
      </c>
      <c r="E68" s="2">
        <v>40</v>
      </c>
      <c r="F68" s="2">
        <f t="shared" si="0"/>
        <v>80</v>
      </c>
      <c r="G68" s="2">
        <f t="shared" si="1"/>
        <v>41.9</v>
      </c>
      <c r="H68" s="2">
        <f t="shared" si="2"/>
        <v>23.1</v>
      </c>
      <c r="I68" s="5">
        <f t="shared" si="3"/>
        <v>55.131264916467785</v>
      </c>
    </row>
    <row r="69" spans="2:9" x14ac:dyDescent="0.25">
      <c r="B69" s="4" t="s">
        <v>66</v>
      </c>
      <c r="C69" s="2">
        <v>2</v>
      </c>
      <c r="D69" s="2">
        <v>65</v>
      </c>
      <c r="E69" s="2">
        <v>45</v>
      </c>
      <c r="F69" s="2">
        <f t="shared" si="0"/>
        <v>90</v>
      </c>
      <c r="G69" s="2">
        <f t="shared" si="1"/>
        <v>46.9</v>
      </c>
      <c r="H69" s="2">
        <f t="shared" si="2"/>
        <v>18.100000000000001</v>
      </c>
      <c r="I69" s="5">
        <f t="shared" si="3"/>
        <v>38.592750533049049</v>
      </c>
    </row>
    <row r="70" spans="2:9" x14ac:dyDescent="0.25">
      <c r="B70" s="4" t="s">
        <v>67</v>
      </c>
      <c r="C70" s="2">
        <v>16</v>
      </c>
      <c r="D70" s="2">
        <v>30</v>
      </c>
      <c r="E70" s="2">
        <v>17</v>
      </c>
      <c r="F70" s="2">
        <f t="shared" ref="F70:F116" si="4">C70*E70</f>
        <v>272</v>
      </c>
      <c r="G70" s="2">
        <f t="shared" ref="G70:G120" si="5">E70+1.9</f>
        <v>18.899999999999999</v>
      </c>
      <c r="H70" s="2">
        <f t="shared" ref="H70:H133" si="6">D70-G70</f>
        <v>11.100000000000001</v>
      </c>
      <c r="I70" s="5">
        <f t="shared" ref="I70:I116" si="7">(D70-G70)/(G70)*100</f>
        <v>58.730158730158742</v>
      </c>
    </row>
    <row r="71" spans="2:9" x14ac:dyDescent="0.25">
      <c r="B71" s="4" t="s">
        <v>68</v>
      </c>
      <c r="C71" s="2">
        <v>4</v>
      </c>
      <c r="D71" s="2">
        <v>60</v>
      </c>
      <c r="E71" s="2">
        <v>40</v>
      </c>
      <c r="F71" s="2">
        <f t="shared" si="4"/>
        <v>160</v>
      </c>
      <c r="G71" s="2">
        <f t="shared" si="5"/>
        <v>41.9</v>
      </c>
      <c r="H71" s="2">
        <f t="shared" si="6"/>
        <v>18.100000000000001</v>
      </c>
      <c r="I71" s="5">
        <f t="shared" si="7"/>
        <v>43.198090692124111</v>
      </c>
    </row>
    <row r="72" spans="2:9" x14ac:dyDescent="0.25">
      <c r="B72" s="4" t="s">
        <v>69</v>
      </c>
      <c r="C72" s="2">
        <v>10</v>
      </c>
      <c r="D72" s="2">
        <v>15</v>
      </c>
      <c r="E72" s="2">
        <v>10</v>
      </c>
      <c r="F72" s="2">
        <f t="shared" si="4"/>
        <v>100</v>
      </c>
      <c r="G72" s="2">
        <f t="shared" si="5"/>
        <v>11.9</v>
      </c>
      <c r="H72" s="2">
        <f t="shared" si="6"/>
        <v>3.0999999999999996</v>
      </c>
      <c r="I72" s="5">
        <f t="shared" si="7"/>
        <v>26.050420168067223</v>
      </c>
    </row>
    <row r="73" spans="2:9" x14ac:dyDescent="0.25">
      <c r="B73" s="4" t="s">
        <v>70</v>
      </c>
      <c r="C73" s="2">
        <v>10</v>
      </c>
      <c r="D73" s="2">
        <v>18</v>
      </c>
      <c r="E73" s="2">
        <v>12.5</v>
      </c>
      <c r="F73" s="2">
        <f t="shared" si="4"/>
        <v>125</v>
      </c>
      <c r="G73" s="2">
        <f t="shared" si="5"/>
        <v>14.4</v>
      </c>
      <c r="H73" s="2">
        <f t="shared" si="6"/>
        <v>3.5999999999999996</v>
      </c>
      <c r="I73" s="5">
        <f t="shared" si="7"/>
        <v>24.999999999999996</v>
      </c>
    </row>
    <row r="74" spans="2:9" x14ac:dyDescent="0.25">
      <c r="B74" s="4" t="s">
        <v>71</v>
      </c>
      <c r="C74" s="2">
        <v>12</v>
      </c>
      <c r="D74" s="2">
        <v>10</v>
      </c>
      <c r="E74" s="2">
        <v>4.5</v>
      </c>
      <c r="F74" s="2">
        <f t="shared" si="4"/>
        <v>54</v>
      </c>
      <c r="G74" s="2">
        <f t="shared" si="5"/>
        <v>6.4</v>
      </c>
      <c r="H74" s="2">
        <f t="shared" si="6"/>
        <v>3.5999999999999996</v>
      </c>
      <c r="I74" s="5">
        <f t="shared" si="7"/>
        <v>56.249999999999986</v>
      </c>
    </row>
    <row r="75" spans="2:9" x14ac:dyDescent="0.25">
      <c r="B75" s="4" t="s">
        <v>72</v>
      </c>
      <c r="C75" s="2">
        <v>1</v>
      </c>
      <c r="D75" s="2">
        <v>60</v>
      </c>
      <c r="E75" s="2">
        <v>35</v>
      </c>
      <c r="F75" s="2">
        <f t="shared" si="4"/>
        <v>35</v>
      </c>
      <c r="G75" s="2">
        <f t="shared" si="5"/>
        <v>36.9</v>
      </c>
      <c r="H75" s="2">
        <f t="shared" si="6"/>
        <v>23.1</v>
      </c>
      <c r="I75" s="5">
        <f t="shared" si="7"/>
        <v>62.60162601626017</v>
      </c>
    </row>
    <row r="76" spans="2:9" x14ac:dyDescent="0.25">
      <c r="B76" s="4" t="s">
        <v>73</v>
      </c>
      <c r="C76" s="2">
        <v>5</v>
      </c>
      <c r="D76" s="2">
        <v>20</v>
      </c>
      <c r="E76" s="2">
        <v>14</v>
      </c>
      <c r="F76" s="2">
        <f t="shared" si="4"/>
        <v>70</v>
      </c>
      <c r="G76" s="2">
        <f t="shared" si="5"/>
        <v>15.9</v>
      </c>
      <c r="H76" s="2">
        <f t="shared" si="6"/>
        <v>4.0999999999999996</v>
      </c>
      <c r="I76" s="5">
        <f t="shared" si="7"/>
        <v>25.786163522012579</v>
      </c>
    </row>
    <row r="77" spans="2:9" x14ac:dyDescent="0.25">
      <c r="B77" s="4" t="s">
        <v>74</v>
      </c>
      <c r="C77" s="2">
        <v>5</v>
      </c>
      <c r="D77" s="2">
        <v>20</v>
      </c>
      <c r="E77" s="2">
        <v>14</v>
      </c>
      <c r="F77" s="2">
        <f t="shared" si="4"/>
        <v>70</v>
      </c>
      <c r="G77" s="2">
        <f t="shared" si="5"/>
        <v>15.9</v>
      </c>
      <c r="H77" s="2">
        <f t="shared" si="6"/>
        <v>4.0999999999999996</v>
      </c>
      <c r="I77" s="5">
        <f t="shared" si="7"/>
        <v>25.786163522012579</v>
      </c>
    </row>
    <row r="78" spans="2:9" x14ac:dyDescent="0.25">
      <c r="B78" s="4" t="s">
        <v>75</v>
      </c>
      <c r="C78" s="2">
        <v>5</v>
      </c>
      <c r="D78" s="2">
        <v>10</v>
      </c>
      <c r="E78" s="2">
        <v>6</v>
      </c>
      <c r="F78" s="2">
        <f t="shared" si="4"/>
        <v>30</v>
      </c>
      <c r="G78" s="2">
        <f t="shared" si="5"/>
        <v>7.9</v>
      </c>
      <c r="H78" s="2">
        <f t="shared" si="6"/>
        <v>2.0999999999999996</v>
      </c>
      <c r="I78" s="5">
        <f t="shared" si="7"/>
        <v>26.582278481012651</v>
      </c>
    </row>
    <row r="79" spans="2:9" x14ac:dyDescent="0.25">
      <c r="B79" s="4" t="s">
        <v>76</v>
      </c>
      <c r="C79" s="2">
        <v>12</v>
      </c>
      <c r="D79" s="2">
        <v>280</v>
      </c>
      <c r="E79" s="2">
        <v>250</v>
      </c>
      <c r="F79" s="2">
        <f t="shared" si="4"/>
        <v>3000</v>
      </c>
      <c r="G79" s="2">
        <f t="shared" si="5"/>
        <v>251.9</v>
      </c>
      <c r="H79" s="2">
        <f t="shared" si="6"/>
        <v>28.099999999999994</v>
      </c>
      <c r="I79" s="5">
        <f t="shared" si="7"/>
        <v>11.155220325525999</v>
      </c>
    </row>
    <row r="80" spans="2:9" x14ac:dyDescent="0.25">
      <c r="B80" s="4" t="s">
        <v>77</v>
      </c>
      <c r="C80" s="2">
        <v>22</v>
      </c>
      <c r="D80" s="2">
        <v>280</v>
      </c>
      <c r="E80" s="2">
        <v>250</v>
      </c>
      <c r="F80" s="2">
        <f t="shared" si="4"/>
        <v>5500</v>
      </c>
      <c r="G80" s="2">
        <f t="shared" si="5"/>
        <v>251.9</v>
      </c>
      <c r="H80" s="2">
        <f t="shared" si="6"/>
        <v>28.099999999999994</v>
      </c>
      <c r="I80" s="5">
        <f t="shared" si="7"/>
        <v>11.155220325525999</v>
      </c>
    </row>
    <row r="81" spans="2:9" x14ac:dyDescent="0.25">
      <c r="B81" s="4" t="s">
        <v>78</v>
      </c>
      <c r="C81" s="2">
        <v>88</v>
      </c>
      <c r="D81" s="2">
        <v>270</v>
      </c>
      <c r="E81" s="2">
        <v>210</v>
      </c>
      <c r="F81" s="2">
        <f t="shared" si="4"/>
        <v>18480</v>
      </c>
      <c r="G81" s="2">
        <f t="shared" si="5"/>
        <v>211.9</v>
      </c>
      <c r="H81" s="2">
        <f t="shared" si="6"/>
        <v>58.099999999999994</v>
      </c>
      <c r="I81" s="5">
        <f t="shared" si="7"/>
        <v>27.418593676262386</v>
      </c>
    </row>
    <row r="82" spans="2:9" x14ac:dyDescent="0.25">
      <c r="B82" s="4" t="s">
        <v>79</v>
      </c>
      <c r="C82" s="2">
        <v>2</v>
      </c>
      <c r="D82" s="2">
        <v>65</v>
      </c>
      <c r="E82" s="2">
        <v>35</v>
      </c>
      <c r="F82" s="2">
        <f t="shared" si="4"/>
        <v>70</v>
      </c>
      <c r="G82" s="2">
        <f t="shared" si="5"/>
        <v>36.9</v>
      </c>
      <c r="H82" s="2">
        <f t="shared" si="6"/>
        <v>28.1</v>
      </c>
      <c r="I82" s="5">
        <f t="shared" si="7"/>
        <v>76.151761517615185</v>
      </c>
    </row>
    <row r="83" spans="2:9" x14ac:dyDescent="0.25">
      <c r="B83" s="4" t="s">
        <v>80</v>
      </c>
      <c r="C83" s="2">
        <v>3</v>
      </c>
      <c r="D83" s="2">
        <v>395</v>
      </c>
      <c r="E83" s="2">
        <v>320</v>
      </c>
      <c r="F83" s="2">
        <f t="shared" si="4"/>
        <v>960</v>
      </c>
      <c r="G83" s="2">
        <f t="shared" si="5"/>
        <v>321.89999999999998</v>
      </c>
      <c r="H83" s="2">
        <f t="shared" si="6"/>
        <v>73.100000000000023</v>
      </c>
      <c r="I83" s="5">
        <f t="shared" si="7"/>
        <v>22.708915812364097</v>
      </c>
    </row>
    <row r="84" spans="2:9" x14ac:dyDescent="0.25">
      <c r="B84" s="4" t="s">
        <v>81</v>
      </c>
      <c r="C84" s="2">
        <v>3</v>
      </c>
      <c r="D84" s="2">
        <v>850</v>
      </c>
      <c r="E84" s="2">
        <v>680</v>
      </c>
      <c r="F84" s="2">
        <f t="shared" si="4"/>
        <v>2040</v>
      </c>
      <c r="G84" s="2">
        <f t="shared" si="5"/>
        <v>681.9</v>
      </c>
      <c r="H84" s="2">
        <f t="shared" si="6"/>
        <v>168.10000000000002</v>
      </c>
      <c r="I84" s="5">
        <f t="shared" si="7"/>
        <v>24.651708461651271</v>
      </c>
    </row>
    <row r="85" spans="2:9" x14ac:dyDescent="0.25">
      <c r="B85" s="4" t="s">
        <v>82</v>
      </c>
      <c r="C85" s="2">
        <v>2</v>
      </c>
      <c r="D85" s="2">
        <v>500</v>
      </c>
      <c r="E85" s="2">
        <v>390</v>
      </c>
      <c r="F85" s="2">
        <f t="shared" si="4"/>
        <v>780</v>
      </c>
      <c r="G85" s="2">
        <f t="shared" si="5"/>
        <v>391.9</v>
      </c>
      <c r="H85" s="2">
        <f t="shared" si="6"/>
        <v>108.10000000000002</v>
      </c>
      <c r="I85" s="5">
        <f t="shared" si="7"/>
        <v>27.583567236539942</v>
      </c>
    </row>
    <row r="86" spans="2:9" x14ac:dyDescent="0.25">
      <c r="B86" s="4" t="s">
        <v>83</v>
      </c>
      <c r="C86" s="2">
        <v>3</v>
      </c>
      <c r="D86" s="2">
        <v>30</v>
      </c>
      <c r="E86" s="2">
        <v>16</v>
      </c>
      <c r="F86" s="2">
        <f t="shared" si="4"/>
        <v>48</v>
      </c>
      <c r="G86" s="2">
        <f t="shared" si="5"/>
        <v>17.899999999999999</v>
      </c>
      <c r="H86" s="2">
        <f t="shared" si="6"/>
        <v>12.100000000000001</v>
      </c>
      <c r="I86" s="5">
        <f t="shared" si="7"/>
        <v>67.597765363128502</v>
      </c>
    </row>
    <row r="87" spans="2:9" x14ac:dyDescent="0.25">
      <c r="B87" s="4" t="s">
        <v>84</v>
      </c>
      <c r="C87" s="2">
        <v>4</v>
      </c>
      <c r="D87" s="2">
        <v>310</v>
      </c>
      <c r="E87" s="2">
        <v>260</v>
      </c>
      <c r="F87" s="2">
        <f t="shared" si="4"/>
        <v>1040</v>
      </c>
      <c r="G87" s="2">
        <f t="shared" si="5"/>
        <v>261.89999999999998</v>
      </c>
      <c r="H87" s="2">
        <f t="shared" si="6"/>
        <v>48.100000000000023</v>
      </c>
      <c r="I87" s="5">
        <f t="shared" si="7"/>
        <v>18.365788468881263</v>
      </c>
    </row>
    <row r="88" spans="2:9" x14ac:dyDescent="0.25">
      <c r="B88" s="4" t="s">
        <v>85</v>
      </c>
      <c r="C88" s="2">
        <v>1</v>
      </c>
      <c r="D88" s="2">
        <v>20</v>
      </c>
      <c r="E88" s="2">
        <v>12</v>
      </c>
      <c r="F88" s="2">
        <f t="shared" si="4"/>
        <v>12</v>
      </c>
      <c r="G88" s="2">
        <f t="shared" si="5"/>
        <v>13.9</v>
      </c>
      <c r="H88" s="2">
        <f t="shared" si="6"/>
        <v>6.1</v>
      </c>
      <c r="I88" s="5">
        <f t="shared" si="7"/>
        <v>43.884892086330929</v>
      </c>
    </row>
    <row r="89" spans="2:9" x14ac:dyDescent="0.25">
      <c r="B89" s="4" t="s">
        <v>86</v>
      </c>
      <c r="C89" s="2">
        <v>1</v>
      </c>
      <c r="D89" s="2">
        <v>20</v>
      </c>
      <c r="E89" s="2">
        <v>12</v>
      </c>
      <c r="F89" s="2">
        <f t="shared" si="4"/>
        <v>12</v>
      </c>
      <c r="G89" s="2">
        <f t="shared" si="5"/>
        <v>13.9</v>
      </c>
      <c r="H89" s="2">
        <f t="shared" si="6"/>
        <v>6.1</v>
      </c>
      <c r="I89" s="5">
        <f t="shared" si="7"/>
        <v>43.884892086330929</v>
      </c>
    </row>
    <row r="90" spans="2:9" x14ac:dyDescent="0.25">
      <c r="B90" s="4" t="s">
        <v>87</v>
      </c>
      <c r="C90" s="2">
        <v>8</v>
      </c>
      <c r="D90" s="2">
        <v>300</v>
      </c>
      <c r="E90" s="2">
        <v>260</v>
      </c>
      <c r="F90" s="2">
        <f t="shared" si="4"/>
        <v>2080</v>
      </c>
      <c r="G90" s="2">
        <f t="shared" si="5"/>
        <v>261.89999999999998</v>
      </c>
      <c r="H90" s="2">
        <f t="shared" si="6"/>
        <v>38.100000000000023</v>
      </c>
      <c r="I90" s="5">
        <f t="shared" si="7"/>
        <v>14.547537227949608</v>
      </c>
    </row>
    <row r="91" spans="2:9" x14ac:dyDescent="0.25">
      <c r="B91" s="4" t="s">
        <v>88</v>
      </c>
      <c r="C91" s="2">
        <v>3</v>
      </c>
      <c r="D91" s="2">
        <v>520</v>
      </c>
      <c r="E91" s="2">
        <v>310</v>
      </c>
      <c r="F91" s="2">
        <f t="shared" si="4"/>
        <v>930</v>
      </c>
      <c r="G91" s="2">
        <f t="shared" si="5"/>
        <v>311.89999999999998</v>
      </c>
      <c r="H91" s="2">
        <f t="shared" si="6"/>
        <v>208.10000000000002</v>
      </c>
      <c r="I91" s="5">
        <f t="shared" si="7"/>
        <v>66.720102596986237</v>
      </c>
    </row>
    <row r="92" spans="2:9" x14ac:dyDescent="0.25">
      <c r="B92" s="4" t="s">
        <v>89</v>
      </c>
      <c r="C92" s="2">
        <v>1</v>
      </c>
      <c r="D92" s="2">
        <v>260</v>
      </c>
      <c r="E92" s="2">
        <v>145</v>
      </c>
      <c r="F92" s="2">
        <f t="shared" si="4"/>
        <v>145</v>
      </c>
      <c r="G92" s="2">
        <f t="shared" si="5"/>
        <v>146.9</v>
      </c>
      <c r="H92" s="2">
        <f t="shared" si="6"/>
        <v>113.1</v>
      </c>
      <c r="I92" s="5">
        <f t="shared" si="7"/>
        <v>76.991150442477874</v>
      </c>
    </row>
    <row r="93" spans="2:9" x14ac:dyDescent="0.25">
      <c r="B93" s="4" t="s">
        <v>90</v>
      </c>
      <c r="C93" s="2">
        <v>3</v>
      </c>
      <c r="D93" s="2">
        <v>80</v>
      </c>
      <c r="E93" s="2">
        <v>50</v>
      </c>
      <c r="F93" s="2">
        <f t="shared" si="4"/>
        <v>150</v>
      </c>
      <c r="G93" s="2">
        <f t="shared" si="5"/>
        <v>51.9</v>
      </c>
      <c r="H93" s="2">
        <f t="shared" si="6"/>
        <v>28.1</v>
      </c>
      <c r="I93" s="5">
        <f t="shared" si="7"/>
        <v>54.142581888246632</v>
      </c>
    </row>
    <row r="94" spans="2:9" x14ac:dyDescent="0.25">
      <c r="B94" s="4" t="s">
        <v>91</v>
      </c>
      <c r="C94" s="2">
        <v>1</v>
      </c>
      <c r="D94" s="2">
        <v>165</v>
      </c>
      <c r="E94" s="2">
        <v>135</v>
      </c>
      <c r="F94" s="2">
        <f t="shared" si="4"/>
        <v>135</v>
      </c>
      <c r="G94" s="2">
        <f t="shared" si="5"/>
        <v>136.9</v>
      </c>
      <c r="H94" s="2">
        <f t="shared" si="6"/>
        <v>28.099999999999994</v>
      </c>
      <c r="I94" s="5">
        <f t="shared" si="7"/>
        <v>20.525931336742143</v>
      </c>
    </row>
    <row r="95" spans="2:9" x14ac:dyDescent="0.25">
      <c r="B95" s="4" t="s">
        <v>92</v>
      </c>
      <c r="C95" s="2">
        <v>9</v>
      </c>
      <c r="D95" s="2">
        <v>5</v>
      </c>
      <c r="E95" s="2">
        <v>3.2</v>
      </c>
      <c r="F95" s="2">
        <f t="shared" si="4"/>
        <v>28.8</v>
      </c>
      <c r="G95" s="2">
        <f t="shared" si="5"/>
        <v>5.0999999999999996</v>
      </c>
      <c r="H95" s="2">
        <f t="shared" si="6"/>
        <v>-9.9999999999999645E-2</v>
      </c>
      <c r="I95" s="5">
        <f t="shared" si="7"/>
        <v>-1.9607843137254832</v>
      </c>
    </row>
    <row r="96" spans="2:9" x14ac:dyDescent="0.25">
      <c r="B96" s="4" t="s">
        <v>93</v>
      </c>
      <c r="C96" s="2">
        <v>2</v>
      </c>
      <c r="D96" s="2">
        <v>280</v>
      </c>
      <c r="E96" s="2">
        <v>220</v>
      </c>
      <c r="F96" s="2">
        <f t="shared" si="4"/>
        <v>440</v>
      </c>
      <c r="G96" s="2">
        <f t="shared" si="5"/>
        <v>221.9</v>
      </c>
      <c r="H96" s="2">
        <f t="shared" si="6"/>
        <v>58.099999999999994</v>
      </c>
      <c r="I96" s="5">
        <f t="shared" si="7"/>
        <v>26.18296529968454</v>
      </c>
    </row>
    <row r="97" spans="2:9" x14ac:dyDescent="0.25">
      <c r="B97" s="4" t="s">
        <v>94</v>
      </c>
      <c r="C97" s="2">
        <v>2</v>
      </c>
      <c r="D97" s="2">
        <v>240</v>
      </c>
      <c r="E97" s="2">
        <v>180</v>
      </c>
      <c r="F97" s="2">
        <f t="shared" si="4"/>
        <v>360</v>
      </c>
      <c r="G97" s="2">
        <f t="shared" si="5"/>
        <v>181.9</v>
      </c>
      <c r="H97" s="2">
        <f t="shared" si="6"/>
        <v>58.099999999999994</v>
      </c>
      <c r="I97" s="5">
        <f t="shared" si="7"/>
        <v>31.940626717976905</v>
      </c>
    </row>
    <row r="98" spans="2:9" x14ac:dyDescent="0.25">
      <c r="B98" s="4" t="s">
        <v>95</v>
      </c>
      <c r="C98" s="2">
        <v>2</v>
      </c>
      <c r="D98" s="2">
        <v>220</v>
      </c>
      <c r="E98" s="2">
        <v>160</v>
      </c>
      <c r="F98" s="2">
        <f t="shared" si="4"/>
        <v>320</v>
      </c>
      <c r="G98" s="2">
        <f t="shared" si="5"/>
        <v>161.9</v>
      </c>
      <c r="H98" s="2">
        <f t="shared" si="6"/>
        <v>58.099999999999994</v>
      </c>
      <c r="I98" s="5">
        <f t="shared" si="7"/>
        <v>35.886349598517597</v>
      </c>
    </row>
    <row r="99" spans="2:9" x14ac:dyDescent="0.25">
      <c r="B99" s="4" t="s">
        <v>96</v>
      </c>
      <c r="C99" s="2">
        <v>8</v>
      </c>
      <c r="D99" s="2">
        <v>20</v>
      </c>
      <c r="E99" s="2">
        <v>12</v>
      </c>
      <c r="F99" s="2">
        <f t="shared" si="4"/>
        <v>96</v>
      </c>
      <c r="G99" s="2">
        <f t="shared" si="5"/>
        <v>13.9</v>
      </c>
      <c r="H99" s="2">
        <f t="shared" si="6"/>
        <v>6.1</v>
      </c>
      <c r="I99" s="5">
        <f t="shared" si="7"/>
        <v>43.884892086330929</v>
      </c>
    </row>
    <row r="100" spans="2:9" x14ac:dyDescent="0.25">
      <c r="B100" s="4" t="s">
        <v>97</v>
      </c>
      <c r="C100" s="2">
        <v>24</v>
      </c>
      <c r="D100" s="2">
        <v>5</v>
      </c>
      <c r="E100" s="2">
        <v>2.8</v>
      </c>
      <c r="F100" s="2">
        <f t="shared" si="4"/>
        <v>67.199999999999989</v>
      </c>
      <c r="G100" s="2">
        <f t="shared" si="5"/>
        <v>4.6999999999999993</v>
      </c>
      <c r="H100" s="2">
        <f t="shared" si="6"/>
        <v>0.30000000000000071</v>
      </c>
      <c r="I100" s="5">
        <f t="shared" si="7"/>
        <v>6.3829787234042712</v>
      </c>
    </row>
    <row r="101" spans="2:9" x14ac:dyDescent="0.25">
      <c r="B101" s="4" t="s">
        <v>98</v>
      </c>
      <c r="C101" s="2">
        <v>12</v>
      </c>
      <c r="D101" s="2">
        <v>45</v>
      </c>
      <c r="E101" s="2">
        <v>22</v>
      </c>
      <c r="F101" s="2">
        <f t="shared" si="4"/>
        <v>264</v>
      </c>
      <c r="G101" s="2">
        <f t="shared" si="5"/>
        <v>23.9</v>
      </c>
      <c r="H101" s="2">
        <f t="shared" si="6"/>
        <v>21.1</v>
      </c>
      <c r="I101" s="5">
        <f t="shared" si="7"/>
        <v>88.284518828451894</v>
      </c>
    </row>
    <row r="102" spans="2:9" x14ac:dyDescent="0.25">
      <c r="B102" s="4" t="s">
        <v>99</v>
      </c>
      <c r="C102" s="2">
        <v>2</v>
      </c>
      <c r="D102" s="2">
        <v>140</v>
      </c>
      <c r="E102" s="2">
        <v>100</v>
      </c>
      <c r="F102" s="2">
        <f t="shared" si="4"/>
        <v>200</v>
      </c>
      <c r="G102" s="2">
        <f t="shared" si="5"/>
        <v>101.9</v>
      </c>
      <c r="H102" s="2">
        <f t="shared" si="6"/>
        <v>38.099999999999994</v>
      </c>
      <c r="I102" s="5">
        <f t="shared" si="7"/>
        <v>37.389597644749742</v>
      </c>
    </row>
    <row r="103" spans="2:9" x14ac:dyDescent="0.25">
      <c r="B103" s="4" t="s">
        <v>100</v>
      </c>
      <c r="C103" s="2">
        <v>20</v>
      </c>
      <c r="D103" s="2">
        <v>110</v>
      </c>
      <c r="E103" s="2">
        <v>70</v>
      </c>
      <c r="F103" s="2">
        <f t="shared" si="4"/>
        <v>1400</v>
      </c>
      <c r="G103" s="2">
        <f t="shared" si="5"/>
        <v>71.900000000000006</v>
      </c>
      <c r="H103" s="2">
        <f t="shared" si="6"/>
        <v>38.099999999999994</v>
      </c>
      <c r="I103" s="5">
        <f t="shared" si="7"/>
        <v>52.990264255910979</v>
      </c>
    </row>
    <row r="104" spans="2:9" x14ac:dyDescent="0.25">
      <c r="B104" s="4" t="s">
        <v>101</v>
      </c>
      <c r="C104" s="2">
        <v>2</v>
      </c>
      <c r="D104" s="2">
        <v>75</v>
      </c>
      <c r="E104" s="2">
        <v>44.5</v>
      </c>
      <c r="F104" s="2">
        <f t="shared" si="4"/>
        <v>89</v>
      </c>
      <c r="G104" s="2">
        <f t="shared" si="5"/>
        <v>46.4</v>
      </c>
      <c r="H104" s="2">
        <f t="shared" si="6"/>
        <v>28.6</v>
      </c>
      <c r="I104" s="5">
        <f t="shared" si="7"/>
        <v>61.637931034482762</v>
      </c>
    </row>
    <row r="105" spans="2:9" x14ac:dyDescent="0.25">
      <c r="B105" s="4" t="s">
        <v>102</v>
      </c>
      <c r="C105" s="2">
        <v>15</v>
      </c>
      <c r="D105" s="2">
        <v>45</v>
      </c>
      <c r="E105" s="2">
        <v>18</v>
      </c>
      <c r="F105" s="2">
        <f t="shared" si="4"/>
        <v>270</v>
      </c>
      <c r="G105" s="2">
        <f t="shared" si="5"/>
        <v>19.899999999999999</v>
      </c>
      <c r="H105" s="2">
        <f t="shared" si="6"/>
        <v>25.1</v>
      </c>
      <c r="I105" s="5">
        <f t="shared" si="7"/>
        <v>126.13065326633168</v>
      </c>
    </row>
    <row r="106" spans="2:9" x14ac:dyDescent="0.25">
      <c r="B106" s="4" t="s">
        <v>103</v>
      </c>
      <c r="C106" s="2">
        <v>1</v>
      </c>
      <c r="D106" s="2">
        <v>45</v>
      </c>
      <c r="E106" s="2">
        <v>30</v>
      </c>
      <c r="F106" s="2">
        <f t="shared" si="4"/>
        <v>30</v>
      </c>
      <c r="G106" s="2">
        <f t="shared" si="5"/>
        <v>31.9</v>
      </c>
      <c r="H106" s="2">
        <f t="shared" si="6"/>
        <v>13.100000000000001</v>
      </c>
      <c r="I106" s="5">
        <f t="shared" si="7"/>
        <v>41.065830721003145</v>
      </c>
    </row>
    <row r="107" spans="2:9" x14ac:dyDescent="0.25">
      <c r="B107" s="4" t="s">
        <v>104</v>
      </c>
      <c r="C107" s="2">
        <v>2</v>
      </c>
      <c r="D107" s="2">
        <v>50</v>
      </c>
      <c r="E107" s="2">
        <v>40</v>
      </c>
      <c r="F107" s="2">
        <f t="shared" si="4"/>
        <v>80</v>
      </c>
      <c r="G107" s="2">
        <f t="shared" si="5"/>
        <v>41.9</v>
      </c>
      <c r="H107" s="2">
        <f t="shared" si="6"/>
        <v>8.1000000000000014</v>
      </c>
      <c r="I107" s="5">
        <f t="shared" si="7"/>
        <v>19.331742243436757</v>
      </c>
    </row>
    <row r="108" spans="2:9" x14ac:dyDescent="0.25">
      <c r="B108" s="4" t="s">
        <v>105</v>
      </c>
      <c r="C108" s="2">
        <v>3</v>
      </c>
      <c r="D108" s="2">
        <v>180</v>
      </c>
      <c r="E108" s="2">
        <v>147</v>
      </c>
      <c r="F108" s="2">
        <f t="shared" si="4"/>
        <v>441</v>
      </c>
      <c r="G108" s="2">
        <f t="shared" si="5"/>
        <v>148.9</v>
      </c>
      <c r="H108" s="2">
        <f t="shared" si="6"/>
        <v>31.099999999999994</v>
      </c>
      <c r="I108" s="5">
        <f t="shared" si="7"/>
        <v>20.886501007387505</v>
      </c>
    </row>
    <row r="109" spans="2:9" x14ac:dyDescent="0.25">
      <c r="B109" s="4" t="s">
        <v>106</v>
      </c>
      <c r="C109" s="2">
        <v>1</v>
      </c>
      <c r="D109" s="2">
        <v>500</v>
      </c>
      <c r="E109" s="2">
        <v>440</v>
      </c>
      <c r="F109" s="2">
        <f t="shared" si="4"/>
        <v>440</v>
      </c>
      <c r="G109" s="2">
        <f t="shared" si="5"/>
        <v>441.9</v>
      </c>
      <c r="H109" s="2">
        <f t="shared" si="6"/>
        <v>58.100000000000023</v>
      </c>
      <c r="I109" s="5">
        <f t="shared" si="7"/>
        <v>13.147770988911525</v>
      </c>
    </row>
    <row r="110" spans="2:9" x14ac:dyDescent="0.25">
      <c r="B110" s="4" t="s">
        <v>107</v>
      </c>
      <c r="C110" s="2">
        <v>10</v>
      </c>
      <c r="D110" s="2">
        <v>100</v>
      </c>
      <c r="E110" s="2">
        <v>70</v>
      </c>
      <c r="F110" s="2">
        <f t="shared" si="4"/>
        <v>700</v>
      </c>
      <c r="G110" s="2">
        <f t="shared" si="5"/>
        <v>71.900000000000006</v>
      </c>
      <c r="H110" s="2">
        <f t="shared" si="6"/>
        <v>28.099999999999994</v>
      </c>
      <c r="I110" s="5">
        <f t="shared" si="7"/>
        <v>39.08205841446452</v>
      </c>
    </row>
    <row r="111" spans="2:9" x14ac:dyDescent="0.25">
      <c r="B111" s="4" t="s">
        <v>108</v>
      </c>
      <c r="C111" s="2">
        <v>2</v>
      </c>
      <c r="D111" s="2">
        <v>780</v>
      </c>
      <c r="E111" s="2">
        <v>610</v>
      </c>
      <c r="F111" s="2">
        <f t="shared" si="4"/>
        <v>1220</v>
      </c>
      <c r="G111" s="2">
        <f t="shared" si="5"/>
        <v>611.9</v>
      </c>
      <c r="H111" s="2">
        <f t="shared" si="6"/>
        <v>168.10000000000002</v>
      </c>
      <c r="I111" s="5">
        <f t="shared" si="7"/>
        <v>27.47180911913712</v>
      </c>
    </row>
    <row r="112" spans="2:9" x14ac:dyDescent="0.25">
      <c r="B112" s="4" t="s">
        <v>109</v>
      </c>
      <c r="C112" s="2">
        <v>1</v>
      </c>
      <c r="D112" s="2">
        <v>600</v>
      </c>
      <c r="E112" s="2">
        <v>520</v>
      </c>
      <c r="F112" s="2">
        <f t="shared" si="4"/>
        <v>520</v>
      </c>
      <c r="G112" s="2">
        <f t="shared" si="5"/>
        <v>521.9</v>
      </c>
      <c r="H112" s="2">
        <f t="shared" si="6"/>
        <v>78.100000000000023</v>
      </c>
      <c r="I112" s="5">
        <f t="shared" si="7"/>
        <v>14.964552596282818</v>
      </c>
    </row>
    <row r="113" spans="2:9" x14ac:dyDescent="0.25">
      <c r="B113" s="4" t="s">
        <v>110</v>
      </c>
      <c r="C113" s="2">
        <v>3</v>
      </c>
      <c r="D113" s="2">
        <v>450</v>
      </c>
      <c r="E113" s="2">
        <v>370</v>
      </c>
      <c r="F113" s="2">
        <f t="shared" si="4"/>
        <v>1110</v>
      </c>
      <c r="G113" s="2">
        <f t="shared" si="5"/>
        <v>371.9</v>
      </c>
      <c r="H113" s="2">
        <f t="shared" si="6"/>
        <v>78.100000000000023</v>
      </c>
      <c r="I113" s="5">
        <f t="shared" si="7"/>
        <v>21.000268889486428</v>
      </c>
    </row>
    <row r="114" spans="2:9" x14ac:dyDescent="0.25">
      <c r="B114" s="4" t="s">
        <v>111</v>
      </c>
      <c r="C114" s="2">
        <v>10</v>
      </c>
      <c r="D114" s="2">
        <v>70</v>
      </c>
      <c r="E114" s="2">
        <v>46</v>
      </c>
      <c r="F114" s="2">
        <f t="shared" si="4"/>
        <v>460</v>
      </c>
      <c r="G114" s="2">
        <f t="shared" si="5"/>
        <v>47.9</v>
      </c>
      <c r="H114" s="2">
        <f t="shared" si="6"/>
        <v>22.1</v>
      </c>
      <c r="I114" s="5">
        <f t="shared" si="7"/>
        <v>46.137787056367436</v>
      </c>
    </row>
    <row r="115" spans="2:9" x14ac:dyDescent="0.25">
      <c r="B115" s="4" t="s">
        <v>112</v>
      </c>
      <c r="C115" s="2">
        <v>1</v>
      </c>
      <c r="D115" s="2">
        <v>850</v>
      </c>
      <c r="E115" s="2">
        <v>780</v>
      </c>
      <c r="F115" s="2">
        <f t="shared" si="4"/>
        <v>780</v>
      </c>
      <c r="G115" s="2">
        <f t="shared" si="5"/>
        <v>781.9</v>
      </c>
      <c r="H115" s="2">
        <f t="shared" si="6"/>
        <v>68.100000000000023</v>
      </c>
      <c r="I115" s="5">
        <f t="shared" si="7"/>
        <v>8.7095536513620697</v>
      </c>
    </row>
    <row r="116" spans="2:9" x14ac:dyDescent="0.25">
      <c r="B116" s="4" t="s">
        <v>113</v>
      </c>
      <c r="C116" s="2">
        <v>27</v>
      </c>
      <c r="D116" s="2">
        <v>180</v>
      </c>
      <c r="E116" s="2">
        <v>130</v>
      </c>
      <c r="F116" s="2">
        <f t="shared" si="4"/>
        <v>3510</v>
      </c>
      <c r="G116" s="2">
        <f t="shared" si="5"/>
        <v>131.9</v>
      </c>
      <c r="H116" s="2">
        <f t="shared" si="6"/>
        <v>48.099999999999994</v>
      </c>
      <c r="I116" s="5">
        <f t="shared" si="7"/>
        <v>36.467020470053065</v>
      </c>
    </row>
    <row r="117" spans="2:9" x14ac:dyDescent="0.25">
      <c r="F117" s="1">
        <f>SUM(F5:F116)</f>
        <v>74740.3</v>
      </c>
    </row>
    <row r="118" spans="2:9" x14ac:dyDescent="0.25">
      <c r="D118" s="1" t="s">
        <v>315</v>
      </c>
      <c r="E118" s="1">
        <v>1470</v>
      </c>
      <c r="F118" s="1">
        <f>E118/F117</f>
        <v>1.9668104088423514E-2</v>
      </c>
    </row>
    <row r="119" spans="2:9" x14ac:dyDescent="0.25">
      <c r="F119" s="1">
        <f>F118*100</f>
        <v>1.9668104088423515</v>
      </c>
    </row>
    <row r="120" spans="2:9" x14ac:dyDescent="0.25">
      <c r="F120" s="1">
        <v>1.9</v>
      </c>
    </row>
    <row r="122" spans="2:9" x14ac:dyDescent="0.25">
      <c r="B122" s="3" t="s">
        <v>117</v>
      </c>
      <c r="C122" s="2"/>
      <c r="D122" s="2"/>
      <c r="E122" s="2"/>
      <c r="F122" s="2"/>
      <c r="G122" s="2"/>
      <c r="H122" s="2"/>
      <c r="I122" s="2"/>
    </row>
    <row r="123" spans="2:9" x14ac:dyDescent="0.25">
      <c r="B123" s="4" t="s">
        <v>118</v>
      </c>
      <c r="C123" s="2">
        <v>8</v>
      </c>
      <c r="D123" s="2">
        <v>320</v>
      </c>
      <c r="E123" s="2">
        <v>280</v>
      </c>
      <c r="F123" s="2">
        <f>C123*E123</f>
        <v>2240</v>
      </c>
      <c r="G123" s="2">
        <f>E123+1.6</f>
        <v>281.60000000000002</v>
      </c>
      <c r="H123" s="2">
        <f t="shared" si="6"/>
        <v>38.399999999999977</v>
      </c>
      <c r="I123" s="5">
        <f t="shared" ref="I70:I133" si="8">(D123-G123)/(G123)*100</f>
        <v>13.636363636363628</v>
      </c>
    </row>
    <row r="124" spans="2:9" x14ac:dyDescent="0.25">
      <c r="B124" s="4" t="s">
        <v>119</v>
      </c>
      <c r="C124" s="2">
        <v>1</v>
      </c>
      <c r="D124" s="2">
        <v>40</v>
      </c>
      <c r="E124" s="2">
        <v>30</v>
      </c>
      <c r="F124" s="2">
        <f t="shared" ref="F124:F187" si="9">C124*E124</f>
        <v>30</v>
      </c>
      <c r="G124" s="2">
        <f t="shared" ref="G124:G187" si="10">E124+1.6</f>
        <v>31.6</v>
      </c>
      <c r="H124" s="2">
        <f t="shared" si="6"/>
        <v>8.3999999999999986</v>
      </c>
      <c r="I124" s="5">
        <f t="shared" si="8"/>
        <v>26.582278481012651</v>
      </c>
    </row>
    <row r="125" spans="2:9" x14ac:dyDescent="0.25">
      <c r="B125" s="4" t="s">
        <v>120</v>
      </c>
      <c r="C125" s="2">
        <v>1</v>
      </c>
      <c r="D125" s="2">
        <v>39</v>
      </c>
      <c r="E125" s="2">
        <v>28</v>
      </c>
      <c r="F125" s="2">
        <f t="shared" si="9"/>
        <v>28</v>
      </c>
      <c r="G125" s="2">
        <f t="shared" si="10"/>
        <v>29.6</v>
      </c>
      <c r="H125" s="2">
        <f t="shared" si="6"/>
        <v>9.3999999999999986</v>
      </c>
      <c r="I125" s="5">
        <f t="shared" si="8"/>
        <v>31.756756756756747</v>
      </c>
    </row>
    <row r="126" spans="2:9" x14ac:dyDescent="0.25">
      <c r="B126" s="4" t="s">
        <v>121</v>
      </c>
      <c r="C126" s="2">
        <v>1</v>
      </c>
      <c r="D126" s="2">
        <v>50</v>
      </c>
      <c r="E126" s="2">
        <v>25</v>
      </c>
      <c r="F126" s="2">
        <f t="shared" si="9"/>
        <v>25</v>
      </c>
      <c r="G126" s="2">
        <f t="shared" si="10"/>
        <v>26.6</v>
      </c>
      <c r="H126" s="2">
        <f t="shared" si="6"/>
        <v>23.4</v>
      </c>
      <c r="I126" s="5">
        <f t="shared" si="8"/>
        <v>87.969924812030058</v>
      </c>
    </row>
    <row r="127" spans="2:9" x14ac:dyDescent="0.25">
      <c r="B127" s="4" t="s">
        <v>122</v>
      </c>
      <c r="C127" s="2">
        <v>3</v>
      </c>
      <c r="D127" s="2">
        <v>35</v>
      </c>
      <c r="E127" s="2">
        <v>20</v>
      </c>
      <c r="F127" s="2">
        <f t="shared" si="9"/>
        <v>60</v>
      </c>
      <c r="G127" s="2">
        <f t="shared" si="10"/>
        <v>21.6</v>
      </c>
      <c r="H127" s="2">
        <f t="shared" si="6"/>
        <v>13.399999999999999</v>
      </c>
      <c r="I127" s="5">
        <f t="shared" si="8"/>
        <v>62.037037037037024</v>
      </c>
    </row>
    <row r="128" spans="2:9" x14ac:dyDescent="0.25">
      <c r="B128" s="4" t="s">
        <v>123</v>
      </c>
      <c r="C128" s="2">
        <v>2</v>
      </c>
      <c r="D128" s="2">
        <v>130</v>
      </c>
      <c r="E128" s="2">
        <v>83</v>
      </c>
      <c r="F128" s="2">
        <f t="shared" si="9"/>
        <v>166</v>
      </c>
      <c r="G128" s="2">
        <f t="shared" si="10"/>
        <v>84.6</v>
      </c>
      <c r="H128" s="2">
        <f t="shared" si="6"/>
        <v>45.400000000000006</v>
      </c>
      <c r="I128" s="5">
        <f t="shared" si="8"/>
        <v>53.664302600472823</v>
      </c>
    </row>
    <row r="129" spans="2:9" x14ac:dyDescent="0.25">
      <c r="B129" s="4" t="s">
        <v>124</v>
      </c>
      <c r="C129" s="2">
        <v>4</v>
      </c>
      <c r="D129" s="2">
        <v>180</v>
      </c>
      <c r="E129" s="2">
        <v>147</v>
      </c>
      <c r="F129" s="2">
        <f t="shared" si="9"/>
        <v>588</v>
      </c>
      <c r="G129" s="2">
        <f t="shared" si="10"/>
        <v>148.6</v>
      </c>
      <c r="H129" s="2">
        <f t="shared" si="6"/>
        <v>31.400000000000006</v>
      </c>
      <c r="I129" s="5">
        <f t="shared" si="8"/>
        <v>21.130551816958281</v>
      </c>
    </row>
    <row r="130" spans="2:9" x14ac:dyDescent="0.25">
      <c r="B130" s="4" t="s">
        <v>125</v>
      </c>
      <c r="C130" s="2">
        <v>2</v>
      </c>
      <c r="D130" s="2">
        <v>185</v>
      </c>
      <c r="E130" s="2">
        <v>143</v>
      </c>
      <c r="F130" s="2">
        <f t="shared" si="9"/>
        <v>286</v>
      </c>
      <c r="G130" s="2">
        <f t="shared" si="10"/>
        <v>144.6</v>
      </c>
      <c r="H130" s="2">
        <f t="shared" si="6"/>
        <v>40.400000000000006</v>
      </c>
      <c r="I130" s="5">
        <f t="shared" si="8"/>
        <v>27.939142461964046</v>
      </c>
    </row>
    <row r="131" spans="2:9" x14ac:dyDescent="0.25">
      <c r="B131" s="4" t="s">
        <v>126</v>
      </c>
      <c r="C131" s="2">
        <v>5</v>
      </c>
      <c r="D131" s="2">
        <v>185</v>
      </c>
      <c r="E131" s="2">
        <v>137</v>
      </c>
      <c r="F131" s="2">
        <f t="shared" si="9"/>
        <v>685</v>
      </c>
      <c r="G131" s="2">
        <f t="shared" si="10"/>
        <v>138.6</v>
      </c>
      <c r="H131" s="2">
        <f t="shared" si="6"/>
        <v>46.400000000000006</v>
      </c>
      <c r="I131" s="5">
        <f t="shared" si="8"/>
        <v>33.477633477633482</v>
      </c>
    </row>
    <row r="132" spans="2:9" x14ac:dyDescent="0.25">
      <c r="B132" s="4" t="s">
        <v>127</v>
      </c>
      <c r="C132" s="2">
        <v>5</v>
      </c>
      <c r="D132" s="2">
        <v>180</v>
      </c>
      <c r="E132" s="2">
        <v>147</v>
      </c>
      <c r="F132" s="2">
        <f t="shared" si="9"/>
        <v>735</v>
      </c>
      <c r="G132" s="2">
        <f t="shared" si="10"/>
        <v>148.6</v>
      </c>
      <c r="H132" s="2">
        <f t="shared" si="6"/>
        <v>31.400000000000006</v>
      </c>
      <c r="I132" s="5">
        <f t="shared" si="8"/>
        <v>21.130551816958281</v>
      </c>
    </row>
    <row r="133" spans="2:9" x14ac:dyDescent="0.25">
      <c r="B133" s="4" t="s">
        <v>128</v>
      </c>
      <c r="C133" s="2">
        <v>5</v>
      </c>
      <c r="D133" s="2">
        <v>185</v>
      </c>
      <c r="E133" s="2">
        <v>128</v>
      </c>
      <c r="F133" s="2">
        <f t="shared" si="9"/>
        <v>640</v>
      </c>
      <c r="G133" s="2">
        <f t="shared" si="10"/>
        <v>129.6</v>
      </c>
      <c r="H133" s="2">
        <f t="shared" si="6"/>
        <v>55.400000000000006</v>
      </c>
      <c r="I133" s="5">
        <f t="shared" si="8"/>
        <v>42.746913580246918</v>
      </c>
    </row>
    <row r="134" spans="2:9" x14ac:dyDescent="0.25">
      <c r="B134" s="4" t="s">
        <v>129</v>
      </c>
      <c r="C134" s="2">
        <v>10</v>
      </c>
      <c r="D134" s="2">
        <v>130</v>
      </c>
      <c r="E134" s="2">
        <v>90</v>
      </c>
      <c r="F134" s="2">
        <f t="shared" si="9"/>
        <v>900</v>
      </c>
      <c r="G134" s="2">
        <f t="shared" si="10"/>
        <v>91.6</v>
      </c>
      <c r="H134" s="2">
        <f t="shared" ref="H134:H197" si="11">D134-G134</f>
        <v>38.400000000000006</v>
      </c>
      <c r="I134" s="5">
        <f t="shared" ref="I134:I197" si="12">(D134-G134)/(G134)*100</f>
        <v>41.921397379912676</v>
      </c>
    </row>
    <row r="135" spans="2:9" x14ac:dyDescent="0.25">
      <c r="B135" s="4" t="s">
        <v>130</v>
      </c>
      <c r="C135" s="2">
        <v>2</v>
      </c>
      <c r="D135" s="2">
        <v>140</v>
      </c>
      <c r="E135" s="2">
        <v>110</v>
      </c>
      <c r="F135" s="2">
        <f t="shared" si="9"/>
        <v>220</v>
      </c>
      <c r="G135" s="2">
        <f t="shared" si="10"/>
        <v>111.6</v>
      </c>
      <c r="H135" s="2">
        <f t="shared" si="11"/>
        <v>28.400000000000006</v>
      </c>
      <c r="I135" s="5">
        <f t="shared" si="12"/>
        <v>25.448028673835132</v>
      </c>
    </row>
    <row r="136" spans="2:9" x14ac:dyDescent="0.25">
      <c r="B136" s="4" t="s">
        <v>131</v>
      </c>
      <c r="C136" s="2">
        <v>2</v>
      </c>
      <c r="D136" s="2">
        <v>180</v>
      </c>
      <c r="E136" s="2">
        <v>130</v>
      </c>
      <c r="F136" s="2">
        <f t="shared" si="9"/>
        <v>260</v>
      </c>
      <c r="G136" s="2">
        <f t="shared" si="10"/>
        <v>131.6</v>
      </c>
      <c r="H136" s="2">
        <f t="shared" si="11"/>
        <v>48.400000000000006</v>
      </c>
      <c r="I136" s="5">
        <f t="shared" si="12"/>
        <v>36.778115501519764</v>
      </c>
    </row>
    <row r="137" spans="2:9" x14ac:dyDescent="0.25">
      <c r="B137" s="4" t="s">
        <v>132</v>
      </c>
      <c r="C137" s="2">
        <v>1</v>
      </c>
      <c r="D137" s="2">
        <v>45</v>
      </c>
      <c r="E137" s="2">
        <v>25</v>
      </c>
      <c r="F137" s="2">
        <f t="shared" si="9"/>
        <v>25</v>
      </c>
      <c r="G137" s="2">
        <f t="shared" si="10"/>
        <v>26.6</v>
      </c>
      <c r="H137" s="2">
        <f t="shared" si="11"/>
        <v>18.399999999999999</v>
      </c>
      <c r="I137" s="5">
        <f t="shared" si="12"/>
        <v>69.172932330827066</v>
      </c>
    </row>
    <row r="138" spans="2:9" x14ac:dyDescent="0.25">
      <c r="B138" s="4" t="s">
        <v>132</v>
      </c>
      <c r="C138" s="2">
        <v>1</v>
      </c>
      <c r="D138" s="2">
        <v>45</v>
      </c>
      <c r="E138" s="2">
        <v>30</v>
      </c>
      <c r="F138" s="2">
        <f t="shared" si="9"/>
        <v>30</v>
      </c>
      <c r="G138" s="2">
        <f t="shared" si="10"/>
        <v>31.6</v>
      </c>
      <c r="H138" s="2">
        <f t="shared" si="11"/>
        <v>13.399999999999999</v>
      </c>
      <c r="I138" s="5">
        <f t="shared" si="12"/>
        <v>42.405063291139236</v>
      </c>
    </row>
    <row r="139" spans="2:9" x14ac:dyDescent="0.25">
      <c r="B139" s="4" t="s">
        <v>133</v>
      </c>
      <c r="C139" s="2">
        <v>11</v>
      </c>
      <c r="D139" s="2">
        <v>18</v>
      </c>
      <c r="E139" s="2">
        <v>12</v>
      </c>
      <c r="F139" s="2">
        <f t="shared" si="9"/>
        <v>132</v>
      </c>
      <c r="G139" s="2">
        <f t="shared" si="10"/>
        <v>13.6</v>
      </c>
      <c r="H139" s="2">
        <f t="shared" si="11"/>
        <v>4.4000000000000004</v>
      </c>
      <c r="I139" s="5">
        <f t="shared" si="12"/>
        <v>32.352941176470587</v>
      </c>
    </row>
    <row r="140" spans="2:9" x14ac:dyDescent="0.25">
      <c r="B140" s="4" t="s">
        <v>134</v>
      </c>
      <c r="C140" s="2">
        <v>1</v>
      </c>
      <c r="D140" s="2">
        <v>20</v>
      </c>
      <c r="E140" s="2">
        <v>12</v>
      </c>
      <c r="F140" s="2">
        <f t="shared" si="9"/>
        <v>12</v>
      </c>
      <c r="G140" s="2">
        <f t="shared" si="10"/>
        <v>13.6</v>
      </c>
      <c r="H140" s="2">
        <f t="shared" si="11"/>
        <v>6.4</v>
      </c>
      <c r="I140" s="5">
        <f t="shared" si="12"/>
        <v>47.058823529411768</v>
      </c>
    </row>
    <row r="141" spans="2:9" x14ac:dyDescent="0.25">
      <c r="B141" s="4" t="s">
        <v>135</v>
      </c>
      <c r="C141" s="2">
        <v>3</v>
      </c>
      <c r="D141" s="2">
        <v>20</v>
      </c>
      <c r="E141" s="2">
        <v>4.75</v>
      </c>
      <c r="F141" s="2">
        <f t="shared" si="9"/>
        <v>14.25</v>
      </c>
      <c r="G141" s="2">
        <f t="shared" si="10"/>
        <v>6.35</v>
      </c>
      <c r="H141" s="2">
        <f t="shared" si="11"/>
        <v>13.65</v>
      </c>
      <c r="I141" s="5">
        <f t="shared" si="12"/>
        <v>214.96062992125985</v>
      </c>
    </row>
    <row r="142" spans="2:9" x14ac:dyDescent="0.25">
      <c r="B142" s="4" t="s">
        <v>136</v>
      </c>
      <c r="C142" s="2">
        <v>100</v>
      </c>
      <c r="D142" s="2">
        <v>2</v>
      </c>
      <c r="E142" s="2">
        <v>0.75</v>
      </c>
      <c r="F142" s="2">
        <f t="shared" si="9"/>
        <v>75</v>
      </c>
      <c r="G142" s="2">
        <f t="shared" si="10"/>
        <v>2.35</v>
      </c>
      <c r="H142" s="2">
        <f t="shared" si="11"/>
        <v>-0.35000000000000009</v>
      </c>
      <c r="I142" s="5">
        <f t="shared" si="12"/>
        <v>-14.893617021276597</v>
      </c>
    </row>
    <row r="143" spans="2:9" x14ac:dyDescent="0.25">
      <c r="B143" s="4" t="s">
        <v>137</v>
      </c>
      <c r="C143" s="2">
        <v>3</v>
      </c>
      <c r="D143" s="2">
        <v>12</v>
      </c>
      <c r="E143" s="2">
        <v>4</v>
      </c>
      <c r="F143" s="2">
        <f t="shared" si="9"/>
        <v>12</v>
      </c>
      <c r="G143" s="2">
        <f t="shared" si="10"/>
        <v>5.6</v>
      </c>
      <c r="H143" s="2">
        <f t="shared" si="11"/>
        <v>6.4</v>
      </c>
      <c r="I143" s="5">
        <f t="shared" si="12"/>
        <v>114.28571428571431</v>
      </c>
    </row>
    <row r="144" spans="2:9" x14ac:dyDescent="0.25">
      <c r="B144" s="4" t="s">
        <v>138</v>
      </c>
      <c r="C144" s="2">
        <v>7</v>
      </c>
      <c r="D144" s="2">
        <v>20</v>
      </c>
      <c r="E144" s="2">
        <v>13</v>
      </c>
      <c r="F144" s="2">
        <f t="shared" si="9"/>
        <v>91</v>
      </c>
      <c r="G144" s="2">
        <f t="shared" si="10"/>
        <v>14.6</v>
      </c>
      <c r="H144" s="2">
        <f t="shared" si="11"/>
        <v>5.4</v>
      </c>
      <c r="I144" s="5">
        <f t="shared" si="12"/>
        <v>36.986301369863014</v>
      </c>
    </row>
    <row r="145" spans="2:9" x14ac:dyDescent="0.25">
      <c r="B145" s="4" t="s">
        <v>139</v>
      </c>
      <c r="C145" s="2">
        <v>4</v>
      </c>
      <c r="D145" s="2">
        <v>45</v>
      </c>
      <c r="E145" s="2">
        <v>24</v>
      </c>
      <c r="F145" s="2">
        <f t="shared" si="9"/>
        <v>96</v>
      </c>
      <c r="G145" s="2">
        <f t="shared" si="10"/>
        <v>25.6</v>
      </c>
      <c r="H145" s="2">
        <f t="shared" si="11"/>
        <v>19.399999999999999</v>
      </c>
      <c r="I145" s="5">
        <f t="shared" si="12"/>
        <v>75.781249999999986</v>
      </c>
    </row>
    <row r="146" spans="2:9" x14ac:dyDescent="0.25">
      <c r="B146" s="4" t="s">
        <v>140</v>
      </c>
      <c r="C146" s="2">
        <v>4</v>
      </c>
      <c r="D146" s="2">
        <v>200</v>
      </c>
      <c r="E146" s="2">
        <v>170</v>
      </c>
      <c r="F146" s="2">
        <f t="shared" si="9"/>
        <v>680</v>
      </c>
      <c r="G146" s="2">
        <f t="shared" si="10"/>
        <v>171.6</v>
      </c>
      <c r="H146" s="2">
        <f t="shared" si="11"/>
        <v>28.400000000000006</v>
      </c>
      <c r="I146" s="5">
        <f t="shared" si="12"/>
        <v>16.550116550116552</v>
      </c>
    </row>
    <row r="147" spans="2:9" x14ac:dyDescent="0.25">
      <c r="B147" s="4" t="s">
        <v>141</v>
      </c>
      <c r="C147" s="2">
        <v>2</v>
      </c>
      <c r="D147" s="2">
        <v>165</v>
      </c>
      <c r="E147" s="2">
        <v>150</v>
      </c>
      <c r="F147" s="2">
        <f t="shared" si="9"/>
        <v>300</v>
      </c>
      <c r="G147" s="2">
        <f t="shared" si="10"/>
        <v>151.6</v>
      </c>
      <c r="H147" s="2">
        <f t="shared" si="11"/>
        <v>13.400000000000006</v>
      </c>
      <c r="I147" s="5">
        <f t="shared" si="12"/>
        <v>8.8390501319261254</v>
      </c>
    </row>
    <row r="148" spans="2:9" x14ac:dyDescent="0.25">
      <c r="B148" s="4" t="s">
        <v>142</v>
      </c>
      <c r="C148" s="2">
        <v>1</v>
      </c>
      <c r="D148" s="2">
        <v>180</v>
      </c>
      <c r="E148" s="2">
        <v>130</v>
      </c>
      <c r="F148" s="2">
        <f t="shared" si="9"/>
        <v>130</v>
      </c>
      <c r="G148" s="2">
        <f t="shared" si="10"/>
        <v>131.6</v>
      </c>
      <c r="H148" s="2">
        <f t="shared" si="11"/>
        <v>48.400000000000006</v>
      </c>
      <c r="I148" s="5">
        <f t="shared" si="12"/>
        <v>36.778115501519764</v>
      </c>
    </row>
    <row r="149" spans="2:9" x14ac:dyDescent="0.25">
      <c r="B149" s="4" t="s">
        <v>143</v>
      </c>
      <c r="C149" s="2">
        <v>1</v>
      </c>
      <c r="D149" s="2">
        <v>210</v>
      </c>
      <c r="E149" s="2">
        <v>150</v>
      </c>
      <c r="F149" s="2">
        <f t="shared" si="9"/>
        <v>150</v>
      </c>
      <c r="G149" s="2">
        <f t="shared" si="10"/>
        <v>151.6</v>
      </c>
      <c r="H149" s="2">
        <f t="shared" si="11"/>
        <v>58.400000000000006</v>
      </c>
      <c r="I149" s="5">
        <f t="shared" si="12"/>
        <v>38.522427440633251</v>
      </c>
    </row>
    <row r="150" spans="2:9" x14ac:dyDescent="0.25">
      <c r="B150" s="4" t="s">
        <v>144</v>
      </c>
      <c r="C150" s="2">
        <v>1</v>
      </c>
      <c r="D150" s="2">
        <v>75</v>
      </c>
      <c r="E150" s="2">
        <v>42</v>
      </c>
      <c r="F150" s="2">
        <f t="shared" si="9"/>
        <v>42</v>
      </c>
      <c r="G150" s="2">
        <f t="shared" si="10"/>
        <v>43.6</v>
      </c>
      <c r="H150" s="2">
        <f t="shared" si="11"/>
        <v>31.4</v>
      </c>
      <c r="I150" s="5">
        <f t="shared" si="12"/>
        <v>72.0183486238532</v>
      </c>
    </row>
    <row r="151" spans="2:9" x14ac:dyDescent="0.25">
      <c r="B151" s="4" t="s">
        <v>145</v>
      </c>
      <c r="C151" s="2">
        <v>50</v>
      </c>
      <c r="D151" s="2">
        <v>125</v>
      </c>
      <c r="E151" s="2">
        <v>85</v>
      </c>
      <c r="F151" s="2">
        <f t="shared" si="9"/>
        <v>4250</v>
      </c>
      <c r="G151" s="2">
        <f t="shared" si="10"/>
        <v>86.6</v>
      </c>
      <c r="H151" s="2">
        <f t="shared" si="11"/>
        <v>38.400000000000006</v>
      </c>
      <c r="I151" s="5">
        <f t="shared" si="12"/>
        <v>44.3418013856813</v>
      </c>
    </row>
    <row r="152" spans="2:9" x14ac:dyDescent="0.25">
      <c r="B152" s="4" t="s">
        <v>146</v>
      </c>
      <c r="C152" s="2">
        <v>1</v>
      </c>
      <c r="D152" s="2">
        <v>820</v>
      </c>
      <c r="E152" s="2">
        <v>680</v>
      </c>
      <c r="F152" s="2">
        <f t="shared" si="9"/>
        <v>680</v>
      </c>
      <c r="G152" s="2">
        <f t="shared" si="10"/>
        <v>681.6</v>
      </c>
      <c r="H152" s="2">
        <f t="shared" si="11"/>
        <v>138.39999999999998</v>
      </c>
      <c r="I152" s="5">
        <f t="shared" si="12"/>
        <v>20.305164319248821</v>
      </c>
    </row>
    <row r="153" spans="2:9" x14ac:dyDescent="0.25">
      <c r="B153" s="4" t="s">
        <v>147</v>
      </c>
      <c r="C153" s="2">
        <v>3</v>
      </c>
      <c r="D153" s="2">
        <v>800</v>
      </c>
      <c r="E153" s="2">
        <v>750</v>
      </c>
      <c r="F153" s="2">
        <f t="shared" si="9"/>
        <v>2250</v>
      </c>
      <c r="G153" s="2">
        <f t="shared" si="10"/>
        <v>751.6</v>
      </c>
      <c r="H153" s="2">
        <f t="shared" si="11"/>
        <v>48.399999999999977</v>
      </c>
      <c r="I153" s="5">
        <f t="shared" si="12"/>
        <v>6.4395955295369847</v>
      </c>
    </row>
    <row r="154" spans="2:9" x14ac:dyDescent="0.25">
      <c r="B154" s="4" t="s">
        <v>148</v>
      </c>
      <c r="C154" s="2">
        <v>1</v>
      </c>
      <c r="D154" s="2">
        <v>510</v>
      </c>
      <c r="E154" s="2">
        <v>440</v>
      </c>
      <c r="F154" s="2">
        <f t="shared" si="9"/>
        <v>440</v>
      </c>
      <c r="G154" s="2">
        <f t="shared" si="10"/>
        <v>441.6</v>
      </c>
      <c r="H154" s="2">
        <f t="shared" si="11"/>
        <v>68.399999999999977</v>
      </c>
      <c r="I154" s="5">
        <f t="shared" si="12"/>
        <v>15.489130434782602</v>
      </c>
    </row>
    <row r="155" spans="2:9" x14ac:dyDescent="0.25">
      <c r="B155" s="4" t="s">
        <v>149</v>
      </c>
      <c r="C155" s="2">
        <v>1</v>
      </c>
      <c r="D155" s="2">
        <v>50</v>
      </c>
      <c r="E155" s="2">
        <v>35</v>
      </c>
      <c r="F155" s="2">
        <f t="shared" si="9"/>
        <v>35</v>
      </c>
      <c r="G155" s="2">
        <f t="shared" si="10"/>
        <v>36.6</v>
      </c>
      <c r="H155" s="2">
        <f t="shared" si="11"/>
        <v>13.399999999999999</v>
      </c>
      <c r="I155" s="5">
        <f t="shared" si="12"/>
        <v>36.612021857923494</v>
      </c>
    </row>
    <row r="156" spans="2:9" x14ac:dyDescent="0.25">
      <c r="B156" s="4" t="s">
        <v>31</v>
      </c>
      <c r="C156" s="2">
        <v>3</v>
      </c>
      <c r="D156" s="2">
        <v>35</v>
      </c>
      <c r="E156" s="2">
        <v>30</v>
      </c>
      <c r="F156" s="2">
        <f t="shared" si="9"/>
        <v>90</v>
      </c>
      <c r="G156" s="2">
        <f t="shared" si="10"/>
        <v>31.6</v>
      </c>
      <c r="H156" s="2">
        <f t="shared" si="11"/>
        <v>3.3999999999999986</v>
      </c>
      <c r="I156" s="5">
        <f t="shared" si="12"/>
        <v>10.759493670886071</v>
      </c>
    </row>
    <row r="157" spans="2:9" x14ac:dyDescent="0.25">
      <c r="B157" s="4" t="s">
        <v>31</v>
      </c>
      <c r="C157" s="2">
        <v>19</v>
      </c>
      <c r="D157" s="2">
        <v>35</v>
      </c>
      <c r="E157" s="2">
        <v>22</v>
      </c>
      <c r="F157" s="2">
        <f t="shared" si="9"/>
        <v>418</v>
      </c>
      <c r="G157" s="2">
        <f t="shared" si="10"/>
        <v>23.6</v>
      </c>
      <c r="H157" s="2">
        <f t="shared" si="11"/>
        <v>11.399999999999999</v>
      </c>
      <c r="I157" s="5">
        <f t="shared" si="12"/>
        <v>48.305084745762706</v>
      </c>
    </row>
    <row r="158" spans="2:9" x14ac:dyDescent="0.25">
      <c r="B158" s="4" t="s">
        <v>150</v>
      </c>
      <c r="C158" s="2">
        <v>1</v>
      </c>
      <c r="D158" s="2">
        <v>50</v>
      </c>
      <c r="E158" s="2">
        <v>30</v>
      </c>
      <c r="F158" s="2">
        <f t="shared" si="9"/>
        <v>30</v>
      </c>
      <c r="G158" s="2">
        <f t="shared" si="10"/>
        <v>31.6</v>
      </c>
      <c r="H158" s="2">
        <f t="shared" si="11"/>
        <v>18.399999999999999</v>
      </c>
      <c r="I158" s="5">
        <f t="shared" si="12"/>
        <v>58.227848101265813</v>
      </c>
    </row>
    <row r="159" spans="2:9" x14ac:dyDescent="0.25">
      <c r="B159" s="4" t="s">
        <v>151</v>
      </c>
      <c r="C159" s="2">
        <v>4</v>
      </c>
      <c r="D159" s="2">
        <v>60</v>
      </c>
      <c r="E159" s="2">
        <v>45</v>
      </c>
      <c r="F159" s="2">
        <f t="shared" si="9"/>
        <v>180</v>
      </c>
      <c r="G159" s="2">
        <f t="shared" si="10"/>
        <v>46.6</v>
      </c>
      <c r="H159" s="2">
        <f t="shared" si="11"/>
        <v>13.399999999999999</v>
      </c>
      <c r="I159" s="5">
        <f t="shared" si="12"/>
        <v>28.75536480686695</v>
      </c>
    </row>
    <row r="160" spans="2:9" x14ac:dyDescent="0.25">
      <c r="B160" s="4" t="s">
        <v>152</v>
      </c>
      <c r="C160" s="2">
        <v>1</v>
      </c>
      <c r="D160" s="2">
        <v>65</v>
      </c>
      <c r="E160" s="2">
        <v>45</v>
      </c>
      <c r="F160" s="2">
        <f t="shared" si="9"/>
        <v>45</v>
      </c>
      <c r="G160" s="2">
        <f t="shared" si="10"/>
        <v>46.6</v>
      </c>
      <c r="H160" s="2">
        <f t="shared" si="11"/>
        <v>18.399999999999999</v>
      </c>
      <c r="I160" s="5">
        <f t="shared" si="12"/>
        <v>39.484978540772531</v>
      </c>
    </row>
    <row r="161" spans="2:9" x14ac:dyDescent="0.25">
      <c r="B161" s="4" t="s">
        <v>61</v>
      </c>
      <c r="C161" s="2">
        <v>2</v>
      </c>
      <c r="D161" s="2">
        <v>150</v>
      </c>
      <c r="E161" s="2">
        <v>85</v>
      </c>
      <c r="F161" s="2">
        <f t="shared" si="9"/>
        <v>170</v>
      </c>
      <c r="G161" s="2">
        <f t="shared" si="10"/>
        <v>86.6</v>
      </c>
      <c r="H161" s="2">
        <f t="shared" si="11"/>
        <v>63.400000000000006</v>
      </c>
      <c r="I161" s="5">
        <f t="shared" si="12"/>
        <v>73.210161662817569</v>
      </c>
    </row>
    <row r="162" spans="2:9" x14ac:dyDescent="0.25">
      <c r="B162" s="4" t="s">
        <v>153</v>
      </c>
      <c r="C162" s="2">
        <v>45</v>
      </c>
      <c r="D162" s="2">
        <v>5</v>
      </c>
      <c r="E162" s="2">
        <v>2.2000000000000002</v>
      </c>
      <c r="F162" s="2">
        <f t="shared" si="9"/>
        <v>99.000000000000014</v>
      </c>
      <c r="G162" s="2">
        <f t="shared" si="10"/>
        <v>3.8000000000000003</v>
      </c>
      <c r="H162" s="2">
        <f t="shared" si="11"/>
        <v>1.1999999999999997</v>
      </c>
      <c r="I162" s="5">
        <f t="shared" si="12"/>
        <v>31.578947368421044</v>
      </c>
    </row>
    <row r="163" spans="2:9" x14ac:dyDescent="0.25">
      <c r="B163" s="4" t="s">
        <v>154</v>
      </c>
      <c r="C163" s="2">
        <v>3</v>
      </c>
      <c r="D163" s="2">
        <v>900</v>
      </c>
      <c r="E163" s="2">
        <v>370</v>
      </c>
      <c r="F163" s="2">
        <f t="shared" si="9"/>
        <v>1110</v>
      </c>
      <c r="G163" s="2">
        <f t="shared" si="10"/>
        <v>371.6</v>
      </c>
      <c r="H163" s="2">
        <f t="shared" si="11"/>
        <v>528.4</v>
      </c>
      <c r="I163" s="5">
        <f t="shared" si="12"/>
        <v>142.19590958019376</v>
      </c>
    </row>
    <row r="164" spans="2:9" x14ac:dyDescent="0.25">
      <c r="B164" s="4" t="s">
        <v>155</v>
      </c>
      <c r="C164" s="2">
        <v>1</v>
      </c>
      <c r="D164" s="2">
        <v>900</v>
      </c>
      <c r="E164" s="2">
        <v>370</v>
      </c>
      <c r="F164" s="2">
        <f t="shared" si="9"/>
        <v>370</v>
      </c>
      <c r="G164" s="2">
        <f t="shared" si="10"/>
        <v>371.6</v>
      </c>
      <c r="H164" s="2">
        <f t="shared" si="11"/>
        <v>528.4</v>
      </c>
      <c r="I164" s="5">
        <f t="shared" si="12"/>
        <v>142.19590958019376</v>
      </c>
    </row>
    <row r="165" spans="2:9" x14ac:dyDescent="0.25">
      <c r="B165" s="4" t="s">
        <v>156</v>
      </c>
      <c r="C165" s="2">
        <v>1</v>
      </c>
      <c r="D165" s="2">
        <v>750</v>
      </c>
      <c r="E165" s="2">
        <v>550</v>
      </c>
      <c r="F165" s="2">
        <f t="shared" si="9"/>
        <v>550</v>
      </c>
      <c r="G165" s="2">
        <f t="shared" si="10"/>
        <v>551.6</v>
      </c>
      <c r="H165" s="2">
        <f t="shared" si="11"/>
        <v>198.39999999999998</v>
      </c>
      <c r="I165" s="5">
        <f t="shared" si="12"/>
        <v>35.968092820884692</v>
      </c>
    </row>
    <row r="166" spans="2:9" x14ac:dyDescent="0.25">
      <c r="B166" s="4" t="s">
        <v>157</v>
      </c>
      <c r="C166" s="2">
        <v>1</v>
      </c>
      <c r="D166" s="2">
        <v>570</v>
      </c>
      <c r="E166" s="2">
        <v>250</v>
      </c>
      <c r="F166" s="2">
        <f t="shared" si="9"/>
        <v>250</v>
      </c>
      <c r="G166" s="2">
        <f t="shared" si="10"/>
        <v>251.6</v>
      </c>
      <c r="H166" s="2">
        <f t="shared" si="11"/>
        <v>318.39999999999998</v>
      </c>
      <c r="I166" s="5">
        <f t="shared" si="12"/>
        <v>126.55007949125596</v>
      </c>
    </row>
    <row r="167" spans="2:9" x14ac:dyDescent="0.25">
      <c r="B167" s="4" t="s">
        <v>158</v>
      </c>
      <c r="C167" s="2">
        <v>1</v>
      </c>
      <c r="D167" s="2">
        <v>420</v>
      </c>
      <c r="E167" s="2">
        <v>400</v>
      </c>
      <c r="F167" s="2">
        <f t="shared" si="9"/>
        <v>400</v>
      </c>
      <c r="G167" s="2">
        <f t="shared" si="10"/>
        <v>401.6</v>
      </c>
      <c r="H167" s="2">
        <f t="shared" si="11"/>
        <v>18.399999999999977</v>
      </c>
      <c r="I167" s="5">
        <f t="shared" si="12"/>
        <v>4.5816733067729025</v>
      </c>
    </row>
    <row r="168" spans="2:9" x14ac:dyDescent="0.25">
      <c r="B168" s="4" t="s">
        <v>159</v>
      </c>
      <c r="C168" s="2">
        <v>1</v>
      </c>
      <c r="D168" s="2">
        <v>2100</v>
      </c>
      <c r="E168" s="2">
        <v>1800</v>
      </c>
      <c r="F168" s="2">
        <f t="shared" si="9"/>
        <v>1800</v>
      </c>
      <c r="G168" s="2">
        <f t="shared" si="10"/>
        <v>1801.6</v>
      </c>
      <c r="H168" s="2">
        <f t="shared" si="11"/>
        <v>298.40000000000009</v>
      </c>
      <c r="I168" s="5">
        <f t="shared" si="12"/>
        <v>16.563055062166967</v>
      </c>
    </row>
    <row r="169" spans="2:9" x14ac:dyDescent="0.25">
      <c r="B169" s="4" t="s">
        <v>160</v>
      </c>
      <c r="C169" s="2">
        <v>4</v>
      </c>
      <c r="D169" s="2">
        <v>550</v>
      </c>
      <c r="E169" s="2">
        <v>600</v>
      </c>
      <c r="F169" s="2">
        <f t="shared" si="9"/>
        <v>2400</v>
      </c>
      <c r="G169" s="2">
        <f t="shared" si="10"/>
        <v>601.6</v>
      </c>
      <c r="H169" s="2">
        <f t="shared" si="11"/>
        <v>-51.600000000000023</v>
      </c>
      <c r="I169" s="5">
        <f t="shared" si="12"/>
        <v>-8.5771276595744705</v>
      </c>
    </row>
    <row r="170" spans="2:9" x14ac:dyDescent="0.25">
      <c r="B170" s="4" t="s">
        <v>161</v>
      </c>
      <c r="C170" s="2">
        <v>4</v>
      </c>
      <c r="D170" s="2">
        <v>60</v>
      </c>
      <c r="E170" s="2">
        <v>40</v>
      </c>
      <c r="F170" s="2">
        <f t="shared" si="9"/>
        <v>160</v>
      </c>
      <c r="G170" s="2">
        <f t="shared" si="10"/>
        <v>41.6</v>
      </c>
      <c r="H170" s="2">
        <f t="shared" si="11"/>
        <v>18.399999999999999</v>
      </c>
      <c r="I170" s="5">
        <f t="shared" si="12"/>
        <v>44.230769230769226</v>
      </c>
    </row>
    <row r="171" spans="2:9" x14ac:dyDescent="0.25">
      <c r="B171" s="4" t="s">
        <v>162</v>
      </c>
      <c r="C171" s="2">
        <v>9</v>
      </c>
      <c r="D171" s="2">
        <v>10</v>
      </c>
      <c r="E171" s="2">
        <v>4.5</v>
      </c>
      <c r="F171" s="2">
        <f t="shared" si="9"/>
        <v>40.5</v>
      </c>
      <c r="G171" s="2">
        <f t="shared" si="10"/>
        <v>6.1</v>
      </c>
      <c r="H171" s="2">
        <f t="shared" si="11"/>
        <v>3.9000000000000004</v>
      </c>
      <c r="I171" s="5">
        <f t="shared" si="12"/>
        <v>63.934426229508205</v>
      </c>
    </row>
    <row r="172" spans="2:9" x14ac:dyDescent="0.25">
      <c r="B172" s="4" t="s">
        <v>163</v>
      </c>
      <c r="C172" s="2">
        <v>5</v>
      </c>
      <c r="D172" s="2">
        <v>15</v>
      </c>
      <c r="E172" s="2">
        <v>10</v>
      </c>
      <c r="F172" s="2">
        <f t="shared" si="9"/>
        <v>50</v>
      </c>
      <c r="G172" s="2">
        <f t="shared" si="10"/>
        <v>11.6</v>
      </c>
      <c r="H172" s="2">
        <f t="shared" si="11"/>
        <v>3.4000000000000004</v>
      </c>
      <c r="I172" s="5">
        <f t="shared" si="12"/>
        <v>29.31034482758621</v>
      </c>
    </row>
    <row r="173" spans="2:9" x14ac:dyDescent="0.25">
      <c r="B173" s="4" t="s">
        <v>164</v>
      </c>
      <c r="C173" s="2">
        <v>8</v>
      </c>
      <c r="D173" s="2">
        <v>15</v>
      </c>
      <c r="E173" s="2">
        <v>12.5</v>
      </c>
      <c r="F173" s="2">
        <f t="shared" si="9"/>
        <v>100</v>
      </c>
      <c r="G173" s="2">
        <f t="shared" si="10"/>
        <v>14.1</v>
      </c>
      <c r="H173" s="2">
        <f t="shared" si="11"/>
        <v>0.90000000000000036</v>
      </c>
      <c r="I173" s="5">
        <f t="shared" si="12"/>
        <v>6.3829787234042579</v>
      </c>
    </row>
    <row r="174" spans="2:9" x14ac:dyDescent="0.25">
      <c r="B174" s="4" t="s">
        <v>165</v>
      </c>
      <c r="C174" s="2">
        <v>16</v>
      </c>
      <c r="D174" s="2">
        <v>30</v>
      </c>
      <c r="E174" s="2">
        <v>17</v>
      </c>
      <c r="F174" s="2">
        <f t="shared" si="9"/>
        <v>272</v>
      </c>
      <c r="G174" s="2">
        <f t="shared" si="10"/>
        <v>18.600000000000001</v>
      </c>
      <c r="H174" s="2">
        <f t="shared" si="11"/>
        <v>11.399999999999999</v>
      </c>
      <c r="I174" s="5">
        <f t="shared" si="12"/>
        <v>61.290322580645153</v>
      </c>
    </row>
    <row r="175" spans="2:9" x14ac:dyDescent="0.25">
      <c r="B175" s="4" t="s">
        <v>166</v>
      </c>
      <c r="C175" s="2">
        <v>7</v>
      </c>
      <c r="D175" s="2">
        <v>10</v>
      </c>
      <c r="E175" s="2">
        <v>5</v>
      </c>
      <c r="F175" s="2">
        <f t="shared" si="9"/>
        <v>35</v>
      </c>
      <c r="G175" s="2">
        <f t="shared" si="10"/>
        <v>6.6</v>
      </c>
      <c r="H175" s="2">
        <f t="shared" si="11"/>
        <v>3.4000000000000004</v>
      </c>
      <c r="I175" s="5">
        <f t="shared" si="12"/>
        <v>51.515151515151523</v>
      </c>
    </row>
    <row r="176" spans="2:9" x14ac:dyDescent="0.25">
      <c r="B176" s="4" t="s">
        <v>167</v>
      </c>
      <c r="C176" s="2">
        <v>4</v>
      </c>
      <c r="D176" s="2">
        <v>70</v>
      </c>
      <c r="E176" s="2">
        <v>38</v>
      </c>
      <c r="F176" s="2">
        <f t="shared" si="9"/>
        <v>152</v>
      </c>
      <c r="G176" s="2">
        <f t="shared" si="10"/>
        <v>39.6</v>
      </c>
      <c r="H176" s="2">
        <f t="shared" si="11"/>
        <v>30.4</v>
      </c>
      <c r="I176" s="5">
        <f t="shared" si="12"/>
        <v>76.767676767676761</v>
      </c>
    </row>
    <row r="177" spans="2:9" x14ac:dyDescent="0.25">
      <c r="B177" s="4" t="s">
        <v>168</v>
      </c>
      <c r="C177" s="2">
        <v>1</v>
      </c>
      <c r="D177" s="2">
        <v>570</v>
      </c>
      <c r="E177" s="2">
        <v>390</v>
      </c>
      <c r="F177" s="2">
        <f t="shared" si="9"/>
        <v>390</v>
      </c>
      <c r="G177" s="2">
        <f t="shared" si="10"/>
        <v>391.6</v>
      </c>
      <c r="H177" s="2">
        <f t="shared" si="11"/>
        <v>178.39999999999998</v>
      </c>
      <c r="I177" s="5">
        <f t="shared" si="12"/>
        <v>45.556690500510719</v>
      </c>
    </row>
    <row r="178" spans="2:9" x14ac:dyDescent="0.25">
      <c r="B178" s="4" t="s">
        <v>169</v>
      </c>
      <c r="C178" s="2">
        <v>1</v>
      </c>
      <c r="D178" s="2">
        <v>200</v>
      </c>
      <c r="E178" s="2">
        <v>160</v>
      </c>
      <c r="F178" s="2">
        <f t="shared" si="9"/>
        <v>160</v>
      </c>
      <c r="G178" s="2">
        <f t="shared" si="10"/>
        <v>161.6</v>
      </c>
      <c r="H178" s="2">
        <f t="shared" si="11"/>
        <v>38.400000000000006</v>
      </c>
      <c r="I178" s="5">
        <f t="shared" si="12"/>
        <v>23.762376237623766</v>
      </c>
    </row>
    <row r="179" spans="2:9" x14ac:dyDescent="0.25">
      <c r="B179" s="4" t="s">
        <v>170</v>
      </c>
      <c r="C179" s="2">
        <v>4</v>
      </c>
      <c r="D179" s="2">
        <v>170</v>
      </c>
      <c r="E179" s="2">
        <v>135</v>
      </c>
      <c r="F179" s="2">
        <f t="shared" si="9"/>
        <v>540</v>
      </c>
      <c r="G179" s="2">
        <f t="shared" si="10"/>
        <v>136.6</v>
      </c>
      <c r="H179" s="2">
        <f t="shared" si="11"/>
        <v>33.400000000000006</v>
      </c>
      <c r="I179" s="5">
        <f t="shared" si="12"/>
        <v>24.450951683748176</v>
      </c>
    </row>
    <row r="180" spans="2:9" x14ac:dyDescent="0.25">
      <c r="B180" s="4" t="s">
        <v>48</v>
      </c>
      <c r="C180" s="2">
        <v>3</v>
      </c>
      <c r="D180" s="2">
        <v>225</v>
      </c>
      <c r="E180" s="2">
        <v>180</v>
      </c>
      <c r="F180" s="2">
        <f t="shared" si="9"/>
        <v>540</v>
      </c>
      <c r="G180" s="2">
        <f t="shared" si="10"/>
        <v>181.6</v>
      </c>
      <c r="H180" s="2">
        <f t="shared" si="11"/>
        <v>43.400000000000006</v>
      </c>
      <c r="I180" s="5">
        <f t="shared" si="12"/>
        <v>23.898678414096921</v>
      </c>
    </row>
    <row r="181" spans="2:9" x14ac:dyDescent="0.25">
      <c r="B181" s="4" t="s">
        <v>171</v>
      </c>
      <c r="C181" s="2">
        <v>1</v>
      </c>
      <c r="D181" s="2">
        <v>200</v>
      </c>
      <c r="E181" s="2">
        <v>165</v>
      </c>
      <c r="F181" s="2">
        <f t="shared" si="9"/>
        <v>165</v>
      </c>
      <c r="G181" s="2">
        <f t="shared" si="10"/>
        <v>166.6</v>
      </c>
      <c r="H181" s="2">
        <f t="shared" si="11"/>
        <v>33.400000000000006</v>
      </c>
      <c r="I181" s="5">
        <f t="shared" si="12"/>
        <v>20.048019207683076</v>
      </c>
    </row>
    <row r="182" spans="2:9" x14ac:dyDescent="0.25">
      <c r="B182" s="4" t="s">
        <v>172</v>
      </c>
      <c r="C182" s="2">
        <v>9</v>
      </c>
      <c r="D182" s="2">
        <v>195</v>
      </c>
      <c r="E182" s="2">
        <v>165</v>
      </c>
      <c r="F182" s="2">
        <f t="shared" si="9"/>
        <v>1485</v>
      </c>
      <c r="G182" s="2">
        <f t="shared" si="10"/>
        <v>166.6</v>
      </c>
      <c r="H182" s="2">
        <f t="shared" si="11"/>
        <v>28.400000000000006</v>
      </c>
      <c r="I182" s="5">
        <f t="shared" si="12"/>
        <v>17.046818727491001</v>
      </c>
    </row>
    <row r="183" spans="2:9" x14ac:dyDescent="0.25">
      <c r="B183" s="4" t="s">
        <v>173</v>
      </c>
      <c r="C183" s="2">
        <v>2</v>
      </c>
      <c r="D183" s="2">
        <v>120</v>
      </c>
      <c r="E183" s="2">
        <v>90</v>
      </c>
      <c r="F183" s="2">
        <f t="shared" si="9"/>
        <v>180</v>
      </c>
      <c r="G183" s="2">
        <f t="shared" si="10"/>
        <v>91.6</v>
      </c>
      <c r="H183" s="2">
        <f t="shared" si="11"/>
        <v>28.400000000000006</v>
      </c>
      <c r="I183" s="5">
        <f t="shared" si="12"/>
        <v>31.004366812227079</v>
      </c>
    </row>
    <row r="184" spans="2:9" x14ac:dyDescent="0.25">
      <c r="B184" s="4" t="s">
        <v>174</v>
      </c>
      <c r="C184" s="2">
        <v>11</v>
      </c>
      <c r="D184" s="2">
        <v>80</v>
      </c>
      <c r="E184" s="2">
        <v>30</v>
      </c>
      <c r="F184" s="2">
        <f t="shared" si="9"/>
        <v>330</v>
      </c>
      <c r="G184" s="2">
        <f t="shared" si="10"/>
        <v>31.6</v>
      </c>
      <c r="H184" s="2">
        <f t="shared" si="11"/>
        <v>48.4</v>
      </c>
      <c r="I184" s="5">
        <f t="shared" si="12"/>
        <v>153.1645569620253</v>
      </c>
    </row>
    <row r="185" spans="2:9" x14ac:dyDescent="0.25">
      <c r="B185" s="4" t="s">
        <v>175</v>
      </c>
      <c r="C185" s="2">
        <v>10</v>
      </c>
      <c r="D185" s="2">
        <v>45</v>
      </c>
      <c r="E185" s="2">
        <v>30</v>
      </c>
      <c r="F185" s="2">
        <f t="shared" si="9"/>
        <v>300</v>
      </c>
      <c r="G185" s="2">
        <f t="shared" si="10"/>
        <v>31.6</v>
      </c>
      <c r="H185" s="2">
        <f t="shared" si="11"/>
        <v>13.399999999999999</v>
      </c>
      <c r="I185" s="5">
        <f t="shared" si="12"/>
        <v>42.405063291139236</v>
      </c>
    </row>
    <row r="186" spans="2:9" x14ac:dyDescent="0.25">
      <c r="B186" s="4" t="s">
        <v>176</v>
      </c>
      <c r="C186" s="2">
        <v>1</v>
      </c>
      <c r="D186" s="2">
        <v>55</v>
      </c>
      <c r="E186" s="2">
        <v>30</v>
      </c>
      <c r="F186" s="2">
        <f t="shared" si="9"/>
        <v>30</v>
      </c>
      <c r="G186" s="2">
        <f t="shared" si="10"/>
        <v>31.6</v>
      </c>
      <c r="H186" s="2">
        <f t="shared" si="11"/>
        <v>23.4</v>
      </c>
      <c r="I186" s="5">
        <f t="shared" si="12"/>
        <v>74.050632911392398</v>
      </c>
    </row>
    <row r="187" spans="2:9" x14ac:dyDescent="0.25">
      <c r="B187" s="4" t="s">
        <v>177</v>
      </c>
      <c r="C187" s="2">
        <v>4</v>
      </c>
      <c r="D187" s="2">
        <v>60</v>
      </c>
      <c r="E187" s="2">
        <v>40</v>
      </c>
      <c r="F187" s="2">
        <f t="shared" si="9"/>
        <v>160</v>
      </c>
      <c r="G187" s="2">
        <f t="shared" si="10"/>
        <v>41.6</v>
      </c>
      <c r="H187" s="2">
        <f t="shared" si="11"/>
        <v>18.399999999999999</v>
      </c>
      <c r="I187" s="5">
        <f t="shared" si="12"/>
        <v>44.230769230769226</v>
      </c>
    </row>
    <row r="188" spans="2:9" x14ac:dyDescent="0.25">
      <c r="B188" s="4" t="s">
        <v>178</v>
      </c>
      <c r="C188" s="2">
        <v>3</v>
      </c>
      <c r="D188" s="2">
        <v>110</v>
      </c>
      <c r="E188" s="2">
        <v>80</v>
      </c>
      <c r="F188" s="2">
        <f t="shared" ref="F188:F245" si="13">C188*E188</f>
        <v>240</v>
      </c>
      <c r="G188" s="2">
        <f t="shared" ref="G188:G251" si="14">E188+1.6</f>
        <v>81.599999999999994</v>
      </c>
      <c r="H188" s="2">
        <f t="shared" si="11"/>
        <v>28.400000000000006</v>
      </c>
      <c r="I188" s="5">
        <f t="shared" si="12"/>
        <v>34.803921568627459</v>
      </c>
    </row>
    <row r="189" spans="2:9" x14ac:dyDescent="0.25">
      <c r="B189" s="4" t="s">
        <v>179</v>
      </c>
      <c r="C189" s="2">
        <v>3</v>
      </c>
      <c r="D189" s="2">
        <v>70</v>
      </c>
      <c r="E189" s="2">
        <v>38</v>
      </c>
      <c r="F189" s="2">
        <f t="shared" si="13"/>
        <v>114</v>
      </c>
      <c r="G189" s="2">
        <f t="shared" si="14"/>
        <v>39.6</v>
      </c>
      <c r="H189" s="2">
        <f t="shared" si="11"/>
        <v>30.4</v>
      </c>
      <c r="I189" s="5">
        <f t="shared" si="12"/>
        <v>76.767676767676761</v>
      </c>
    </row>
    <row r="190" spans="2:9" x14ac:dyDescent="0.25">
      <c r="B190" s="4" t="s">
        <v>180</v>
      </c>
      <c r="C190" s="2">
        <v>8</v>
      </c>
      <c r="D190" s="2">
        <v>80</v>
      </c>
      <c r="E190" s="2">
        <v>50</v>
      </c>
      <c r="F190" s="2">
        <f t="shared" si="13"/>
        <v>400</v>
      </c>
      <c r="G190" s="2">
        <f t="shared" si="14"/>
        <v>51.6</v>
      </c>
      <c r="H190" s="2">
        <f t="shared" si="11"/>
        <v>28.4</v>
      </c>
      <c r="I190" s="5">
        <f t="shared" si="12"/>
        <v>55.038759689922479</v>
      </c>
    </row>
    <row r="191" spans="2:9" x14ac:dyDescent="0.25">
      <c r="B191" s="4" t="s">
        <v>181</v>
      </c>
      <c r="C191" s="2">
        <v>1.1999999999999627</v>
      </c>
      <c r="D191" s="2">
        <v>11.8</v>
      </c>
      <c r="E191" s="2">
        <v>12.5</v>
      </c>
      <c r="F191" s="2">
        <f t="shared" si="13"/>
        <v>14.999999999999533</v>
      </c>
      <c r="G191" s="2">
        <f t="shared" si="14"/>
        <v>14.1</v>
      </c>
      <c r="H191" s="2">
        <f t="shared" si="11"/>
        <v>-2.2999999999999989</v>
      </c>
      <c r="I191" s="5">
        <f t="shared" si="12"/>
        <v>-16.312056737588644</v>
      </c>
    </row>
    <row r="192" spans="2:9" x14ac:dyDescent="0.25">
      <c r="B192" s="4" t="s">
        <v>56</v>
      </c>
      <c r="C192" s="2">
        <v>1</v>
      </c>
      <c r="D192" s="2">
        <v>100</v>
      </c>
      <c r="E192" s="2">
        <v>75</v>
      </c>
      <c r="F192" s="2">
        <f t="shared" si="13"/>
        <v>75</v>
      </c>
      <c r="G192" s="2">
        <f t="shared" si="14"/>
        <v>76.599999999999994</v>
      </c>
      <c r="H192" s="2">
        <f t="shared" si="11"/>
        <v>23.400000000000006</v>
      </c>
      <c r="I192" s="5">
        <f t="shared" si="12"/>
        <v>30.548302872062671</v>
      </c>
    </row>
    <row r="193" spans="2:9" x14ac:dyDescent="0.25">
      <c r="B193" s="4" t="s">
        <v>182</v>
      </c>
      <c r="C193" s="2">
        <v>1</v>
      </c>
      <c r="D193" s="2">
        <v>100</v>
      </c>
      <c r="E193" s="2">
        <v>80</v>
      </c>
      <c r="F193" s="2">
        <f t="shared" si="13"/>
        <v>80</v>
      </c>
      <c r="G193" s="2">
        <f t="shared" si="14"/>
        <v>81.599999999999994</v>
      </c>
      <c r="H193" s="2">
        <f t="shared" si="11"/>
        <v>18.400000000000006</v>
      </c>
      <c r="I193" s="5">
        <f t="shared" si="12"/>
        <v>22.549019607843146</v>
      </c>
    </row>
    <row r="194" spans="2:9" x14ac:dyDescent="0.25">
      <c r="B194" s="4" t="s">
        <v>183</v>
      </c>
      <c r="C194" s="2">
        <v>1</v>
      </c>
      <c r="D194" s="2">
        <v>450</v>
      </c>
      <c r="E194" s="2">
        <v>380</v>
      </c>
      <c r="F194" s="2">
        <f t="shared" si="13"/>
        <v>380</v>
      </c>
      <c r="G194" s="2">
        <f t="shared" si="14"/>
        <v>381.6</v>
      </c>
      <c r="H194" s="2">
        <f t="shared" si="11"/>
        <v>68.399999999999977</v>
      </c>
      <c r="I194" s="5">
        <f t="shared" si="12"/>
        <v>17.924528301886784</v>
      </c>
    </row>
    <row r="195" spans="2:9" x14ac:dyDescent="0.25">
      <c r="B195" s="4" t="s">
        <v>184</v>
      </c>
      <c r="C195" s="2">
        <v>1</v>
      </c>
      <c r="D195" s="2">
        <v>230</v>
      </c>
      <c r="E195" s="2">
        <v>185</v>
      </c>
      <c r="F195" s="2">
        <f t="shared" si="13"/>
        <v>185</v>
      </c>
      <c r="G195" s="2">
        <f t="shared" si="14"/>
        <v>186.6</v>
      </c>
      <c r="H195" s="2">
        <f t="shared" si="11"/>
        <v>43.400000000000006</v>
      </c>
      <c r="I195" s="5">
        <f t="shared" si="12"/>
        <v>23.258306538049307</v>
      </c>
    </row>
    <row r="196" spans="2:9" x14ac:dyDescent="0.25">
      <c r="B196" s="4" t="s">
        <v>185</v>
      </c>
      <c r="C196" s="2">
        <v>16</v>
      </c>
      <c r="D196" s="2">
        <v>260</v>
      </c>
      <c r="E196" s="2">
        <v>230</v>
      </c>
      <c r="F196" s="2">
        <f t="shared" si="13"/>
        <v>3680</v>
      </c>
      <c r="G196" s="2">
        <f t="shared" si="14"/>
        <v>231.6</v>
      </c>
      <c r="H196" s="2">
        <f t="shared" si="11"/>
        <v>28.400000000000006</v>
      </c>
      <c r="I196" s="5">
        <f t="shared" si="12"/>
        <v>12.262521588946463</v>
      </c>
    </row>
    <row r="197" spans="2:9" x14ac:dyDescent="0.25">
      <c r="B197" s="4" t="s">
        <v>64</v>
      </c>
      <c r="C197" s="2">
        <v>2</v>
      </c>
      <c r="D197" s="2">
        <v>40</v>
      </c>
      <c r="E197" s="2">
        <v>21</v>
      </c>
      <c r="F197" s="2">
        <f t="shared" si="13"/>
        <v>42</v>
      </c>
      <c r="G197" s="2">
        <f t="shared" si="14"/>
        <v>22.6</v>
      </c>
      <c r="H197" s="2">
        <f t="shared" si="11"/>
        <v>17.399999999999999</v>
      </c>
      <c r="I197" s="5">
        <f t="shared" si="12"/>
        <v>76.99115044247786</v>
      </c>
    </row>
    <row r="198" spans="2:9" x14ac:dyDescent="0.25">
      <c r="B198" s="4" t="s">
        <v>186</v>
      </c>
      <c r="C198" s="2">
        <v>2</v>
      </c>
      <c r="D198" s="2">
        <v>65</v>
      </c>
      <c r="E198" s="2">
        <v>40</v>
      </c>
      <c r="F198" s="2">
        <f t="shared" si="13"/>
        <v>80</v>
      </c>
      <c r="G198" s="2">
        <f t="shared" si="14"/>
        <v>41.6</v>
      </c>
      <c r="H198" s="2">
        <f t="shared" ref="H198:H261" si="15">D198-G198</f>
        <v>23.4</v>
      </c>
      <c r="I198" s="5">
        <f t="shared" ref="I198:I245" si="16">(D198-G198)/(G198)*100</f>
        <v>56.25</v>
      </c>
    </row>
    <row r="199" spans="2:9" x14ac:dyDescent="0.25">
      <c r="B199" s="4" t="s">
        <v>187</v>
      </c>
      <c r="C199" s="2">
        <v>31</v>
      </c>
      <c r="D199" s="2">
        <v>220</v>
      </c>
      <c r="E199" s="2">
        <v>210</v>
      </c>
      <c r="F199" s="2">
        <f t="shared" si="13"/>
        <v>6510</v>
      </c>
      <c r="G199" s="2">
        <f t="shared" si="14"/>
        <v>211.6</v>
      </c>
      <c r="H199" s="2">
        <f t="shared" si="15"/>
        <v>8.4000000000000057</v>
      </c>
      <c r="I199" s="5">
        <f t="shared" si="16"/>
        <v>3.9697542533081309</v>
      </c>
    </row>
    <row r="200" spans="2:9" x14ac:dyDescent="0.25">
      <c r="B200" s="4" t="s">
        <v>188</v>
      </c>
      <c r="C200" s="2">
        <v>2</v>
      </c>
      <c r="D200" s="2">
        <v>120</v>
      </c>
      <c r="E200" s="2">
        <v>95</v>
      </c>
      <c r="F200" s="2">
        <f t="shared" si="13"/>
        <v>190</v>
      </c>
      <c r="G200" s="2">
        <f t="shared" si="14"/>
        <v>96.6</v>
      </c>
      <c r="H200" s="2">
        <f t="shared" si="15"/>
        <v>23.400000000000006</v>
      </c>
      <c r="I200" s="5">
        <f t="shared" si="16"/>
        <v>24.223602484472057</v>
      </c>
    </row>
    <row r="201" spans="2:9" x14ac:dyDescent="0.25">
      <c r="B201" s="4" t="s">
        <v>189</v>
      </c>
      <c r="C201" s="2">
        <v>73</v>
      </c>
      <c r="D201" s="2">
        <v>180</v>
      </c>
      <c r="E201" s="2">
        <v>250</v>
      </c>
      <c r="F201" s="2">
        <f t="shared" si="13"/>
        <v>18250</v>
      </c>
      <c r="G201" s="2">
        <f t="shared" si="14"/>
        <v>251.6</v>
      </c>
      <c r="H201" s="2">
        <f t="shared" si="15"/>
        <v>-71.599999999999994</v>
      </c>
      <c r="I201" s="5">
        <f t="shared" si="16"/>
        <v>-28.45786963434022</v>
      </c>
    </row>
    <row r="202" spans="2:9" x14ac:dyDescent="0.25">
      <c r="B202" s="4" t="s">
        <v>190</v>
      </c>
      <c r="C202" s="2">
        <v>2</v>
      </c>
      <c r="D202" s="2">
        <v>100</v>
      </c>
      <c r="E202" s="2">
        <v>120</v>
      </c>
      <c r="F202" s="2">
        <f t="shared" si="13"/>
        <v>240</v>
      </c>
      <c r="G202" s="2">
        <f t="shared" si="14"/>
        <v>121.6</v>
      </c>
      <c r="H202" s="2">
        <f t="shared" si="15"/>
        <v>-21.599999999999994</v>
      </c>
      <c r="I202" s="5">
        <f t="shared" si="16"/>
        <v>-17.763157894736839</v>
      </c>
    </row>
    <row r="203" spans="2:9" x14ac:dyDescent="0.25">
      <c r="B203" s="4" t="s">
        <v>191</v>
      </c>
      <c r="C203" s="2">
        <v>25</v>
      </c>
      <c r="D203" s="2">
        <v>200</v>
      </c>
      <c r="E203" s="2">
        <v>250</v>
      </c>
      <c r="F203" s="2">
        <f t="shared" si="13"/>
        <v>6250</v>
      </c>
      <c r="G203" s="2">
        <f t="shared" si="14"/>
        <v>251.6</v>
      </c>
      <c r="H203" s="2">
        <f t="shared" si="15"/>
        <v>-51.599999999999994</v>
      </c>
      <c r="I203" s="5">
        <f t="shared" si="16"/>
        <v>-20.5087440381558</v>
      </c>
    </row>
    <row r="204" spans="2:9" x14ac:dyDescent="0.25">
      <c r="B204" s="4" t="s">
        <v>192</v>
      </c>
      <c r="C204" s="2">
        <v>1</v>
      </c>
      <c r="D204" s="2">
        <v>250</v>
      </c>
      <c r="E204" s="2">
        <v>160</v>
      </c>
      <c r="F204" s="2">
        <f t="shared" si="13"/>
        <v>160</v>
      </c>
      <c r="G204" s="2">
        <f t="shared" si="14"/>
        <v>161.6</v>
      </c>
      <c r="H204" s="2">
        <f t="shared" si="15"/>
        <v>88.4</v>
      </c>
      <c r="I204" s="5">
        <f t="shared" si="16"/>
        <v>54.702970297029708</v>
      </c>
    </row>
    <row r="205" spans="2:9" x14ac:dyDescent="0.25">
      <c r="B205" s="4" t="s">
        <v>193</v>
      </c>
      <c r="C205" s="2">
        <v>1</v>
      </c>
      <c r="D205" s="2">
        <v>180</v>
      </c>
      <c r="E205" s="2">
        <v>150</v>
      </c>
      <c r="F205" s="2">
        <f t="shared" si="13"/>
        <v>150</v>
      </c>
      <c r="G205" s="2">
        <f t="shared" si="14"/>
        <v>151.6</v>
      </c>
      <c r="H205" s="2">
        <f t="shared" si="15"/>
        <v>28.400000000000006</v>
      </c>
      <c r="I205" s="5">
        <f t="shared" si="16"/>
        <v>18.7335092348285</v>
      </c>
    </row>
    <row r="206" spans="2:9" x14ac:dyDescent="0.25">
      <c r="B206" s="4" t="s">
        <v>194</v>
      </c>
      <c r="C206" s="2">
        <v>14</v>
      </c>
      <c r="D206" s="2">
        <v>195</v>
      </c>
      <c r="E206" s="2">
        <v>130</v>
      </c>
      <c r="F206" s="2">
        <f t="shared" si="13"/>
        <v>1820</v>
      </c>
      <c r="G206" s="2">
        <f t="shared" si="14"/>
        <v>131.6</v>
      </c>
      <c r="H206" s="2">
        <f t="shared" si="15"/>
        <v>63.400000000000006</v>
      </c>
      <c r="I206" s="5">
        <f t="shared" si="16"/>
        <v>48.176291793313077</v>
      </c>
    </row>
    <row r="207" spans="2:9" x14ac:dyDescent="0.25">
      <c r="B207" s="4" t="s">
        <v>195</v>
      </c>
      <c r="C207" s="2">
        <v>1</v>
      </c>
      <c r="D207" s="2">
        <v>3</v>
      </c>
      <c r="E207" s="2">
        <v>1.75</v>
      </c>
      <c r="F207" s="2">
        <f t="shared" si="13"/>
        <v>1.75</v>
      </c>
      <c r="G207" s="2">
        <f t="shared" si="14"/>
        <v>3.35</v>
      </c>
      <c r="H207" s="2">
        <f t="shared" si="15"/>
        <v>-0.35000000000000009</v>
      </c>
      <c r="I207" s="5">
        <f t="shared" si="16"/>
        <v>-10.447761194029853</v>
      </c>
    </row>
    <row r="208" spans="2:9" x14ac:dyDescent="0.25">
      <c r="B208" s="4" t="s">
        <v>196</v>
      </c>
      <c r="C208" s="2">
        <v>2</v>
      </c>
      <c r="D208" s="2">
        <v>65</v>
      </c>
      <c r="E208" s="2">
        <v>35</v>
      </c>
      <c r="F208" s="2">
        <f t="shared" si="13"/>
        <v>70</v>
      </c>
      <c r="G208" s="2">
        <f t="shared" si="14"/>
        <v>36.6</v>
      </c>
      <c r="H208" s="2">
        <f t="shared" si="15"/>
        <v>28.4</v>
      </c>
      <c r="I208" s="5">
        <f t="shared" si="16"/>
        <v>77.595628415300538</v>
      </c>
    </row>
    <row r="209" spans="2:9" x14ac:dyDescent="0.25">
      <c r="B209" s="4" t="s">
        <v>197</v>
      </c>
      <c r="C209" s="2">
        <v>2</v>
      </c>
      <c r="D209" s="2">
        <v>60</v>
      </c>
      <c r="E209" s="2">
        <v>35</v>
      </c>
      <c r="F209" s="2">
        <f t="shared" si="13"/>
        <v>70</v>
      </c>
      <c r="G209" s="2">
        <f t="shared" si="14"/>
        <v>36.6</v>
      </c>
      <c r="H209" s="2">
        <f t="shared" si="15"/>
        <v>23.4</v>
      </c>
      <c r="I209" s="5">
        <f t="shared" si="16"/>
        <v>63.93442622950819</v>
      </c>
    </row>
    <row r="210" spans="2:9" x14ac:dyDescent="0.25">
      <c r="B210" s="4" t="s">
        <v>198</v>
      </c>
      <c r="C210" s="2">
        <v>12</v>
      </c>
      <c r="D210" s="2">
        <v>25</v>
      </c>
      <c r="E210" s="2">
        <v>14</v>
      </c>
      <c r="F210" s="2">
        <f t="shared" si="13"/>
        <v>168</v>
      </c>
      <c r="G210" s="2">
        <f t="shared" si="14"/>
        <v>15.6</v>
      </c>
      <c r="H210" s="2">
        <f t="shared" si="15"/>
        <v>9.4</v>
      </c>
      <c r="I210" s="5">
        <f t="shared" si="16"/>
        <v>60.256410256410263</v>
      </c>
    </row>
    <row r="211" spans="2:9" x14ac:dyDescent="0.25">
      <c r="B211" s="4" t="s">
        <v>74</v>
      </c>
      <c r="C211" s="2">
        <v>11</v>
      </c>
      <c r="D211" s="2">
        <v>25</v>
      </c>
      <c r="E211" s="2">
        <v>14</v>
      </c>
      <c r="F211" s="2">
        <f t="shared" si="13"/>
        <v>154</v>
      </c>
      <c r="G211" s="2">
        <f t="shared" si="14"/>
        <v>15.6</v>
      </c>
      <c r="H211" s="2">
        <f t="shared" si="15"/>
        <v>9.4</v>
      </c>
      <c r="I211" s="5">
        <f t="shared" si="16"/>
        <v>60.256410256410263</v>
      </c>
    </row>
    <row r="212" spans="2:9" x14ac:dyDescent="0.25">
      <c r="B212" s="4" t="s">
        <v>199</v>
      </c>
      <c r="C212" s="2">
        <v>1</v>
      </c>
      <c r="D212" s="2">
        <v>10</v>
      </c>
      <c r="E212" s="2">
        <v>6</v>
      </c>
      <c r="F212" s="2">
        <f t="shared" si="13"/>
        <v>6</v>
      </c>
      <c r="G212" s="2">
        <f t="shared" si="14"/>
        <v>7.6</v>
      </c>
      <c r="H212" s="2">
        <f t="shared" si="15"/>
        <v>2.4000000000000004</v>
      </c>
      <c r="I212" s="5">
        <f t="shared" si="16"/>
        <v>31.578947368421055</v>
      </c>
    </row>
    <row r="213" spans="2:9" x14ac:dyDescent="0.25">
      <c r="B213" s="4" t="s">
        <v>200</v>
      </c>
      <c r="C213" s="2">
        <v>2</v>
      </c>
      <c r="D213" s="2">
        <v>420</v>
      </c>
      <c r="E213" s="2">
        <v>320</v>
      </c>
      <c r="F213" s="2">
        <f t="shared" si="13"/>
        <v>640</v>
      </c>
      <c r="G213" s="2">
        <f t="shared" si="14"/>
        <v>321.60000000000002</v>
      </c>
      <c r="H213" s="2">
        <f t="shared" si="15"/>
        <v>98.399999999999977</v>
      </c>
      <c r="I213" s="5">
        <f t="shared" si="16"/>
        <v>30.597014925373124</v>
      </c>
    </row>
    <row r="214" spans="2:9" x14ac:dyDescent="0.25">
      <c r="B214" s="4" t="s">
        <v>201</v>
      </c>
      <c r="C214" s="2">
        <v>1</v>
      </c>
      <c r="D214" s="2">
        <v>550</v>
      </c>
      <c r="E214" s="2">
        <v>395</v>
      </c>
      <c r="F214" s="2">
        <f t="shared" si="13"/>
        <v>395</v>
      </c>
      <c r="G214" s="2">
        <f t="shared" si="14"/>
        <v>396.6</v>
      </c>
      <c r="H214" s="2">
        <f t="shared" si="15"/>
        <v>153.39999999999998</v>
      </c>
      <c r="I214" s="5">
        <f t="shared" si="16"/>
        <v>38.678769541099335</v>
      </c>
    </row>
    <row r="215" spans="2:9" x14ac:dyDescent="0.25">
      <c r="B215" s="4" t="s">
        <v>202</v>
      </c>
      <c r="C215" s="2">
        <v>3</v>
      </c>
      <c r="D215" s="2">
        <v>400</v>
      </c>
      <c r="E215" s="2">
        <v>300</v>
      </c>
      <c r="F215" s="2">
        <f t="shared" si="13"/>
        <v>900</v>
      </c>
      <c r="G215" s="2">
        <f t="shared" si="14"/>
        <v>301.60000000000002</v>
      </c>
      <c r="H215" s="2">
        <f t="shared" si="15"/>
        <v>98.399999999999977</v>
      </c>
      <c r="I215" s="5">
        <f t="shared" si="16"/>
        <v>32.625994694960205</v>
      </c>
    </row>
    <row r="216" spans="2:9" x14ac:dyDescent="0.25">
      <c r="B216" s="4" t="s">
        <v>203</v>
      </c>
      <c r="C216" s="2">
        <v>3</v>
      </c>
      <c r="D216" s="2">
        <v>450</v>
      </c>
      <c r="E216" s="2">
        <v>390</v>
      </c>
      <c r="F216" s="2">
        <f t="shared" si="13"/>
        <v>1170</v>
      </c>
      <c r="G216" s="2">
        <f t="shared" si="14"/>
        <v>391.6</v>
      </c>
      <c r="H216" s="2">
        <f t="shared" si="15"/>
        <v>58.399999999999977</v>
      </c>
      <c r="I216" s="5">
        <f t="shared" si="16"/>
        <v>14.913176710929513</v>
      </c>
    </row>
    <row r="217" spans="2:9" x14ac:dyDescent="0.25">
      <c r="B217" s="4" t="s">
        <v>204</v>
      </c>
      <c r="C217" s="2">
        <v>2</v>
      </c>
      <c r="D217" s="2">
        <v>920</v>
      </c>
      <c r="E217" s="2">
        <v>780</v>
      </c>
      <c r="F217" s="2">
        <f t="shared" si="13"/>
        <v>1560</v>
      </c>
      <c r="G217" s="2">
        <f t="shared" si="14"/>
        <v>781.6</v>
      </c>
      <c r="H217" s="2">
        <f t="shared" si="15"/>
        <v>138.39999999999998</v>
      </c>
      <c r="I217" s="5">
        <f t="shared" si="16"/>
        <v>17.707267144319342</v>
      </c>
    </row>
    <row r="218" spans="2:9" x14ac:dyDescent="0.25">
      <c r="B218" s="4" t="s">
        <v>205</v>
      </c>
      <c r="C218" s="2">
        <v>2</v>
      </c>
      <c r="D218" s="2">
        <v>835</v>
      </c>
      <c r="E218" s="2">
        <v>680</v>
      </c>
      <c r="F218" s="2">
        <f t="shared" si="13"/>
        <v>1360</v>
      </c>
      <c r="G218" s="2">
        <f t="shared" si="14"/>
        <v>681.6</v>
      </c>
      <c r="H218" s="2">
        <f t="shared" si="15"/>
        <v>153.39999999999998</v>
      </c>
      <c r="I218" s="5">
        <f t="shared" si="16"/>
        <v>22.505868544600936</v>
      </c>
    </row>
    <row r="219" spans="2:9" x14ac:dyDescent="0.25">
      <c r="B219" s="4" t="s">
        <v>206</v>
      </c>
      <c r="C219" s="2">
        <v>7</v>
      </c>
      <c r="D219" s="2">
        <v>4</v>
      </c>
      <c r="E219" s="2">
        <v>1.95</v>
      </c>
      <c r="F219" s="2">
        <f t="shared" si="13"/>
        <v>13.65</v>
      </c>
      <c r="G219" s="2">
        <f t="shared" si="14"/>
        <v>3.55</v>
      </c>
      <c r="H219" s="2">
        <f t="shared" si="15"/>
        <v>0.45000000000000018</v>
      </c>
      <c r="I219" s="5">
        <f t="shared" si="16"/>
        <v>12.676056338028175</v>
      </c>
    </row>
    <row r="220" spans="2:9" x14ac:dyDescent="0.25">
      <c r="B220" s="4" t="s">
        <v>207</v>
      </c>
      <c r="C220" s="2">
        <v>8</v>
      </c>
      <c r="D220" s="2">
        <v>4</v>
      </c>
      <c r="E220" s="2">
        <v>1.95</v>
      </c>
      <c r="F220" s="2">
        <f t="shared" si="13"/>
        <v>15.6</v>
      </c>
      <c r="G220" s="2">
        <f t="shared" si="14"/>
        <v>3.55</v>
      </c>
      <c r="H220" s="2">
        <f t="shared" si="15"/>
        <v>0.45000000000000018</v>
      </c>
      <c r="I220" s="5">
        <f t="shared" si="16"/>
        <v>12.676056338028175</v>
      </c>
    </row>
    <row r="221" spans="2:9" x14ac:dyDescent="0.25">
      <c r="B221" s="4" t="s">
        <v>208</v>
      </c>
      <c r="C221" s="2">
        <v>1</v>
      </c>
      <c r="D221" s="2">
        <v>18</v>
      </c>
      <c r="E221" s="2">
        <v>10</v>
      </c>
      <c r="F221" s="2">
        <f t="shared" si="13"/>
        <v>10</v>
      </c>
      <c r="G221" s="2">
        <f t="shared" si="14"/>
        <v>11.6</v>
      </c>
      <c r="H221" s="2">
        <f t="shared" si="15"/>
        <v>6.4</v>
      </c>
      <c r="I221" s="5">
        <f t="shared" si="16"/>
        <v>55.172413793103445</v>
      </c>
    </row>
    <row r="222" spans="2:9" x14ac:dyDescent="0.25">
      <c r="B222" s="4" t="s">
        <v>209</v>
      </c>
      <c r="C222" s="2">
        <v>2</v>
      </c>
      <c r="D222" s="2">
        <v>30</v>
      </c>
      <c r="E222" s="2">
        <v>16</v>
      </c>
      <c r="F222" s="2">
        <f t="shared" si="13"/>
        <v>32</v>
      </c>
      <c r="G222" s="2">
        <f t="shared" si="14"/>
        <v>17.600000000000001</v>
      </c>
      <c r="H222" s="2">
        <f t="shared" si="15"/>
        <v>12.399999999999999</v>
      </c>
      <c r="I222" s="5">
        <f t="shared" si="16"/>
        <v>70.454545454545439</v>
      </c>
    </row>
    <row r="223" spans="2:9" x14ac:dyDescent="0.25">
      <c r="B223" s="4" t="s">
        <v>84</v>
      </c>
      <c r="C223" s="2">
        <v>7</v>
      </c>
      <c r="D223" s="2">
        <v>295</v>
      </c>
      <c r="E223" s="2">
        <v>260</v>
      </c>
      <c r="F223" s="2">
        <f t="shared" si="13"/>
        <v>1820</v>
      </c>
      <c r="G223" s="2">
        <f t="shared" si="14"/>
        <v>261.60000000000002</v>
      </c>
      <c r="H223" s="2">
        <f t="shared" si="15"/>
        <v>33.399999999999977</v>
      </c>
      <c r="I223" s="5">
        <f t="shared" si="16"/>
        <v>12.767584097859316</v>
      </c>
    </row>
    <row r="224" spans="2:9" x14ac:dyDescent="0.25">
      <c r="B224" s="4" t="s">
        <v>210</v>
      </c>
      <c r="C224" s="2">
        <v>19</v>
      </c>
      <c r="D224" s="2">
        <v>5</v>
      </c>
      <c r="E224" s="2">
        <v>2.8</v>
      </c>
      <c r="F224" s="2">
        <f t="shared" si="13"/>
        <v>53.199999999999996</v>
      </c>
      <c r="G224" s="2">
        <f t="shared" si="14"/>
        <v>4.4000000000000004</v>
      </c>
      <c r="H224" s="2">
        <f t="shared" si="15"/>
        <v>0.59999999999999964</v>
      </c>
      <c r="I224" s="5">
        <f t="shared" si="16"/>
        <v>13.636363636363628</v>
      </c>
    </row>
    <row r="225" spans="2:9" x14ac:dyDescent="0.25">
      <c r="B225" s="4" t="s">
        <v>211</v>
      </c>
      <c r="C225" s="2">
        <v>46</v>
      </c>
      <c r="D225" s="2">
        <v>26</v>
      </c>
      <c r="E225" s="2">
        <v>22</v>
      </c>
      <c r="F225" s="2">
        <f t="shared" si="13"/>
        <v>1012</v>
      </c>
      <c r="G225" s="2">
        <f t="shared" si="14"/>
        <v>23.6</v>
      </c>
      <c r="H225" s="2">
        <f t="shared" si="15"/>
        <v>2.3999999999999986</v>
      </c>
      <c r="I225" s="5">
        <f t="shared" si="16"/>
        <v>10.169491525423723</v>
      </c>
    </row>
    <row r="226" spans="2:9" x14ac:dyDescent="0.25">
      <c r="B226" s="4" t="s">
        <v>212</v>
      </c>
      <c r="C226" s="2">
        <v>17</v>
      </c>
      <c r="D226" s="2">
        <v>26</v>
      </c>
      <c r="E226" s="2">
        <v>22</v>
      </c>
      <c r="F226" s="2">
        <f t="shared" si="13"/>
        <v>374</v>
      </c>
      <c r="G226" s="2">
        <f t="shared" si="14"/>
        <v>23.6</v>
      </c>
      <c r="H226" s="2">
        <f t="shared" si="15"/>
        <v>2.3999999999999986</v>
      </c>
      <c r="I226" s="5">
        <f t="shared" si="16"/>
        <v>10.169491525423723</v>
      </c>
    </row>
    <row r="227" spans="2:9" x14ac:dyDescent="0.25">
      <c r="B227" s="4" t="s">
        <v>213</v>
      </c>
      <c r="C227" s="2">
        <v>1</v>
      </c>
      <c r="D227" s="2">
        <v>375</v>
      </c>
      <c r="E227" s="2">
        <v>300</v>
      </c>
      <c r="F227" s="2">
        <f t="shared" si="13"/>
        <v>300</v>
      </c>
      <c r="G227" s="2">
        <f t="shared" si="14"/>
        <v>301.60000000000002</v>
      </c>
      <c r="H227" s="2">
        <f t="shared" si="15"/>
        <v>73.399999999999977</v>
      </c>
      <c r="I227" s="5">
        <f t="shared" si="16"/>
        <v>24.33687002652519</v>
      </c>
    </row>
    <row r="228" spans="2:9" x14ac:dyDescent="0.25">
      <c r="B228" s="4" t="s">
        <v>214</v>
      </c>
      <c r="C228" s="2">
        <v>7</v>
      </c>
      <c r="D228" s="2">
        <v>630</v>
      </c>
      <c r="E228" s="2">
        <v>520</v>
      </c>
      <c r="F228" s="2">
        <f t="shared" si="13"/>
        <v>3640</v>
      </c>
      <c r="G228" s="2">
        <f t="shared" si="14"/>
        <v>521.6</v>
      </c>
      <c r="H228" s="2">
        <f t="shared" si="15"/>
        <v>108.39999999999998</v>
      </c>
      <c r="I228" s="5">
        <f t="shared" si="16"/>
        <v>20.782208588957047</v>
      </c>
    </row>
    <row r="229" spans="2:9" x14ac:dyDescent="0.25">
      <c r="B229" s="4" t="s">
        <v>215</v>
      </c>
      <c r="C229" s="2">
        <v>11</v>
      </c>
      <c r="D229" s="2">
        <v>320</v>
      </c>
      <c r="E229" s="2">
        <v>260</v>
      </c>
      <c r="F229" s="2">
        <f t="shared" si="13"/>
        <v>2860</v>
      </c>
      <c r="G229" s="2">
        <f t="shared" si="14"/>
        <v>261.60000000000002</v>
      </c>
      <c r="H229" s="2">
        <f t="shared" si="15"/>
        <v>58.399999999999977</v>
      </c>
      <c r="I229" s="5">
        <f t="shared" si="16"/>
        <v>22.324159021406718</v>
      </c>
    </row>
    <row r="230" spans="2:9" x14ac:dyDescent="0.25">
      <c r="B230" s="4" t="s">
        <v>216</v>
      </c>
      <c r="C230" s="2">
        <v>5</v>
      </c>
      <c r="D230" s="2">
        <v>12</v>
      </c>
      <c r="E230" s="2">
        <v>13</v>
      </c>
      <c r="F230" s="2">
        <f t="shared" si="13"/>
        <v>65</v>
      </c>
      <c r="G230" s="2">
        <f t="shared" si="14"/>
        <v>14.6</v>
      </c>
      <c r="H230" s="2">
        <f t="shared" si="15"/>
        <v>-2.5999999999999996</v>
      </c>
      <c r="I230" s="5">
        <f t="shared" si="16"/>
        <v>-17.80821917808219</v>
      </c>
    </row>
    <row r="231" spans="2:9" x14ac:dyDescent="0.25">
      <c r="B231" s="4" t="s">
        <v>217</v>
      </c>
      <c r="C231" s="2">
        <v>7</v>
      </c>
      <c r="D231" s="2">
        <v>12</v>
      </c>
      <c r="E231" s="2">
        <v>15</v>
      </c>
      <c r="F231" s="2">
        <f t="shared" si="13"/>
        <v>105</v>
      </c>
      <c r="G231" s="2">
        <f t="shared" si="14"/>
        <v>16.600000000000001</v>
      </c>
      <c r="H231" s="2">
        <f t="shared" si="15"/>
        <v>-4.6000000000000014</v>
      </c>
      <c r="I231" s="5">
        <f t="shared" si="16"/>
        <v>-27.710843373493983</v>
      </c>
    </row>
    <row r="232" spans="2:9" x14ac:dyDescent="0.25">
      <c r="B232" s="4" t="s">
        <v>218</v>
      </c>
      <c r="C232" s="2">
        <v>7</v>
      </c>
      <c r="D232" s="2">
        <v>20</v>
      </c>
      <c r="E232" s="2">
        <v>12</v>
      </c>
      <c r="F232" s="2">
        <f t="shared" si="13"/>
        <v>84</v>
      </c>
      <c r="G232" s="2">
        <f t="shared" si="14"/>
        <v>13.6</v>
      </c>
      <c r="H232" s="2">
        <f t="shared" si="15"/>
        <v>6.4</v>
      </c>
      <c r="I232" s="5">
        <f t="shared" si="16"/>
        <v>47.058823529411768</v>
      </c>
    </row>
    <row r="233" spans="2:9" x14ac:dyDescent="0.25">
      <c r="B233" s="4" t="s">
        <v>219</v>
      </c>
      <c r="C233" s="2">
        <v>5</v>
      </c>
      <c r="D233" s="2">
        <v>50</v>
      </c>
      <c r="E233" s="2">
        <v>45</v>
      </c>
      <c r="F233" s="2">
        <f t="shared" si="13"/>
        <v>225</v>
      </c>
      <c r="G233" s="2">
        <f t="shared" si="14"/>
        <v>46.6</v>
      </c>
      <c r="H233" s="2">
        <f t="shared" si="15"/>
        <v>3.3999999999999986</v>
      </c>
      <c r="I233" s="5">
        <f t="shared" si="16"/>
        <v>7.2961373390557904</v>
      </c>
    </row>
    <row r="234" spans="2:9" x14ac:dyDescent="0.25">
      <c r="B234" s="4" t="s">
        <v>220</v>
      </c>
      <c r="C234" s="2">
        <v>40</v>
      </c>
      <c r="D234" s="2">
        <v>10</v>
      </c>
      <c r="E234" s="2">
        <v>3.2</v>
      </c>
      <c r="F234" s="2">
        <f t="shared" si="13"/>
        <v>128</v>
      </c>
      <c r="G234" s="2">
        <f t="shared" si="14"/>
        <v>4.8000000000000007</v>
      </c>
      <c r="H234" s="2">
        <f t="shared" si="15"/>
        <v>5.1999999999999993</v>
      </c>
      <c r="I234" s="5">
        <f t="shared" si="16"/>
        <v>108.3333333333333</v>
      </c>
    </row>
    <row r="235" spans="2:9" x14ac:dyDescent="0.25">
      <c r="B235" s="4" t="s">
        <v>221</v>
      </c>
      <c r="C235" s="2">
        <v>1</v>
      </c>
      <c r="D235" s="2">
        <v>255</v>
      </c>
      <c r="E235" s="2">
        <v>220</v>
      </c>
      <c r="F235" s="2">
        <f t="shared" si="13"/>
        <v>220</v>
      </c>
      <c r="G235" s="2">
        <f t="shared" si="14"/>
        <v>221.6</v>
      </c>
      <c r="H235" s="2">
        <f t="shared" si="15"/>
        <v>33.400000000000006</v>
      </c>
      <c r="I235" s="5">
        <f t="shared" si="16"/>
        <v>15.072202166064985</v>
      </c>
    </row>
    <row r="236" spans="2:9" x14ac:dyDescent="0.25">
      <c r="B236" s="4" t="s">
        <v>93</v>
      </c>
      <c r="C236" s="2">
        <v>1</v>
      </c>
      <c r="D236" s="2">
        <v>280</v>
      </c>
      <c r="E236" s="2">
        <v>220</v>
      </c>
      <c r="F236" s="2">
        <f t="shared" si="13"/>
        <v>220</v>
      </c>
      <c r="G236" s="2">
        <f t="shared" si="14"/>
        <v>221.6</v>
      </c>
      <c r="H236" s="2">
        <f t="shared" si="15"/>
        <v>58.400000000000006</v>
      </c>
      <c r="I236" s="5">
        <f t="shared" si="16"/>
        <v>26.353790613718413</v>
      </c>
    </row>
    <row r="237" spans="2:9" x14ac:dyDescent="0.25">
      <c r="B237" s="4" t="s">
        <v>94</v>
      </c>
      <c r="C237" s="2">
        <v>1</v>
      </c>
      <c r="D237" s="2">
        <v>240</v>
      </c>
      <c r="E237" s="2">
        <v>180</v>
      </c>
      <c r="F237" s="2">
        <f t="shared" si="13"/>
        <v>180</v>
      </c>
      <c r="G237" s="2">
        <f t="shared" si="14"/>
        <v>181.6</v>
      </c>
      <c r="H237" s="2">
        <f t="shared" si="15"/>
        <v>58.400000000000006</v>
      </c>
      <c r="I237" s="5">
        <f t="shared" si="16"/>
        <v>32.158590308370052</v>
      </c>
    </row>
    <row r="238" spans="2:9" x14ac:dyDescent="0.25">
      <c r="B238" s="4" t="s">
        <v>95</v>
      </c>
      <c r="C238" s="2">
        <v>2</v>
      </c>
      <c r="D238" s="2">
        <v>200</v>
      </c>
      <c r="E238" s="2">
        <v>160</v>
      </c>
      <c r="F238" s="2">
        <f t="shared" si="13"/>
        <v>320</v>
      </c>
      <c r="G238" s="2">
        <f t="shared" si="14"/>
        <v>161.6</v>
      </c>
      <c r="H238" s="2">
        <f t="shared" si="15"/>
        <v>38.400000000000006</v>
      </c>
      <c r="I238" s="5">
        <f t="shared" si="16"/>
        <v>23.762376237623766</v>
      </c>
    </row>
    <row r="239" spans="2:9" x14ac:dyDescent="0.25">
      <c r="B239" s="4" t="s">
        <v>111</v>
      </c>
      <c r="C239" s="2">
        <v>11</v>
      </c>
      <c r="D239" s="2">
        <v>70</v>
      </c>
      <c r="E239" s="2">
        <v>46</v>
      </c>
      <c r="F239" s="2">
        <f t="shared" si="13"/>
        <v>506</v>
      </c>
      <c r="G239" s="2">
        <f t="shared" si="14"/>
        <v>47.6</v>
      </c>
      <c r="H239" s="2">
        <f t="shared" si="15"/>
        <v>22.4</v>
      </c>
      <c r="I239" s="5">
        <f t="shared" si="16"/>
        <v>47.058823529411761</v>
      </c>
    </row>
    <row r="240" spans="2:9" x14ac:dyDescent="0.25">
      <c r="B240" s="4" t="s">
        <v>222</v>
      </c>
      <c r="C240" s="2">
        <v>1</v>
      </c>
      <c r="D240" s="2">
        <v>75</v>
      </c>
      <c r="E240" s="2">
        <v>44.5</v>
      </c>
      <c r="F240" s="2">
        <f t="shared" si="13"/>
        <v>44.5</v>
      </c>
      <c r="G240" s="2">
        <f t="shared" si="14"/>
        <v>46.1</v>
      </c>
      <c r="H240" s="2">
        <f t="shared" si="15"/>
        <v>28.9</v>
      </c>
      <c r="I240" s="5">
        <f t="shared" si="16"/>
        <v>62.689804772234268</v>
      </c>
    </row>
    <row r="241" spans="2:9" x14ac:dyDescent="0.25">
      <c r="B241" s="4" t="s">
        <v>223</v>
      </c>
      <c r="C241" s="2">
        <v>55</v>
      </c>
      <c r="D241" s="2">
        <v>40</v>
      </c>
      <c r="E241" s="2">
        <v>22</v>
      </c>
      <c r="F241" s="2">
        <f t="shared" si="13"/>
        <v>1210</v>
      </c>
      <c r="G241" s="2">
        <f t="shared" si="14"/>
        <v>23.6</v>
      </c>
      <c r="H241" s="2">
        <f t="shared" si="15"/>
        <v>16.399999999999999</v>
      </c>
      <c r="I241" s="5">
        <f t="shared" si="16"/>
        <v>69.491525423728802</v>
      </c>
    </row>
    <row r="242" spans="2:9" x14ac:dyDescent="0.25">
      <c r="B242" s="4" t="s">
        <v>224</v>
      </c>
      <c r="C242" s="2">
        <v>50</v>
      </c>
      <c r="D242" s="2">
        <v>45</v>
      </c>
      <c r="E242" s="2">
        <v>18</v>
      </c>
      <c r="F242" s="2">
        <f t="shared" si="13"/>
        <v>900</v>
      </c>
      <c r="G242" s="2">
        <f t="shared" si="14"/>
        <v>19.600000000000001</v>
      </c>
      <c r="H242" s="2">
        <f t="shared" si="15"/>
        <v>25.4</v>
      </c>
      <c r="I242" s="5">
        <f t="shared" si="16"/>
        <v>129.59183673469386</v>
      </c>
    </row>
    <row r="243" spans="2:9" x14ac:dyDescent="0.25">
      <c r="B243" s="4" t="s">
        <v>225</v>
      </c>
      <c r="C243" s="2">
        <v>8</v>
      </c>
      <c r="D243" s="2">
        <v>100</v>
      </c>
      <c r="E243" s="2">
        <v>70</v>
      </c>
      <c r="F243" s="2">
        <f t="shared" si="13"/>
        <v>560</v>
      </c>
      <c r="G243" s="2">
        <f t="shared" si="14"/>
        <v>71.599999999999994</v>
      </c>
      <c r="H243" s="2">
        <f t="shared" si="15"/>
        <v>28.400000000000006</v>
      </c>
      <c r="I243" s="5">
        <f t="shared" si="16"/>
        <v>39.664804469273754</v>
      </c>
    </row>
    <row r="244" spans="2:9" x14ac:dyDescent="0.25">
      <c r="B244" s="4" t="s">
        <v>226</v>
      </c>
      <c r="C244" s="2">
        <v>3</v>
      </c>
      <c r="D244" s="2">
        <v>70</v>
      </c>
      <c r="E244" s="2">
        <v>45</v>
      </c>
      <c r="F244" s="2">
        <f t="shared" si="13"/>
        <v>135</v>
      </c>
      <c r="G244" s="2">
        <f t="shared" si="14"/>
        <v>46.6</v>
      </c>
      <c r="H244" s="2">
        <f t="shared" si="15"/>
        <v>23.4</v>
      </c>
      <c r="I244" s="5">
        <f t="shared" si="16"/>
        <v>50.214592274678104</v>
      </c>
    </row>
    <row r="245" spans="2:9" x14ac:dyDescent="0.25">
      <c r="B245" s="4" t="s">
        <v>227</v>
      </c>
      <c r="C245" s="2">
        <v>58</v>
      </c>
      <c r="D245" s="2">
        <v>85</v>
      </c>
      <c r="E245" s="2">
        <v>70</v>
      </c>
      <c r="F245" s="2">
        <f t="shared" si="13"/>
        <v>4060</v>
      </c>
      <c r="G245" s="2">
        <f t="shared" si="14"/>
        <v>71.599999999999994</v>
      </c>
      <c r="H245" s="2">
        <f t="shared" si="15"/>
        <v>13.400000000000006</v>
      </c>
      <c r="I245" s="5">
        <f t="shared" si="16"/>
        <v>18.715083798882691</v>
      </c>
    </row>
    <row r="246" spans="2:9" x14ac:dyDescent="0.25">
      <c r="F246" s="1">
        <f>SUM(F123:F245)</f>
        <v>93757.45</v>
      </c>
    </row>
    <row r="247" spans="2:9" x14ac:dyDescent="0.25">
      <c r="D247" s="1" t="s">
        <v>315</v>
      </c>
      <c r="E247" s="1">
        <v>1470</v>
      </c>
      <c r="F247" s="1">
        <f>E247/F246</f>
        <v>1.5678754061677232E-2</v>
      </c>
    </row>
    <row r="248" spans="2:9" x14ac:dyDescent="0.25">
      <c r="F248" s="1">
        <f>F247*100</f>
        <v>1.5678754061677231</v>
      </c>
    </row>
    <row r="249" spans="2:9" x14ac:dyDescent="0.25">
      <c r="F249" s="1">
        <v>1.6</v>
      </c>
    </row>
    <row r="250" spans="2:9" x14ac:dyDescent="0.25">
      <c r="B250" s="3" t="s">
        <v>228</v>
      </c>
      <c r="C250" s="2"/>
      <c r="D250" s="2"/>
      <c r="E250" s="2"/>
      <c r="F250" s="2"/>
      <c r="G250" s="2"/>
      <c r="H250" s="2"/>
      <c r="I250" s="2"/>
    </row>
    <row r="251" spans="2:9" x14ac:dyDescent="0.25">
      <c r="B251" s="4" t="s">
        <v>229</v>
      </c>
      <c r="C251" s="2">
        <v>4</v>
      </c>
      <c r="D251" s="2">
        <v>100</v>
      </c>
      <c r="E251" s="2">
        <v>80</v>
      </c>
      <c r="F251" s="2">
        <f>C251*E251</f>
        <v>320</v>
      </c>
      <c r="G251" s="2">
        <f>E251+3</f>
        <v>83</v>
      </c>
      <c r="H251" s="2">
        <f t="shared" si="15"/>
        <v>17</v>
      </c>
      <c r="I251" s="5">
        <f t="shared" ref="I198:I261" si="17">(D251-G251)/(G251)*100</f>
        <v>20.481927710843372</v>
      </c>
    </row>
    <row r="252" spans="2:9" x14ac:dyDescent="0.25">
      <c r="B252" s="4" t="s">
        <v>230</v>
      </c>
      <c r="C252" s="2">
        <v>3</v>
      </c>
      <c r="D252" s="2">
        <v>350</v>
      </c>
      <c r="E252" s="2">
        <v>280</v>
      </c>
      <c r="F252" s="2">
        <f t="shared" ref="F252:F315" si="18">C252*E252</f>
        <v>840</v>
      </c>
      <c r="G252" s="2">
        <f t="shared" ref="G252:G315" si="19">E252+3</f>
        <v>283</v>
      </c>
      <c r="H252" s="2">
        <f t="shared" si="15"/>
        <v>67</v>
      </c>
      <c r="I252" s="5">
        <f t="shared" si="17"/>
        <v>23.674911660777383</v>
      </c>
    </row>
    <row r="253" spans="2:9" x14ac:dyDescent="0.25">
      <c r="B253" s="4" t="s">
        <v>231</v>
      </c>
      <c r="C253" s="2">
        <v>1</v>
      </c>
      <c r="D253" s="2">
        <v>45</v>
      </c>
      <c r="E253" s="2">
        <v>25</v>
      </c>
      <c r="F253" s="2">
        <f t="shared" si="18"/>
        <v>25</v>
      </c>
      <c r="G253" s="2">
        <f t="shared" si="19"/>
        <v>28</v>
      </c>
      <c r="H253" s="2">
        <f t="shared" si="15"/>
        <v>17</v>
      </c>
      <c r="I253" s="5">
        <f t="shared" si="17"/>
        <v>60.714285714285708</v>
      </c>
    </row>
    <row r="254" spans="2:9" x14ac:dyDescent="0.25">
      <c r="B254" s="4" t="s">
        <v>232</v>
      </c>
      <c r="C254" s="2">
        <v>1</v>
      </c>
      <c r="D254" s="2">
        <v>40</v>
      </c>
      <c r="E254" s="2">
        <v>30</v>
      </c>
      <c r="F254" s="2">
        <f t="shared" si="18"/>
        <v>30</v>
      </c>
      <c r="G254" s="2">
        <f t="shared" si="19"/>
        <v>33</v>
      </c>
      <c r="H254" s="2">
        <f t="shared" si="15"/>
        <v>7</v>
      </c>
      <c r="I254" s="5">
        <f t="shared" si="17"/>
        <v>21.212121212121211</v>
      </c>
    </row>
    <row r="255" spans="2:9" x14ac:dyDescent="0.25">
      <c r="B255" s="4" t="s">
        <v>233</v>
      </c>
      <c r="C255" s="2">
        <v>2</v>
      </c>
      <c r="D255" s="2">
        <v>40</v>
      </c>
      <c r="E255" s="2">
        <v>22</v>
      </c>
      <c r="F255" s="2">
        <f t="shared" si="18"/>
        <v>44</v>
      </c>
      <c r="G255" s="2">
        <f t="shared" si="19"/>
        <v>25</v>
      </c>
      <c r="H255" s="2">
        <f t="shared" si="15"/>
        <v>15</v>
      </c>
      <c r="I255" s="5">
        <f t="shared" si="17"/>
        <v>60</v>
      </c>
    </row>
    <row r="256" spans="2:9" x14ac:dyDescent="0.25">
      <c r="B256" s="4" t="s">
        <v>234</v>
      </c>
      <c r="C256" s="2">
        <v>2</v>
      </c>
      <c r="D256" s="2">
        <v>35</v>
      </c>
      <c r="E256" s="2">
        <v>30</v>
      </c>
      <c r="F256" s="2">
        <f t="shared" si="18"/>
        <v>60</v>
      </c>
      <c r="G256" s="2">
        <f t="shared" si="19"/>
        <v>33</v>
      </c>
      <c r="H256" s="2">
        <f t="shared" si="15"/>
        <v>2</v>
      </c>
      <c r="I256" s="5">
        <f t="shared" si="17"/>
        <v>6.0606060606060606</v>
      </c>
    </row>
    <row r="257" spans="2:9" x14ac:dyDescent="0.25">
      <c r="B257" s="4" t="s">
        <v>235</v>
      </c>
      <c r="C257" s="2">
        <v>1</v>
      </c>
      <c r="D257" s="2">
        <v>40</v>
      </c>
      <c r="E257" s="2">
        <v>30</v>
      </c>
      <c r="F257" s="2">
        <f t="shared" si="18"/>
        <v>30</v>
      </c>
      <c r="G257" s="2">
        <f t="shared" si="19"/>
        <v>33</v>
      </c>
      <c r="H257" s="2">
        <f t="shared" si="15"/>
        <v>7</v>
      </c>
      <c r="I257" s="5">
        <f t="shared" si="17"/>
        <v>21.212121212121211</v>
      </c>
    </row>
    <row r="258" spans="2:9" x14ac:dyDescent="0.25">
      <c r="B258" s="4" t="s">
        <v>236</v>
      </c>
      <c r="C258" s="2">
        <v>5</v>
      </c>
      <c r="D258" s="2">
        <v>130</v>
      </c>
      <c r="E258" s="2">
        <v>90</v>
      </c>
      <c r="F258" s="2">
        <f t="shared" si="18"/>
        <v>450</v>
      </c>
      <c r="G258" s="2">
        <f t="shared" si="19"/>
        <v>93</v>
      </c>
      <c r="H258" s="2">
        <f t="shared" si="15"/>
        <v>37</v>
      </c>
      <c r="I258" s="5">
        <f t="shared" si="17"/>
        <v>39.784946236559136</v>
      </c>
    </row>
    <row r="259" spans="2:9" x14ac:dyDescent="0.25">
      <c r="B259" s="4" t="s">
        <v>123</v>
      </c>
      <c r="C259" s="2">
        <v>4</v>
      </c>
      <c r="D259" s="2">
        <v>140</v>
      </c>
      <c r="E259" s="2">
        <v>83</v>
      </c>
      <c r="F259" s="2">
        <f t="shared" si="18"/>
        <v>332</v>
      </c>
      <c r="G259" s="2">
        <f t="shared" si="19"/>
        <v>86</v>
      </c>
      <c r="H259" s="2">
        <f t="shared" si="15"/>
        <v>54</v>
      </c>
      <c r="I259" s="5">
        <f t="shared" si="17"/>
        <v>62.790697674418603</v>
      </c>
    </row>
    <row r="260" spans="2:9" x14ac:dyDescent="0.25">
      <c r="B260" s="4" t="s">
        <v>124</v>
      </c>
      <c r="C260" s="2">
        <v>1</v>
      </c>
      <c r="D260" s="2">
        <v>190</v>
      </c>
      <c r="E260" s="2">
        <v>147</v>
      </c>
      <c r="F260" s="2">
        <f t="shared" si="18"/>
        <v>147</v>
      </c>
      <c r="G260" s="2">
        <f t="shared" si="19"/>
        <v>150</v>
      </c>
      <c r="H260" s="2">
        <f t="shared" si="15"/>
        <v>40</v>
      </c>
      <c r="I260" s="5">
        <f t="shared" si="17"/>
        <v>26.666666666666668</v>
      </c>
    </row>
    <row r="261" spans="2:9" x14ac:dyDescent="0.25">
      <c r="B261" s="4" t="s">
        <v>127</v>
      </c>
      <c r="C261" s="2">
        <v>3</v>
      </c>
      <c r="D261" s="2">
        <v>180</v>
      </c>
      <c r="E261" s="2">
        <v>147</v>
      </c>
      <c r="F261" s="2">
        <f t="shared" si="18"/>
        <v>441</v>
      </c>
      <c r="G261" s="2">
        <f t="shared" si="19"/>
        <v>150</v>
      </c>
      <c r="H261" s="2">
        <f t="shared" si="15"/>
        <v>30</v>
      </c>
      <c r="I261" s="5">
        <f t="shared" si="17"/>
        <v>20</v>
      </c>
    </row>
    <row r="262" spans="2:9" x14ac:dyDescent="0.25">
      <c r="B262" s="4" t="s">
        <v>128</v>
      </c>
      <c r="C262" s="2">
        <v>3</v>
      </c>
      <c r="D262" s="2">
        <v>180</v>
      </c>
      <c r="E262" s="2">
        <v>128</v>
      </c>
      <c r="F262" s="2">
        <f t="shared" si="18"/>
        <v>384</v>
      </c>
      <c r="G262" s="2">
        <f t="shared" si="19"/>
        <v>131</v>
      </c>
      <c r="H262" s="2">
        <f t="shared" ref="H262:H325" si="20">D262-G262</f>
        <v>49</v>
      </c>
      <c r="I262" s="5">
        <f t="shared" ref="I262:I325" si="21">(D262-G262)/(G262)*100</f>
        <v>37.404580152671755</v>
      </c>
    </row>
    <row r="263" spans="2:9" x14ac:dyDescent="0.25">
      <c r="B263" s="4" t="s">
        <v>237</v>
      </c>
      <c r="C263" s="2">
        <v>2</v>
      </c>
      <c r="D263" s="2">
        <v>550</v>
      </c>
      <c r="E263" s="2">
        <v>550</v>
      </c>
      <c r="F263" s="2">
        <f t="shared" si="18"/>
        <v>1100</v>
      </c>
      <c r="G263" s="2">
        <f t="shared" si="19"/>
        <v>553</v>
      </c>
      <c r="H263" s="2">
        <f t="shared" si="20"/>
        <v>-3</v>
      </c>
      <c r="I263" s="5">
        <f t="shared" si="21"/>
        <v>-0.54249547920433994</v>
      </c>
    </row>
    <row r="264" spans="2:9" x14ac:dyDescent="0.25">
      <c r="B264" s="4" t="s">
        <v>130</v>
      </c>
      <c r="C264" s="2">
        <v>2</v>
      </c>
      <c r="D264" s="2">
        <v>150</v>
      </c>
      <c r="E264" s="2">
        <v>110</v>
      </c>
      <c r="F264" s="2">
        <f t="shared" si="18"/>
        <v>220</v>
      </c>
      <c r="G264" s="2">
        <f t="shared" si="19"/>
        <v>113</v>
      </c>
      <c r="H264" s="2">
        <f t="shared" si="20"/>
        <v>37</v>
      </c>
      <c r="I264" s="5">
        <f t="shared" si="21"/>
        <v>32.743362831858406</v>
      </c>
    </row>
    <row r="265" spans="2:9" x14ac:dyDescent="0.25">
      <c r="B265" s="4" t="s">
        <v>238</v>
      </c>
      <c r="C265" s="2">
        <v>1</v>
      </c>
      <c r="D265" s="2">
        <v>180</v>
      </c>
      <c r="E265" s="2">
        <v>130</v>
      </c>
      <c r="F265" s="2">
        <f t="shared" si="18"/>
        <v>130</v>
      </c>
      <c r="G265" s="2">
        <f t="shared" si="19"/>
        <v>133</v>
      </c>
      <c r="H265" s="2">
        <f t="shared" si="20"/>
        <v>47</v>
      </c>
      <c r="I265" s="5">
        <f t="shared" si="21"/>
        <v>35.338345864661655</v>
      </c>
    </row>
    <row r="266" spans="2:9" x14ac:dyDescent="0.25">
      <c r="B266" s="4" t="s">
        <v>133</v>
      </c>
      <c r="C266" s="2">
        <v>6</v>
      </c>
      <c r="D266" s="2">
        <v>18</v>
      </c>
      <c r="E266" s="2">
        <v>12</v>
      </c>
      <c r="F266" s="2">
        <f t="shared" si="18"/>
        <v>72</v>
      </c>
      <c r="G266" s="2">
        <f t="shared" si="19"/>
        <v>15</v>
      </c>
      <c r="H266" s="2">
        <f t="shared" si="20"/>
        <v>3</v>
      </c>
      <c r="I266" s="5">
        <f t="shared" si="21"/>
        <v>20</v>
      </c>
    </row>
    <row r="267" spans="2:9" x14ac:dyDescent="0.25">
      <c r="B267" s="4" t="s">
        <v>134</v>
      </c>
      <c r="C267" s="2">
        <v>1</v>
      </c>
      <c r="D267" s="2">
        <v>20</v>
      </c>
      <c r="E267" s="2">
        <v>12</v>
      </c>
      <c r="F267" s="2">
        <f t="shared" si="18"/>
        <v>12</v>
      </c>
      <c r="G267" s="2">
        <f t="shared" si="19"/>
        <v>15</v>
      </c>
      <c r="H267" s="2">
        <f t="shared" si="20"/>
        <v>5</v>
      </c>
      <c r="I267" s="5">
        <f t="shared" si="21"/>
        <v>33.333333333333329</v>
      </c>
    </row>
    <row r="268" spans="2:9" x14ac:dyDescent="0.25">
      <c r="B268" s="4" t="s">
        <v>239</v>
      </c>
      <c r="C268" s="2">
        <v>2</v>
      </c>
      <c r="D268" s="2">
        <v>20</v>
      </c>
      <c r="E268" s="2">
        <v>10</v>
      </c>
      <c r="F268" s="2">
        <f t="shared" si="18"/>
        <v>20</v>
      </c>
      <c r="G268" s="2">
        <f t="shared" si="19"/>
        <v>13</v>
      </c>
      <c r="H268" s="2">
        <f t="shared" si="20"/>
        <v>7</v>
      </c>
      <c r="I268" s="5">
        <f t="shared" si="21"/>
        <v>53.846153846153847</v>
      </c>
    </row>
    <row r="269" spans="2:9" x14ac:dyDescent="0.25">
      <c r="B269" s="4" t="s">
        <v>240</v>
      </c>
      <c r="C269" s="2">
        <v>10</v>
      </c>
      <c r="D269" s="2">
        <v>10</v>
      </c>
      <c r="E269" s="2">
        <v>4.75</v>
      </c>
      <c r="F269" s="2">
        <f t="shared" si="18"/>
        <v>47.5</v>
      </c>
      <c r="G269" s="2">
        <f t="shared" si="19"/>
        <v>7.75</v>
      </c>
      <c r="H269" s="2">
        <f t="shared" si="20"/>
        <v>2.25</v>
      </c>
      <c r="I269" s="5">
        <f t="shared" si="21"/>
        <v>29.032258064516132</v>
      </c>
    </row>
    <row r="270" spans="2:9" x14ac:dyDescent="0.25">
      <c r="B270" s="4" t="s">
        <v>241</v>
      </c>
      <c r="C270" s="2">
        <v>100</v>
      </c>
      <c r="D270" s="2">
        <v>2</v>
      </c>
      <c r="E270" s="2">
        <v>0.75</v>
      </c>
      <c r="F270" s="2">
        <f t="shared" si="18"/>
        <v>75</v>
      </c>
      <c r="G270" s="2">
        <f t="shared" si="19"/>
        <v>3.75</v>
      </c>
      <c r="H270" s="2">
        <f t="shared" si="20"/>
        <v>-1.75</v>
      </c>
      <c r="I270" s="5">
        <f t="shared" si="21"/>
        <v>-46.666666666666664</v>
      </c>
    </row>
    <row r="271" spans="2:9" x14ac:dyDescent="0.25">
      <c r="B271" s="4" t="s">
        <v>136</v>
      </c>
      <c r="C271" s="2">
        <v>100</v>
      </c>
      <c r="D271" s="2">
        <v>2</v>
      </c>
      <c r="E271" s="2">
        <v>0.75</v>
      </c>
      <c r="F271" s="2">
        <f t="shared" si="18"/>
        <v>75</v>
      </c>
      <c r="G271" s="2">
        <f t="shared" si="19"/>
        <v>3.75</v>
      </c>
      <c r="H271" s="2">
        <f t="shared" si="20"/>
        <v>-1.75</v>
      </c>
      <c r="I271" s="5">
        <f t="shared" si="21"/>
        <v>-46.666666666666664</v>
      </c>
    </row>
    <row r="272" spans="2:9" x14ac:dyDescent="0.25">
      <c r="B272" s="4" t="s">
        <v>23</v>
      </c>
      <c r="C272" s="2">
        <v>4</v>
      </c>
      <c r="D272" s="2">
        <v>12</v>
      </c>
      <c r="E272" s="2">
        <v>4</v>
      </c>
      <c r="F272" s="2">
        <f t="shared" si="18"/>
        <v>16</v>
      </c>
      <c r="G272" s="2">
        <f t="shared" si="19"/>
        <v>7</v>
      </c>
      <c r="H272" s="2">
        <f t="shared" si="20"/>
        <v>5</v>
      </c>
      <c r="I272" s="5">
        <f t="shared" si="21"/>
        <v>71.428571428571431</v>
      </c>
    </row>
    <row r="273" spans="2:9" x14ac:dyDescent="0.25">
      <c r="B273" s="4" t="s">
        <v>138</v>
      </c>
      <c r="C273" s="2">
        <v>11</v>
      </c>
      <c r="D273" s="2">
        <v>20</v>
      </c>
      <c r="E273" s="2">
        <v>13</v>
      </c>
      <c r="F273" s="2">
        <f t="shared" si="18"/>
        <v>143</v>
      </c>
      <c r="G273" s="2">
        <f t="shared" si="19"/>
        <v>16</v>
      </c>
      <c r="H273" s="2">
        <f t="shared" si="20"/>
        <v>4</v>
      </c>
      <c r="I273" s="5">
        <f t="shared" si="21"/>
        <v>25</v>
      </c>
    </row>
    <row r="274" spans="2:9" x14ac:dyDescent="0.25">
      <c r="B274" s="4" t="s">
        <v>139</v>
      </c>
      <c r="C274" s="2">
        <v>5</v>
      </c>
      <c r="D274" s="2">
        <v>45</v>
      </c>
      <c r="E274" s="2">
        <v>24</v>
      </c>
      <c r="F274" s="2">
        <f t="shared" si="18"/>
        <v>120</v>
      </c>
      <c r="G274" s="2">
        <f t="shared" si="19"/>
        <v>27</v>
      </c>
      <c r="H274" s="2">
        <f t="shared" si="20"/>
        <v>18</v>
      </c>
      <c r="I274" s="5">
        <f t="shared" si="21"/>
        <v>66.666666666666657</v>
      </c>
    </row>
    <row r="275" spans="2:9" x14ac:dyDescent="0.25">
      <c r="B275" s="4" t="s">
        <v>140</v>
      </c>
      <c r="C275" s="2">
        <v>4</v>
      </c>
      <c r="D275" s="2">
        <v>230</v>
      </c>
      <c r="E275" s="2">
        <v>150</v>
      </c>
      <c r="F275" s="2">
        <f t="shared" si="18"/>
        <v>600</v>
      </c>
      <c r="G275" s="2">
        <f t="shared" si="19"/>
        <v>153</v>
      </c>
      <c r="H275" s="2">
        <f t="shared" si="20"/>
        <v>77</v>
      </c>
      <c r="I275" s="5">
        <f t="shared" si="21"/>
        <v>50.326797385620914</v>
      </c>
    </row>
    <row r="276" spans="2:9" x14ac:dyDescent="0.25">
      <c r="B276" s="4" t="s">
        <v>242</v>
      </c>
      <c r="C276" s="2">
        <v>1</v>
      </c>
      <c r="D276" s="2">
        <v>190</v>
      </c>
      <c r="E276" s="2">
        <v>130</v>
      </c>
      <c r="F276" s="2">
        <f t="shared" si="18"/>
        <v>130</v>
      </c>
      <c r="G276" s="2">
        <f t="shared" si="19"/>
        <v>133</v>
      </c>
      <c r="H276" s="2">
        <f t="shared" si="20"/>
        <v>57</v>
      </c>
      <c r="I276" s="5">
        <f t="shared" si="21"/>
        <v>42.857142857142854</v>
      </c>
    </row>
    <row r="277" spans="2:9" x14ac:dyDescent="0.25">
      <c r="B277" s="4" t="s">
        <v>243</v>
      </c>
      <c r="C277" s="2">
        <v>1</v>
      </c>
      <c r="D277" s="2">
        <v>160</v>
      </c>
      <c r="E277" s="2">
        <v>105</v>
      </c>
      <c r="F277" s="2">
        <f t="shared" si="18"/>
        <v>105</v>
      </c>
      <c r="G277" s="2">
        <f t="shared" si="19"/>
        <v>108</v>
      </c>
      <c r="H277" s="2">
        <f t="shared" si="20"/>
        <v>52</v>
      </c>
      <c r="I277" s="5">
        <f t="shared" si="21"/>
        <v>48.148148148148145</v>
      </c>
    </row>
    <row r="278" spans="2:9" x14ac:dyDescent="0.25">
      <c r="B278" s="4" t="s">
        <v>244</v>
      </c>
      <c r="C278" s="2">
        <v>56</v>
      </c>
      <c r="D278" s="2">
        <v>3</v>
      </c>
      <c r="E278" s="2">
        <v>1.75</v>
      </c>
      <c r="F278" s="2">
        <f t="shared" si="18"/>
        <v>98</v>
      </c>
      <c r="G278" s="2">
        <f t="shared" si="19"/>
        <v>4.75</v>
      </c>
      <c r="H278" s="2">
        <f t="shared" si="20"/>
        <v>-1.75</v>
      </c>
      <c r="I278" s="5">
        <f t="shared" si="21"/>
        <v>-36.84210526315789</v>
      </c>
    </row>
    <row r="279" spans="2:9" x14ac:dyDescent="0.25">
      <c r="B279" s="4" t="s">
        <v>143</v>
      </c>
      <c r="C279" s="2">
        <v>1</v>
      </c>
      <c r="D279" s="2">
        <v>230</v>
      </c>
      <c r="E279" s="2">
        <v>150</v>
      </c>
      <c r="F279" s="2">
        <f t="shared" si="18"/>
        <v>150</v>
      </c>
      <c r="G279" s="2">
        <f t="shared" si="19"/>
        <v>153</v>
      </c>
      <c r="H279" s="2">
        <f t="shared" si="20"/>
        <v>77</v>
      </c>
      <c r="I279" s="5">
        <f t="shared" si="21"/>
        <v>50.326797385620914</v>
      </c>
    </row>
    <row r="280" spans="2:9" x14ac:dyDescent="0.25">
      <c r="B280" s="4" t="s">
        <v>145</v>
      </c>
      <c r="C280" s="2">
        <v>4</v>
      </c>
      <c r="D280" s="2">
        <v>125</v>
      </c>
      <c r="E280" s="2">
        <v>85</v>
      </c>
      <c r="F280" s="2">
        <f t="shared" si="18"/>
        <v>340</v>
      </c>
      <c r="G280" s="2">
        <f t="shared" si="19"/>
        <v>88</v>
      </c>
      <c r="H280" s="2">
        <f t="shared" si="20"/>
        <v>37</v>
      </c>
      <c r="I280" s="5">
        <f t="shared" si="21"/>
        <v>42.045454545454547</v>
      </c>
    </row>
    <row r="281" spans="2:9" x14ac:dyDescent="0.25">
      <c r="B281" s="4" t="s">
        <v>245</v>
      </c>
      <c r="C281" s="2">
        <v>1</v>
      </c>
      <c r="D281" s="2">
        <v>730</v>
      </c>
      <c r="E281" s="2">
        <v>680</v>
      </c>
      <c r="F281" s="2">
        <f t="shared" si="18"/>
        <v>680</v>
      </c>
      <c r="G281" s="2">
        <f t="shared" si="19"/>
        <v>683</v>
      </c>
      <c r="H281" s="2">
        <f t="shared" si="20"/>
        <v>47</v>
      </c>
      <c r="I281" s="5">
        <f t="shared" si="21"/>
        <v>6.8814055636896052</v>
      </c>
    </row>
    <row r="282" spans="2:9" x14ac:dyDescent="0.25">
      <c r="B282" s="4" t="s">
        <v>246</v>
      </c>
      <c r="C282" s="2">
        <v>3</v>
      </c>
      <c r="D282" s="2">
        <v>850</v>
      </c>
      <c r="E282" s="2">
        <v>750</v>
      </c>
      <c r="F282" s="2">
        <f t="shared" si="18"/>
        <v>2250</v>
      </c>
      <c r="G282" s="2">
        <f t="shared" si="19"/>
        <v>753</v>
      </c>
      <c r="H282" s="2">
        <f t="shared" si="20"/>
        <v>97</v>
      </c>
      <c r="I282" s="5">
        <f t="shared" si="21"/>
        <v>12.881806108897742</v>
      </c>
    </row>
    <row r="283" spans="2:9" x14ac:dyDescent="0.25">
      <c r="B283" s="4" t="s">
        <v>247</v>
      </c>
      <c r="C283" s="2">
        <v>1</v>
      </c>
      <c r="D283" s="2">
        <v>800</v>
      </c>
      <c r="E283" s="2">
        <v>600</v>
      </c>
      <c r="F283" s="2">
        <f t="shared" si="18"/>
        <v>600</v>
      </c>
      <c r="G283" s="2">
        <f t="shared" si="19"/>
        <v>603</v>
      </c>
      <c r="H283" s="2">
        <f t="shared" si="20"/>
        <v>197</v>
      </c>
      <c r="I283" s="5">
        <f t="shared" si="21"/>
        <v>32.669983416252073</v>
      </c>
    </row>
    <row r="284" spans="2:9" x14ac:dyDescent="0.25">
      <c r="B284" s="4" t="s">
        <v>248</v>
      </c>
      <c r="C284" s="2">
        <v>1</v>
      </c>
      <c r="D284" s="2">
        <v>75</v>
      </c>
      <c r="E284" s="2">
        <v>42</v>
      </c>
      <c r="F284" s="2">
        <f t="shared" si="18"/>
        <v>42</v>
      </c>
      <c r="G284" s="2">
        <f t="shared" si="19"/>
        <v>45</v>
      </c>
      <c r="H284" s="2">
        <f t="shared" si="20"/>
        <v>30</v>
      </c>
      <c r="I284" s="5">
        <f t="shared" si="21"/>
        <v>66.666666666666657</v>
      </c>
    </row>
    <row r="285" spans="2:9" x14ac:dyDescent="0.25">
      <c r="B285" s="4" t="s">
        <v>249</v>
      </c>
      <c r="C285" s="2">
        <v>1</v>
      </c>
      <c r="D285" s="2">
        <v>510</v>
      </c>
      <c r="E285" s="2">
        <v>440</v>
      </c>
      <c r="F285" s="2">
        <f t="shared" si="18"/>
        <v>440</v>
      </c>
      <c r="G285" s="2">
        <f t="shared" si="19"/>
        <v>443</v>
      </c>
      <c r="H285" s="2">
        <f t="shared" si="20"/>
        <v>67</v>
      </c>
      <c r="I285" s="5">
        <f t="shared" si="21"/>
        <v>15.124153498871332</v>
      </c>
    </row>
    <row r="286" spans="2:9" x14ac:dyDescent="0.25">
      <c r="B286" s="4" t="s">
        <v>250</v>
      </c>
      <c r="C286" s="2">
        <v>2</v>
      </c>
      <c r="D286" s="2">
        <v>35</v>
      </c>
      <c r="E286" s="2">
        <v>18</v>
      </c>
      <c r="F286" s="2">
        <f t="shared" si="18"/>
        <v>36</v>
      </c>
      <c r="G286" s="2">
        <f t="shared" si="19"/>
        <v>21</v>
      </c>
      <c r="H286" s="2">
        <f t="shared" si="20"/>
        <v>14</v>
      </c>
      <c r="I286" s="5">
        <f t="shared" si="21"/>
        <v>66.666666666666657</v>
      </c>
    </row>
    <row r="287" spans="2:9" x14ac:dyDescent="0.25">
      <c r="B287" s="4" t="s">
        <v>251</v>
      </c>
      <c r="C287" s="2">
        <v>1</v>
      </c>
      <c r="D287" s="2">
        <v>45</v>
      </c>
      <c r="E287" s="2">
        <v>20</v>
      </c>
      <c r="F287" s="2">
        <f t="shared" si="18"/>
        <v>20</v>
      </c>
      <c r="G287" s="2">
        <f t="shared" si="19"/>
        <v>23</v>
      </c>
      <c r="H287" s="2">
        <f t="shared" si="20"/>
        <v>22</v>
      </c>
      <c r="I287" s="5">
        <f t="shared" si="21"/>
        <v>95.652173913043484</v>
      </c>
    </row>
    <row r="288" spans="2:9" x14ac:dyDescent="0.25">
      <c r="B288" s="4" t="s">
        <v>252</v>
      </c>
      <c r="C288" s="2">
        <v>29</v>
      </c>
      <c r="D288" s="2">
        <v>35</v>
      </c>
      <c r="E288" s="2">
        <v>22</v>
      </c>
      <c r="F288" s="2">
        <f t="shared" si="18"/>
        <v>638</v>
      </c>
      <c r="G288" s="2">
        <f t="shared" si="19"/>
        <v>25</v>
      </c>
      <c r="H288" s="2">
        <f t="shared" si="20"/>
        <v>10</v>
      </c>
      <c r="I288" s="5">
        <f t="shared" si="21"/>
        <v>40</v>
      </c>
    </row>
    <row r="289" spans="2:9" x14ac:dyDescent="0.25">
      <c r="B289" s="4" t="s">
        <v>253</v>
      </c>
      <c r="C289" s="2">
        <v>7</v>
      </c>
      <c r="D289" s="2">
        <v>65</v>
      </c>
      <c r="E289" s="2">
        <v>45</v>
      </c>
      <c r="F289" s="2">
        <f t="shared" si="18"/>
        <v>315</v>
      </c>
      <c r="G289" s="2">
        <f t="shared" si="19"/>
        <v>48</v>
      </c>
      <c r="H289" s="2">
        <f t="shared" si="20"/>
        <v>17</v>
      </c>
      <c r="I289" s="5">
        <f t="shared" si="21"/>
        <v>35.416666666666671</v>
      </c>
    </row>
    <row r="290" spans="2:9" x14ac:dyDescent="0.25">
      <c r="B290" s="4" t="s">
        <v>153</v>
      </c>
      <c r="C290" s="2">
        <v>49</v>
      </c>
      <c r="D290" s="2">
        <v>5</v>
      </c>
      <c r="E290" s="2">
        <v>2.2000000000000002</v>
      </c>
      <c r="F290" s="2">
        <f t="shared" si="18"/>
        <v>107.80000000000001</v>
      </c>
      <c r="G290" s="2">
        <f t="shared" si="19"/>
        <v>5.2</v>
      </c>
      <c r="H290" s="2">
        <f t="shared" si="20"/>
        <v>-0.20000000000000018</v>
      </c>
      <c r="I290" s="5">
        <f t="shared" si="21"/>
        <v>-3.8461538461538494</v>
      </c>
    </row>
    <row r="291" spans="2:9" x14ac:dyDescent="0.25">
      <c r="B291" s="4" t="s">
        <v>61</v>
      </c>
      <c r="C291" s="2">
        <v>1</v>
      </c>
      <c r="D291" s="2">
        <v>150</v>
      </c>
      <c r="E291" s="2">
        <v>85</v>
      </c>
      <c r="F291" s="2">
        <f t="shared" si="18"/>
        <v>85</v>
      </c>
      <c r="G291" s="2">
        <f t="shared" si="19"/>
        <v>88</v>
      </c>
      <c r="H291" s="2">
        <f t="shared" si="20"/>
        <v>62</v>
      </c>
      <c r="I291" s="5">
        <f t="shared" si="21"/>
        <v>70.454545454545453</v>
      </c>
    </row>
    <row r="292" spans="2:9" x14ac:dyDescent="0.25">
      <c r="B292" s="4" t="s">
        <v>254</v>
      </c>
      <c r="C292" s="2">
        <v>2</v>
      </c>
      <c r="D292" s="2">
        <v>450</v>
      </c>
      <c r="E292" s="2">
        <v>370</v>
      </c>
      <c r="F292" s="2">
        <f t="shared" si="18"/>
        <v>740</v>
      </c>
      <c r="G292" s="2">
        <f t="shared" si="19"/>
        <v>373</v>
      </c>
      <c r="H292" s="2">
        <f t="shared" si="20"/>
        <v>77</v>
      </c>
      <c r="I292" s="5">
        <f t="shared" si="21"/>
        <v>20.64343163538874</v>
      </c>
    </row>
    <row r="293" spans="2:9" x14ac:dyDescent="0.25">
      <c r="B293" s="4" t="s">
        <v>255</v>
      </c>
      <c r="C293" s="2">
        <v>1</v>
      </c>
      <c r="D293" s="2">
        <v>450</v>
      </c>
      <c r="E293" s="2">
        <v>370</v>
      </c>
      <c r="F293" s="2">
        <f t="shared" si="18"/>
        <v>370</v>
      </c>
      <c r="G293" s="2">
        <f t="shared" si="19"/>
        <v>373</v>
      </c>
      <c r="H293" s="2">
        <f t="shared" si="20"/>
        <v>77</v>
      </c>
      <c r="I293" s="5">
        <f t="shared" si="21"/>
        <v>20.64343163538874</v>
      </c>
    </row>
    <row r="294" spans="2:9" x14ac:dyDescent="0.25">
      <c r="B294" s="4" t="s">
        <v>256</v>
      </c>
      <c r="C294" s="2">
        <v>3</v>
      </c>
      <c r="D294" s="2">
        <v>771</v>
      </c>
      <c r="E294" s="2">
        <v>550</v>
      </c>
      <c r="F294" s="2">
        <f t="shared" si="18"/>
        <v>1650</v>
      </c>
      <c r="G294" s="2">
        <f t="shared" si="19"/>
        <v>553</v>
      </c>
      <c r="H294" s="2">
        <f t="shared" si="20"/>
        <v>218</v>
      </c>
      <c r="I294" s="5">
        <f t="shared" si="21"/>
        <v>39.421338155515372</v>
      </c>
    </row>
    <row r="295" spans="2:9" x14ac:dyDescent="0.25">
      <c r="B295" s="4" t="s">
        <v>257</v>
      </c>
      <c r="C295" s="2">
        <v>1</v>
      </c>
      <c r="D295" s="2">
        <v>500</v>
      </c>
      <c r="E295" s="2">
        <v>250</v>
      </c>
      <c r="F295" s="2">
        <f t="shared" si="18"/>
        <v>250</v>
      </c>
      <c r="G295" s="2">
        <f t="shared" si="19"/>
        <v>253</v>
      </c>
      <c r="H295" s="2">
        <f t="shared" si="20"/>
        <v>247</v>
      </c>
      <c r="I295" s="5">
        <f t="shared" si="21"/>
        <v>97.628458498023718</v>
      </c>
    </row>
    <row r="296" spans="2:9" x14ac:dyDescent="0.25">
      <c r="B296" s="4" t="s">
        <v>258</v>
      </c>
      <c r="C296" s="2">
        <v>2</v>
      </c>
      <c r="D296" s="2">
        <v>500</v>
      </c>
      <c r="E296" s="2">
        <v>400</v>
      </c>
      <c r="F296" s="2">
        <f t="shared" si="18"/>
        <v>800</v>
      </c>
      <c r="G296" s="2">
        <f t="shared" si="19"/>
        <v>403</v>
      </c>
      <c r="H296" s="2">
        <f t="shared" si="20"/>
        <v>97</v>
      </c>
      <c r="I296" s="5">
        <f t="shared" si="21"/>
        <v>24.069478908188586</v>
      </c>
    </row>
    <row r="297" spans="2:9" x14ac:dyDescent="0.25">
      <c r="B297" s="4" t="s">
        <v>259</v>
      </c>
      <c r="C297" s="2">
        <v>2</v>
      </c>
      <c r="D297" s="2">
        <v>2100</v>
      </c>
      <c r="E297" s="2">
        <v>1800</v>
      </c>
      <c r="F297" s="2">
        <f t="shared" si="18"/>
        <v>3600</v>
      </c>
      <c r="G297" s="2">
        <f t="shared" si="19"/>
        <v>1803</v>
      </c>
      <c r="H297" s="2">
        <f t="shared" si="20"/>
        <v>297</v>
      </c>
      <c r="I297" s="5">
        <f t="shared" si="21"/>
        <v>16.472545757071547</v>
      </c>
    </row>
    <row r="298" spans="2:9" x14ac:dyDescent="0.25">
      <c r="B298" s="4" t="s">
        <v>260</v>
      </c>
      <c r="C298" s="2">
        <v>2</v>
      </c>
      <c r="D298" s="2">
        <v>600</v>
      </c>
      <c r="E298" s="2">
        <v>550</v>
      </c>
      <c r="F298" s="2">
        <f t="shared" si="18"/>
        <v>1100</v>
      </c>
      <c r="G298" s="2">
        <f t="shared" si="19"/>
        <v>553</v>
      </c>
      <c r="H298" s="2">
        <f t="shared" si="20"/>
        <v>47</v>
      </c>
      <c r="I298" s="5">
        <f t="shared" si="21"/>
        <v>8.4990958408679926</v>
      </c>
    </row>
    <row r="299" spans="2:9" x14ac:dyDescent="0.25">
      <c r="B299" s="4" t="s">
        <v>261</v>
      </c>
      <c r="C299" s="2">
        <v>1</v>
      </c>
      <c r="D299" s="2">
        <v>2280</v>
      </c>
      <c r="E299" s="2">
        <v>1800</v>
      </c>
      <c r="F299" s="2">
        <f t="shared" si="18"/>
        <v>1800</v>
      </c>
      <c r="G299" s="2">
        <f t="shared" si="19"/>
        <v>1803</v>
      </c>
      <c r="H299" s="2">
        <f t="shared" si="20"/>
        <v>477</v>
      </c>
      <c r="I299" s="5">
        <f t="shared" si="21"/>
        <v>26.455906821963392</v>
      </c>
    </row>
    <row r="300" spans="2:9" x14ac:dyDescent="0.25">
      <c r="B300" s="4" t="s">
        <v>262</v>
      </c>
      <c r="C300" s="2">
        <v>8</v>
      </c>
      <c r="D300" s="2">
        <v>20</v>
      </c>
      <c r="E300" s="2">
        <v>17</v>
      </c>
      <c r="F300" s="2">
        <f t="shared" si="18"/>
        <v>136</v>
      </c>
      <c r="G300" s="2">
        <f t="shared" si="19"/>
        <v>20</v>
      </c>
      <c r="H300" s="2">
        <f t="shared" si="20"/>
        <v>0</v>
      </c>
      <c r="I300" s="5">
        <f t="shared" si="21"/>
        <v>0</v>
      </c>
    </row>
    <row r="301" spans="2:9" x14ac:dyDescent="0.25">
      <c r="B301" s="4" t="s">
        <v>263</v>
      </c>
      <c r="C301" s="2">
        <v>20</v>
      </c>
      <c r="D301" s="2">
        <v>18</v>
      </c>
      <c r="E301" s="2">
        <v>12.5</v>
      </c>
      <c r="F301" s="2">
        <f t="shared" si="18"/>
        <v>250</v>
      </c>
      <c r="G301" s="2">
        <f t="shared" si="19"/>
        <v>15.5</v>
      </c>
      <c r="H301" s="2">
        <f t="shared" si="20"/>
        <v>2.5</v>
      </c>
      <c r="I301" s="5">
        <f t="shared" si="21"/>
        <v>16.129032258064516</v>
      </c>
    </row>
    <row r="302" spans="2:9" x14ac:dyDescent="0.25">
      <c r="B302" s="4" t="s">
        <v>162</v>
      </c>
      <c r="C302" s="2">
        <v>24</v>
      </c>
      <c r="D302" s="2">
        <v>10</v>
      </c>
      <c r="E302" s="2">
        <v>4.5</v>
      </c>
      <c r="F302" s="2">
        <f t="shared" si="18"/>
        <v>108</v>
      </c>
      <c r="G302" s="2">
        <f t="shared" si="19"/>
        <v>7.5</v>
      </c>
      <c r="H302" s="2">
        <f t="shared" si="20"/>
        <v>2.5</v>
      </c>
      <c r="I302" s="5">
        <f t="shared" si="21"/>
        <v>33.333333333333329</v>
      </c>
    </row>
    <row r="303" spans="2:9" x14ac:dyDescent="0.25">
      <c r="B303" s="4" t="s">
        <v>264</v>
      </c>
      <c r="C303" s="2">
        <v>20</v>
      </c>
      <c r="D303" s="2">
        <v>15</v>
      </c>
      <c r="E303" s="2">
        <v>10</v>
      </c>
      <c r="F303" s="2">
        <f t="shared" si="18"/>
        <v>200</v>
      </c>
      <c r="G303" s="2">
        <f t="shared" si="19"/>
        <v>13</v>
      </c>
      <c r="H303" s="2">
        <f t="shared" si="20"/>
        <v>2</v>
      </c>
      <c r="I303" s="5">
        <f t="shared" si="21"/>
        <v>15.384615384615385</v>
      </c>
    </row>
    <row r="304" spans="2:9" x14ac:dyDescent="0.25">
      <c r="B304" s="4" t="s">
        <v>265</v>
      </c>
      <c r="C304" s="2">
        <v>8</v>
      </c>
      <c r="D304" s="2">
        <v>10</v>
      </c>
      <c r="E304" s="2">
        <v>5</v>
      </c>
      <c r="F304" s="2">
        <f t="shared" si="18"/>
        <v>40</v>
      </c>
      <c r="G304" s="2">
        <f t="shared" si="19"/>
        <v>8</v>
      </c>
      <c r="H304" s="2">
        <f t="shared" si="20"/>
        <v>2</v>
      </c>
      <c r="I304" s="5">
        <f t="shared" si="21"/>
        <v>25</v>
      </c>
    </row>
    <row r="305" spans="2:9" x14ac:dyDescent="0.25">
      <c r="B305" s="4" t="s">
        <v>266</v>
      </c>
      <c r="C305" s="2">
        <v>4</v>
      </c>
      <c r="D305" s="2">
        <v>45</v>
      </c>
      <c r="E305" s="2">
        <v>38</v>
      </c>
      <c r="F305" s="2">
        <f t="shared" si="18"/>
        <v>152</v>
      </c>
      <c r="G305" s="2">
        <f t="shared" si="19"/>
        <v>41</v>
      </c>
      <c r="H305" s="2">
        <f t="shared" si="20"/>
        <v>4</v>
      </c>
      <c r="I305" s="5">
        <f t="shared" si="21"/>
        <v>9.7560975609756095</v>
      </c>
    </row>
    <row r="306" spans="2:9" x14ac:dyDescent="0.25">
      <c r="B306" s="4" t="s">
        <v>267</v>
      </c>
      <c r="C306" s="2">
        <v>1</v>
      </c>
      <c r="D306" s="2">
        <v>180</v>
      </c>
      <c r="E306" s="2">
        <v>150</v>
      </c>
      <c r="F306" s="2">
        <f t="shared" si="18"/>
        <v>150</v>
      </c>
      <c r="G306" s="2">
        <f t="shared" si="19"/>
        <v>153</v>
      </c>
      <c r="H306" s="2">
        <f t="shared" si="20"/>
        <v>27</v>
      </c>
      <c r="I306" s="5">
        <f t="shared" si="21"/>
        <v>17.647058823529413</v>
      </c>
    </row>
    <row r="307" spans="2:9" x14ac:dyDescent="0.25">
      <c r="B307" s="4" t="s">
        <v>268</v>
      </c>
      <c r="C307" s="2">
        <v>1</v>
      </c>
      <c r="D307" s="2">
        <v>170</v>
      </c>
      <c r="E307" s="2">
        <v>135</v>
      </c>
      <c r="F307" s="2">
        <f t="shared" si="18"/>
        <v>135</v>
      </c>
      <c r="G307" s="2">
        <f t="shared" si="19"/>
        <v>138</v>
      </c>
      <c r="H307" s="2">
        <f t="shared" si="20"/>
        <v>32</v>
      </c>
      <c r="I307" s="5">
        <f t="shared" si="21"/>
        <v>23.188405797101449</v>
      </c>
    </row>
    <row r="308" spans="2:9" x14ac:dyDescent="0.25">
      <c r="B308" s="4" t="s">
        <v>269</v>
      </c>
      <c r="C308" s="2">
        <v>1</v>
      </c>
      <c r="D308" s="2">
        <v>200</v>
      </c>
      <c r="E308" s="2">
        <v>160</v>
      </c>
      <c r="F308" s="2">
        <f t="shared" si="18"/>
        <v>160</v>
      </c>
      <c r="G308" s="2">
        <f t="shared" si="19"/>
        <v>163</v>
      </c>
      <c r="H308" s="2">
        <f t="shared" si="20"/>
        <v>37</v>
      </c>
      <c r="I308" s="5">
        <f t="shared" si="21"/>
        <v>22.699386503067483</v>
      </c>
    </row>
    <row r="309" spans="2:9" x14ac:dyDescent="0.25">
      <c r="B309" s="4" t="s">
        <v>270</v>
      </c>
      <c r="C309" s="2">
        <v>7</v>
      </c>
      <c r="D309" s="2">
        <v>195</v>
      </c>
      <c r="E309" s="2">
        <v>165</v>
      </c>
      <c r="F309" s="2">
        <f t="shared" si="18"/>
        <v>1155</v>
      </c>
      <c r="G309" s="2">
        <f t="shared" si="19"/>
        <v>168</v>
      </c>
      <c r="H309" s="2">
        <f t="shared" si="20"/>
        <v>27</v>
      </c>
      <c r="I309" s="5">
        <f t="shared" si="21"/>
        <v>16.071428571428573</v>
      </c>
    </row>
    <row r="310" spans="2:9" x14ac:dyDescent="0.25">
      <c r="B310" s="4" t="s">
        <v>271</v>
      </c>
      <c r="C310" s="2">
        <v>1</v>
      </c>
      <c r="D310" s="2">
        <v>225</v>
      </c>
      <c r="E310" s="2">
        <v>180</v>
      </c>
      <c r="F310" s="2">
        <f t="shared" si="18"/>
        <v>180</v>
      </c>
      <c r="G310" s="2">
        <f t="shared" si="19"/>
        <v>183</v>
      </c>
      <c r="H310" s="2">
        <f t="shared" si="20"/>
        <v>42</v>
      </c>
      <c r="I310" s="5">
        <f t="shared" si="21"/>
        <v>22.950819672131146</v>
      </c>
    </row>
    <row r="311" spans="2:9" x14ac:dyDescent="0.25">
      <c r="B311" s="4" t="s">
        <v>272</v>
      </c>
      <c r="C311" s="2">
        <v>1</v>
      </c>
      <c r="D311" s="2">
        <v>600</v>
      </c>
      <c r="E311" s="2">
        <v>390</v>
      </c>
      <c r="F311" s="2">
        <f t="shared" si="18"/>
        <v>390</v>
      </c>
      <c r="G311" s="2">
        <f t="shared" si="19"/>
        <v>393</v>
      </c>
      <c r="H311" s="2">
        <f t="shared" si="20"/>
        <v>207</v>
      </c>
      <c r="I311" s="5">
        <f t="shared" si="21"/>
        <v>52.671755725190842</v>
      </c>
    </row>
    <row r="312" spans="2:9" x14ac:dyDescent="0.25">
      <c r="B312" s="4" t="s">
        <v>55</v>
      </c>
      <c r="C312" s="2">
        <v>2</v>
      </c>
      <c r="D312" s="2">
        <v>50</v>
      </c>
      <c r="E312" s="2">
        <v>30</v>
      </c>
      <c r="F312" s="2">
        <f t="shared" si="18"/>
        <v>60</v>
      </c>
      <c r="G312" s="2">
        <f t="shared" si="19"/>
        <v>33</v>
      </c>
      <c r="H312" s="2">
        <f t="shared" si="20"/>
        <v>17</v>
      </c>
      <c r="I312" s="5">
        <f t="shared" si="21"/>
        <v>51.515151515151516</v>
      </c>
    </row>
    <row r="313" spans="2:9" x14ac:dyDescent="0.25">
      <c r="B313" s="4" t="s">
        <v>273</v>
      </c>
      <c r="C313" s="2">
        <v>3</v>
      </c>
      <c r="D313" s="2">
        <v>45</v>
      </c>
      <c r="E313" s="2">
        <v>30</v>
      </c>
      <c r="F313" s="2">
        <f t="shared" si="18"/>
        <v>90</v>
      </c>
      <c r="G313" s="2">
        <f t="shared" si="19"/>
        <v>33</v>
      </c>
      <c r="H313" s="2">
        <f t="shared" si="20"/>
        <v>12</v>
      </c>
      <c r="I313" s="5">
        <f t="shared" si="21"/>
        <v>36.363636363636367</v>
      </c>
    </row>
    <row r="314" spans="2:9" x14ac:dyDescent="0.25">
      <c r="B314" s="4" t="s">
        <v>177</v>
      </c>
      <c r="C314" s="2">
        <v>5</v>
      </c>
      <c r="D314" s="2">
        <v>60</v>
      </c>
      <c r="E314" s="2">
        <v>40</v>
      </c>
      <c r="F314" s="2">
        <f t="shared" si="18"/>
        <v>200</v>
      </c>
      <c r="G314" s="2">
        <f t="shared" si="19"/>
        <v>43</v>
      </c>
      <c r="H314" s="2">
        <f t="shared" si="20"/>
        <v>17</v>
      </c>
      <c r="I314" s="5">
        <f t="shared" si="21"/>
        <v>39.534883720930232</v>
      </c>
    </row>
    <row r="315" spans="2:9" x14ac:dyDescent="0.25">
      <c r="B315" s="4" t="s">
        <v>274</v>
      </c>
      <c r="C315" s="2">
        <v>4</v>
      </c>
      <c r="D315" s="2">
        <v>60</v>
      </c>
      <c r="E315" s="2">
        <v>40</v>
      </c>
      <c r="F315" s="2">
        <f t="shared" si="18"/>
        <v>160</v>
      </c>
      <c r="G315" s="2">
        <f t="shared" si="19"/>
        <v>43</v>
      </c>
      <c r="H315" s="2">
        <f t="shared" si="20"/>
        <v>17</v>
      </c>
      <c r="I315" s="5">
        <f t="shared" si="21"/>
        <v>39.534883720930232</v>
      </c>
    </row>
    <row r="316" spans="2:9" x14ac:dyDescent="0.25">
      <c r="B316" s="4" t="s">
        <v>178</v>
      </c>
      <c r="C316" s="2">
        <v>2</v>
      </c>
      <c r="D316" s="2">
        <v>110</v>
      </c>
      <c r="E316" s="2">
        <v>80</v>
      </c>
      <c r="F316" s="2">
        <f t="shared" ref="F316:F369" si="22">C316*E316</f>
        <v>160</v>
      </c>
      <c r="G316" s="2">
        <f t="shared" ref="G316:G373" si="23">E316+3</f>
        <v>83</v>
      </c>
      <c r="H316" s="2">
        <f t="shared" si="20"/>
        <v>27</v>
      </c>
      <c r="I316" s="5">
        <f t="shared" si="21"/>
        <v>32.53012048192771</v>
      </c>
    </row>
    <row r="317" spans="2:9" x14ac:dyDescent="0.25">
      <c r="B317" s="4" t="s">
        <v>275</v>
      </c>
      <c r="C317" s="2">
        <v>6</v>
      </c>
      <c r="D317" s="2">
        <v>70</v>
      </c>
      <c r="E317" s="2">
        <v>38</v>
      </c>
      <c r="F317" s="2">
        <f t="shared" si="22"/>
        <v>228</v>
      </c>
      <c r="G317" s="2">
        <f t="shared" si="23"/>
        <v>41</v>
      </c>
      <c r="H317" s="2">
        <f t="shared" si="20"/>
        <v>29</v>
      </c>
      <c r="I317" s="5">
        <f t="shared" si="21"/>
        <v>70.731707317073173</v>
      </c>
    </row>
    <row r="318" spans="2:9" x14ac:dyDescent="0.25">
      <c r="B318" s="4" t="s">
        <v>276</v>
      </c>
      <c r="C318" s="2">
        <v>5</v>
      </c>
      <c r="D318" s="2">
        <v>80</v>
      </c>
      <c r="E318" s="2">
        <v>50</v>
      </c>
      <c r="F318" s="2">
        <f t="shared" si="22"/>
        <v>250</v>
      </c>
      <c r="G318" s="2">
        <f t="shared" si="23"/>
        <v>53</v>
      </c>
      <c r="H318" s="2">
        <f t="shared" si="20"/>
        <v>27</v>
      </c>
      <c r="I318" s="5">
        <f t="shared" si="21"/>
        <v>50.943396226415096</v>
      </c>
    </row>
    <row r="319" spans="2:9" x14ac:dyDescent="0.25">
      <c r="B319" s="4" t="s">
        <v>277</v>
      </c>
      <c r="C319" s="2">
        <v>1</v>
      </c>
      <c r="D319" s="2">
        <v>375</v>
      </c>
      <c r="E319" s="2">
        <v>325</v>
      </c>
      <c r="F319" s="2">
        <f t="shared" si="22"/>
        <v>325</v>
      </c>
      <c r="G319" s="2">
        <f t="shared" si="23"/>
        <v>328</v>
      </c>
      <c r="H319" s="2">
        <f t="shared" si="20"/>
        <v>47</v>
      </c>
      <c r="I319" s="5">
        <f t="shared" si="21"/>
        <v>14.329268292682926</v>
      </c>
    </row>
    <row r="320" spans="2:9" x14ac:dyDescent="0.25">
      <c r="B320" s="4" t="s">
        <v>278</v>
      </c>
      <c r="C320" s="2">
        <v>4</v>
      </c>
      <c r="D320" s="2">
        <v>260</v>
      </c>
      <c r="E320" s="2">
        <v>230</v>
      </c>
      <c r="F320" s="2">
        <f t="shared" si="22"/>
        <v>920</v>
      </c>
      <c r="G320" s="2">
        <f t="shared" si="23"/>
        <v>233</v>
      </c>
      <c r="H320" s="2">
        <f t="shared" si="20"/>
        <v>27</v>
      </c>
      <c r="I320" s="5">
        <f t="shared" si="21"/>
        <v>11.587982832618025</v>
      </c>
    </row>
    <row r="321" spans="2:9" x14ac:dyDescent="0.25">
      <c r="B321" s="4" t="s">
        <v>279</v>
      </c>
      <c r="C321" s="2">
        <v>1</v>
      </c>
      <c r="D321" s="2">
        <v>185</v>
      </c>
      <c r="E321" s="2">
        <v>150</v>
      </c>
      <c r="F321" s="2">
        <f t="shared" si="22"/>
        <v>150</v>
      </c>
      <c r="G321" s="2">
        <f t="shared" si="23"/>
        <v>153</v>
      </c>
      <c r="H321" s="2">
        <f t="shared" si="20"/>
        <v>32</v>
      </c>
      <c r="I321" s="5">
        <f t="shared" si="21"/>
        <v>20.915032679738562</v>
      </c>
    </row>
    <row r="322" spans="2:9" x14ac:dyDescent="0.25">
      <c r="B322" s="4" t="s">
        <v>280</v>
      </c>
      <c r="C322" s="2">
        <v>1</v>
      </c>
      <c r="D322" s="2">
        <v>185</v>
      </c>
      <c r="E322" s="2">
        <v>150</v>
      </c>
      <c r="F322" s="2">
        <f t="shared" si="22"/>
        <v>150</v>
      </c>
      <c r="G322" s="2">
        <f t="shared" si="23"/>
        <v>153</v>
      </c>
      <c r="H322" s="2">
        <f t="shared" si="20"/>
        <v>32</v>
      </c>
      <c r="I322" s="5">
        <f t="shared" si="21"/>
        <v>20.915032679738562</v>
      </c>
    </row>
    <row r="323" spans="2:9" x14ac:dyDescent="0.25">
      <c r="B323" s="4" t="s">
        <v>64</v>
      </c>
      <c r="C323" s="2">
        <v>3</v>
      </c>
      <c r="D323" s="2">
        <v>40</v>
      </c>
      <c r="E323" s="2">
        <v>21</v>
      </c>
      <c r="F323" s="2">
        <f t="shared" si="22"/>
        <v>63</v>
      </c>
      <c r="G323" s="2">
        <f t="shared" si="23"/>
        <v>24</v>
      </c>
      <c r="H323" s="2">
        <f t="shared" si="20"/>
        <v>16</v>
      </c>
      <c r="I323" s="5">
        <f t="shared" si="21"/>
        <v>66.666666666666657</v>
      </c>
    </row>
    <row r="324" spans="2:9" x14ac:dyDescent="0.25">
      <c r="B324" s="4" t="s">
        <v>281</v>
      </c>
      <c r="C324" s="2">
        <v>2</v>
      </c>
      <c r="D324" s="2">
        <v>65</v>
      </c>
      <c r="E324" s="2">
        <v>40</v>
      </c>
      <c r="F324" s="2">
        <f t="shared" si="22"/>
        <v>80</v>
      </c>
      <c r="G324" s="2">
        <f t="shared" si="23"/>
        <v>43</v>
      </c>
      <c r="H324" s="2">
        <f t="shared" si="20"/>
        <v>22</v>
      </c>
      <c r="I324" s="5">
        <f t="shared" si="21"/>
        <v>51.162790697674424</v>
      </c>
    </row>
    <row r="325" spans="2:9" x14ac:dyDescent="0.25">
      <c r="B325" s="4" t="s">
        <v>282</v>
      </c>
      <c r="C325" s="2">
        <v>1</v>
      </c>
      <c r="D325" s="2">
        <v>65</v>
      </c>
      <c r="E325" s="2">
        <v>40</v>
      </c>
      <c r="F325" s="2">
        <f t="shared" si="22"/>
        <v>40</v>
      </c>
      <c r="G325" s="2">
        <f t="shared" si="23"/>
        <v>43</v>
      </c>
      <c r="H325" s="2">
        <f t="shared" si="20"/>
        <v>22</v>
      </c>
      <c r="I325" s="5">
        <f t="shared" si="21"/>
        <v>51.162790697674424</v>
      </c>
    </row>
    <row r="326" spans="2:9" x14ac:dyDescent="0.25">
      <c r="B326" s="4" t="s">
        <v>283</v>
      </c>
      <c r="C326" s="2">
        <v>7</v>
      </c>
      <c r="D326" s="2">
        <v>180</v>
      </c>
      <c r="E326" s="2">
        <v>210</v>
      </c>
      <c r="F326" s="2">
        <f t="shared" si="22"/>
        <v>1470</v>
      </c>
      <c r="G326" s="2">
        <f t="shared" si="23"/>
        <v>213</v>
      </c>
      <c r="H326" s="2">
        <f t="shared" ref="H326:H373" si="24">D326-G326</f>
        <v>-33</v>
      </c>
      <c r="I326" s="5">
        <f t="shared" ref="I326:I369" si="25">(D326-G326)/(G326)*100</f>
        <v>-15.492957746478872</v>
      </c>
    </row>
    <row r="327" spans="2:9" x14ac:dyDescent="0.25">
      <c r="B327" s="4" t="s">
        <v>284</v>
      </c>
      <c r="C327" s="2">
        <v>1</v>
      </c>
      <c r="D327" s="2">
        <v>180</v>
      </c>
      <c r="E327" s="2">
        <v>130</v>
      </c>
      <c r="F327" s="2">
        <f t="shared" si="22"/>
        <v>130</v>
      </c>
      <c r="G327" s="2">
        <f t="shared" si="23"/>
        <v>133</v>
      </c>
      <c r="H327" s="2">
        <f t="shared" si="24"/>
        <v>47</v>
      </c>
      <c r="I327" s="5">
        <f t="shared" si="25"/>
        <v>35.338345864661655</v>
      </c>
    </row>
    <row r="328" spans="2:9" x14ac:dyDescent="0.25">
      <c r="B328" s="4" t="s">
        <v>285</v>
      </c>
      <c r="C328" s="2">
        <v>1</v>
      </c>
      <c r="D328" s="2">
        <v>170</v>
      </c>
      <c r="E328" s="2">
        <v>120</v>
      </c>
      <c r="F328" s="2">
        <f t="shared" si="22"/>
        <v>120</v>
      </c>
      <c r="G328" s="2">
        <f t="shared" si="23"/>
        <v>123</v>
      </c>
      <c r="H328" s="2">
        <f t="shared" si="24"/>
        <v>47</v>
      </c>
      <c r="I328" s="5">
        <f t="shared" si="25"/>
        <v>38.211382113821138</v>
      </c>
    </row>
    <row r="329" spans="2:9" x14ac:dyDescent="0.25">
      <c r="B329" s="4" t="s">
        <v>286</v>
      </c>
      <c r="C329" s="2">
        <v>7</v>
      </c>
      <c r="D329" s="2">
        <v>180</v>
      </c>
      <c r="E329" s="2">
        <v>130</v>
      </c>
      <c r="F329" s="2">
        <f t="shared" si="22"/>
        <v>910</v>
      </c>
      <c r="G329" s="2">
        <f t="shared" si="23"/>
        <v>133</v>
      </c>
      <c r="H329" s="2">
        <f t="shared" si="24"/>
        <v>47</v>
      </c>
      <c r="I329" s="5">
        <f t="shared" si="25"/>
        <v>35.338345864661655</v>
      </c>
    </row>
    <row r="330" spans="2:9" x14ac:dyDescent="0.25">
      <c r="B330" s="4" t="s">
        <v>77</v>
      </c>
      <c r="C330" s="2">
        <v>11</v>
      </c>
      <c r="D330" s="2">
        <v>260</v>
      </c>
      <c r="E330" s="2">
        <v>250</v>
      </c>
      <c r="F330" s="2">
        <f t="shared" si="22"/>
        <v>2750</v>
      </c>
      <c r="G330" s="2">
        <f t="shared" si="23"/>
        <v>253</v>
      </c>
      <c r="H330" s="2">
        <f t="shared" si="24"/>
        <v>7</v>
      </c>
      <c r="I330" s="5">
        <f t="shared" si="25"/>
        <v>2.766798418972332</v>
      </c>
    </row>
    <row r="331" spans="2:9" x14ac:dyDescent="0.25">
      <c r="B331" s="4" t="s">
        <v>76</v>
      </c>
      <c r="C331" s="2">
        <v>5</v>
      </c>
      <c r="D331" s="2">
        <v>250</v>
      </c>
      <c r="E331" s="2">
        <v>200</v>
      </c>
      <c r="F331" s="2">
        <f t="shared" si="22"/>
        <v>1000</v>
      </c>
      <c r="G331" s="2">
        <f t="shared" si="23"/>
        <v>203</v>
      </c>
      <c r="H331" s="2">
        <f t="shared" si="24"/>
        <v>47</v>
      </c>
      <c r="I331" s="5">
        <f t="shared" si="25"/>
        <v>23.152709359605911</v>
      </c>
    </row>
    <row r="332" spans="2:9" x14ac:dyDescent="0.25">
      <c r="B332" s="4" t="s">
        <v>287</v>
      </c>
      <c r="C332" s="2">
        <v>5</v>
      </c>
      <c r="D332" s="2">
        <v>65</v>
      </c>
      <c r="E332" s="2">
        <v>45</v>
      </c>
      <c r="F332" s="2">
        <f t="shared" si="22"/>
        <v>225</v>
      </c>
      <c r="G332" s="2">
        <f t="shared" si="23"/>
        <v>48</v>
      </c>
      <c r="H332" s="2">
        <f t="shared" si="24"/>
        <v>17</v>
      </c>
      <c r="I332" s="5">
        <f t="shared" si="25"/>
        <v>35.416666666666671</v>
      </c>
    </row>
    <row r="333" spans="2:9" x14ac:dyDescent="0.25">
      <c r="B333" s="4" t="s">
        <v>288</v>
      </c>
      <c r="C333" s="2">
        <v>3</v>
      </c>
      <c r="D333" s="2">
        <v>60</v>
      </c>
      <c r="E333" s="2">
        <v>35</v>
      </c>
      <c r="F333" s="2">
        <f t="shared" si="22"/>
        <v>105</v>
      </c>
      <c r="G333" s="2">
        <f t="shared" si="23"/>
        <v>38</v>
      </c>
      <c r="H333" s="2">
        <f t="shared" si="24"/>
        <v>22</v>
      </c>
      <c r="I333" s="5">
        <f t="shared" si="25"/>
        <v>57.894736842105267</v>
      </c>
    </row>
    <row r="334" spans="2:9" x14ac:dyDescent="0.25">
      <c r="B334" s="4" t="s">
        <v>289</v>
      </c>
      <c r="C334" s="2">
        <v>6</v>
      </c>
      <c r="D334" s="2">
        <v>20</v>
      </c>
      <c r="E334" s="2">
        <v>14</v>
      </c>
      <c r="F334" s="2">
        <f t="shared" si="22"/>
        <v>84</v>
      </c>
      <c r="G334" s="2">
        <f t="shared" si="23"/>
        <v>17</v>
      </c>
      <c r="H334" s="2">
        <f t="shared" si="24"/>
        <v>3</v>
      </c>
      <c r="I334" s="5">
        <f t="shared" si="25"/>
        <v>17.647058823529413</v>
      </c>
    </row>
    <row r="335" spans="2:9" x14ac:dyDescent="0.25">
      <c r="B335" s="4" t="s">
        <v>290</v>
      </c>
      <c r="C335" s="2">
        <v>3</v>
      </c>
      <c r="D335" s="2">
        <v>20</v>
      </c>
      <c r="E335" s="2">
        <v>14</v>
      </c>
      <c r="F335" s="2">
        <f t="shared" si="22"/>
        <v>42</v>
      </c>
      <c r="G335" s="2">
        <f t="shared" si="23"/>
        <v>17</v>
      </c>
      <c r="H335" s="2">
        <f t="shared" si="24"/>
        <v>3</v>
      </c>
      <c r="I335" s="5">
        <f t="shared" si="25"/>
        <v>17.647058823529413</v>
      </c>
    </row>
    <row r="336" spans="2:9" x14ac:dyDescent="0.25">
      <c r="B336" s="4" t="s">
        <v>291</v>
      </c>
      <c r="C336" s="2">
        <v>9</v>
      </c>
      <c r="D336" s="2">
        <v>10</v>
      </c>
      <c r="E336" s="2">
        <v>6</v>
      </c>
      <c r="F336" s="2">
        <f t="shared" si="22"/>
        <v>54</v>
      </c>
      <c r="G336" s="2">
        <f t="shared" si="23"/>
        <v>9</v>
      </c>
      <c r="H336" s="2">
        <f t="shared" si="24"/>
        <v>1</v>
      </c>
      <c r="I336" s="5">
        <f t="shared" si="25"/>
        <v>11.111111111111111</v>
      </c>
    </row>
    <row r="337" spans="2:9" x14ac:dyDescent="0.25">
      <c r="B337" s="4" t="s">
        <v>81</v>
      </c>
      <c r="C337" s="2">
        <v>1</v>
      </c>
      <c r="D337" s="2">
        <v>700</v>
      </c>
      <c r="E337" s="2">
        <v>680</v>
      </c>
      <c r="F337" s="2">
        <f t="shared" si="22"/>
        <v>680</v>
      </c>
      <c r="G337" s="2">
        <f t="shared" si="23"/>
        <v>683</v>
      </c>
      <c r="H337" s="2">
        <f t="shared" si="24"/>
        <v>17</v>
      </c>
      <c r="I337" s="5">
        <f t="shared" si="25"/>
        <v>2.4890190336749636</v>
      </c>
    </row>
    <row r="338" spans="2:9" x14ac:dyDescent="0.25">
      <c r="B338" s="4" t="s">
        <v>292</v>
      </c>
      <c r="C338" s="2">
        <v>2</v>
      </c>
      <c r="D338" s="2">
        <v>450</v>
      </c>
      <c r="E338" s="2">
        <v>390</v>
      </c>
      <c r="F338" s="2">
        <f t="shared" si="22"/>
        <v>780</v>
      </c>
      <c r="G338" s="2">
        <f t="shared" si="23"/>
        <v>393</v>
      </c>
      <c r="H338" s="2">
        <f t="shared" si="24"/>
        <v>57</v>
      </c>
      <c r="I338" s="5">
        <f t="shared" si="25"/>
        <v>14.503816793893129</v>
      </c>
    </row>
    <row r="339" spans="2:9" x14ac:dyDescent="0.25">
      <c r="B339" s="4" t="s">
        <v>293</v>
      </c>
      <c r="C339" s="2">
        <v>7</v>
      </c>
      <c r="D339" s="2">
        <v>2.5</v>
      </c>
      <c r="E339" s="2">
        <v>1.95</v>
      </c>
      <c r="F339" s="2">
        <f t="shared" si="22"/>
        <v>13.65</v>
      </c>
      <c r="G339" s="2">
        <f t="shared" si="23"/>
        <v>4.95</v>
      </c>
      <c r="H339" s="2">
        <f t="shared" si="24"/>
        <v>-2.4500000000000002</v>
      </c>
      <c r="I339" s="5">
        <f t="shared" si="25"/>
        <v>-49.494949494949495</v>
      </c>
    </row>
    <row r="340" spans="2:9" x14ac:dyDescent="0.25">
      <c r="B340" s="4" t="s">
        <v>294</v>
      </c>
      <c r="C340" s="2">
        <v>7</v>
      </c>
      <c r="D340" s="2">
        <v>2.5</v>
      </c>
      <c r="E340" s="2">
        <v>1.95</v>
      </c>
      <c r="F340" s="2">
        <f t="shared" si="22"/>
        <v>13.65</v>
      </c>
      <c r="G340" s="2">
        <f t="shared" si="23"/>
        <v>4.95</v>
      </c>
      <c r="H340" s="2">
        <f t="shared" si="24"/>
        <v>-2.4500000000000002</v>
      </c>
      <c r="I340" s="5">
        <f t="shared" si="25"/>
        <v>-49.494949494949495</v>
      </c>
    </row>
    <row r="341" spans="2:9" x14ac:dyDescent="0.25">
      <c r="B341" s="4" t="s">
        <v>295</v>
      </c>
      <c r="C341" s="2">
        <v>1</v>
      </c>
      <c r="D341" s="2">
        <v>16</v>
      </c>
      <c r="E341" s="2">
        <v>8</v>
      </c>
      <c r="F341" s="2">
        <f t="shared" si="22"/>
        <v>8</v>
      </c>
      <c r="G341" s="2">
        <f t="shared" si="23"/>
        <v>11</v>
      </c>
      <c r="H341" s="2">
        <f t="shared" si="24"/>
        <v>5</v>
      </c>
      <c r="I341" s="5">
        <f t="shared" si="25"/>
        <v>45.454545454545453</v>
      </c>
    </row>
    <row r="342" spans="2:9" x14ac:dyDescent="0.25">
      <c r="B342" s="4" t="s">
        <v>296</v>
      </c>
      <c r="C342" s="2">
        <v>2</v>
      </c>
      <c r="D342" s="2">
        <v>30</v>
      </c>
      <c r="E342" s="2">
        <v>16</v>
      </c>
      <c r="F342" s="2">
        <f t="shared" si="22"/>
        <v>32</v>
      </c>
      <c r="G342" s="2">
        <f t="shared" si="23"/>
        <v>19</v>
      </c>
      <c r="H342" s="2">
        <f t="shared" si="24"/>
        <v>11</v>
      </c>
      <c r="I342" s="5">
        <f t="shared" si="25"/>
        <v>57.894736842105267</v>
      </c>
    </row>
    <row r="343" spans="2:9" x14ac:dyDescent="0.25">
      <c r="B343" s="4" t="s">
        <v>297</v>
      </c>
      <c r="C343" s="2">
        <v>65</v>
      </c>
      <c r="D343" s="2">
        <v>28.98</v>
      </c>
      <c r="E343" s="2">
        <v>22</v>
      </c>
      <c r="F343" s="2">
        <f t="shared" si="22"/>
        <v>1430</v>
      </c>
      <c r="G343" s="2">
        <f t="shared" si="23"/>
        <v>25</v>
      </c>
      <c r="H343" s="2">
        <f t="shared" si="24"/>
        <v>3.9800000000000004</v>
      </c>
      <c r="I343" s="5">
        <f t="shared" si="25"/>
        <v>15.920000000000002</v>
      </c>
    </row>
    <row r="344" spans="2:9" x14ac:dyDescent="0.25">
      <c r="B344" s="4" t="s">
        <v>298</v>
      </c>
      <c r="C344" s="2">
        <v>14</v>
      </c>
      <c r="D344" s="2">
        <v>24</v>
      </c>
      <c r="E344" s="2">
        <v>22</v>
      </c>
      <c r="F344" s="2">
        <f t="shared" si="22"/>
        <v>308</v>
      </c>
      <c r="G344" s="2">
        <f t="shared" si="23"/>
        <v>25</v>
      </c>
      <c r="H344" s="2">
        <f t="shared" si="24"/>
        <v>-1</v>
      </c>
      <c r="I344" s="5">
        <f t="shared" si="25"/>
        <v>-4</v>
      </c>
    </row>
    <row r="345" spans="2:9" x14ac:dyDescent="0.25">
      <c r="B345" s="4" t="s">
        <v>299</v>
      </c>
      <c r="C345" s="2">
        <v>1</v>
      </c>
      <c r="D345" s="2">
        <v>295</v>
      </c>
      <c r="E345" s="2">
        <v>260</v>
      </c>
      <c r="F345" s="2">
        <f t="shared" si="22"/>
        <v>260</v>
      </c>
      <c r="G345" s="2">
        <f t="shared" si="23"/>
        <v>263</v>
      </c>
      <c r="H345" s="2">
        <f t="shared" si="24"/>
        <v>32</v>
      </c>
      <c r="I345" s="5">
        <f t="shared" si="25"/>
        <v>12.167300380228136</v>
      </c>
    </row>
    <row r="346" spans="2:9" x14ac:dyDescent="0.25">
      <c r="B346" s="4" t="s">
        <v>300</v>
      </c>
      <c r="C346" s="2">
        <v>1</v>
      </c>
      <c r="D346" s="2">
        <v>80</v>
      </c>
      <c r="E346" s="2">
        <v>75</v>
      </c>
      <c r="F346" s="2">
        <f t="shared" si="22"/>
        <v>75</v>
      </c>
      <c r="G346" s="2">
        <f t="shared" si="23"/>
        <v>78</v>
      </c>
      <c r="H346" s="2">
        <f t="shared" si="24"/>
        <v>2</v>
      </c>
      <c r="I346" s="5">
        <f t="shared" si="25"/>
        <v>2.5641025641025639</v>
      </c>
    </row>
    <row r="347" spans="2:9" x14ac:dyDescent="0.25">
      <c r="B347" s="4" t="s">
        <v>301</v>
      </c>
      <c r="C347" s="2">
        <v>1</v>
      </c>
      <c r="D347" s="2">
        <v>260</v>
      </c>
      <c r="E347" s="2">
        <v>220</v>
      </c>
      <c r="F347" s="2">
        <f t="shared" si="22"/>
        <v>220</v>
      </c>
      <c r="G347" s="2">
        <f t="shared" si="23"/>
        <v>223</v>
      </c>
      <c r="H347" s="2">
        <f t="shared" si="24"/>
        <v>37</v>
      </c>
      <c r="I347" s="5">
        <f t="shared" si="25"/>
        <v>16.591928251121075</v>
      </c>
    </row>
    <row r="348" spans="2:9" x14ac:dyDescent="0.25">
      <c r="B348" s="4" t="s">
        <v>301</v>
      </c>
      <c r="C348" s="2">
        <v>10</v>
      </c>
      <c r="D348" s="2">
        <v>300</v>
      </c>
      <c r="E348" s="2">
        <v>260</v>
      </c>
      <c r="F348" s="2">
        <f t="shared" si="22"/>
        <v>2600</v>
      </c>
      <c r="G348" s="2">
        <f t="shared" si="23"/>
        <v>263</v>
      </c>
      <c r="H348" s="2">
        <f t="shared" si="24"/>
        <v>37</v>
      </c>
      <c r="I348" s="5">
        <f t="shared" si="25"/>
        <v>14.068441064638785</v>
      </c>
    </row>
    <row r="349" spans="2:9" x14ac:dyDescent="0.25">
      <c r="B349" s="4" t="s">
        <v>302</v>
      </c>
      <c r="C349" s="2">
        <v>2</v>
      </c>
      <c r="D349" s="2">
        <v>400</v>
      </c>
      <c r="E349" s="2">
        <v>300</v>
      </c>
      <c r="F349" s="2">
        <f t="shared" si="22"/>
        <v>600</v>
      </c>
      <c r="G349" s="2">
        <f t="shared" si="23"/>
        <v>303</v>
      </c>
      <c r="H349" s="2">
        <f t="shared" si="24"/>
        <v>97</v>
      </c>
      <c r="I349" s="5">
        <f t="shared" si="25"/>
        <v>32.013201320132012</v>
      </c>
    </row>
    <row r="350" spans="2:9" x14ac:dyDescent="0.25">
      <c r="B350" s="4" t="s">
        <v>85</v>
      </c>
      <c r="C350" s="2">
        <v>3</v>
      </c>
      <c r="D350" s="2">
        <v>12</v>
      </c>
      <c r="E350" s="2">
        <v>13</v>
      </c>
      <c r="F350" s="2">
        <f t="shared" si="22"/>
        <v>39</v>
      </c>
      <c r="G350" s="2">
        <f t="shared" si="23"/>
        <v>16</v>
      </c>
      <c r="H350" s="2">
        <f t="shared" si="24"/>
        <v>-4</v>
      </c>
      <c r="I350" s="5">
        <f t="shared" si="25"/>
        <v>-25</v>
      </c>
    </row>
    <row r="351" spans="2:9" x14ac:dyDescent="0.25">
      <c r="B351" s="4" t="s">
        <v>86</v>
      </c>
      <c r="C351" s="2">
        <v>3</v>
      </c>
      <c r="D351" s="2">
        <v>12</v>
      </c>
      <c r="E351" s="2">
        <v>15</v>
      </c>
      <c r="F351" s="2">
        <f t="shared" si="22"/>
        <v>45</v>
      </c>
      <c r="G351" s="2">
        <f t="shared" si="23"/>
        <v>18</v>
      </c>
      <c r="H351" s="2">
        <f t="shared" si="24"/>
        <v>-6</v>
      </c>
      <c r="I351" s="5">
        <f t="shared" si="25"/>
        <v>-33.333333333333329</v>
      </c>
    </row>
    <row r="352" spans="2:9" x14ac:dyDescent="0.25">
      <c r="B352" s="4" t="s">
        <v>219</v>
      </c>
      <c r="C352" s="2">
        <v>5</v>
      </c>
      <c r="D352" s="2">
        <v>70</v>
      </c>
      <c r="E352" s="2">
        <v>49</v>
      </c>
      <c r="F352" s="2">
        <f t="shared" si="22"/>
        <v>245</v>
      </c>
      <c r="G352" s="2">
        <f t="shared" si="23"/>
        <v>52</v>
      </c>
      <c r="H352" s="2">
        <f t="shared" si="24"/>
        <v>18</v>
      </c>
      <c r="I352" s="5">
        <f t="shared" si="25"/>
        <v>34.615384615384613</v>
      </c>
    </row>
    <row r="353" spans="2:9" x14ac:dyDescent="0.25">
      <c r="B353" s="4" t="s">
        <v>93</v>
      </c>
      <c r="C353" s="2">
        <v>1</v>
      </c>
      <c r="D353" s="2">
        <v>260</v>
      </c>
      <c r="E353" s="2">
        <v>220</v>
      </c>
      <c r="F353" s="2">
        <f t="shared" si="22"/>
        <v>220</v>
      </c>
      <c r="G353" s="2">
        <f t="shared" si="23"/>
        <v>223</v>
      </c>
      <c r="H353" s="2">
        <f t="shared" si="24"/>
        <v>37</v>
      </c>
      <c r="I353" s="5">
        <f t="shared" si="25"/>
        <v>16.591928251121075</v>
      </c>
    </row>
    <row r="354" spans="2:9" x14ac:dyDescent="0.25">
      <c r="B354" s="4" t="s">
        <v>94</v>
      </c>
      <c r="C354" s="2">
        <v>1</v>
      </c>
      <c r="D354" s="2">
        <v>220</v>
      </c>
      <c r="E354" s="2">
        <v>180</v>
      </c>
      <c r="F354" s="2">
        <f t="shared" si="22"/>
        <v>180</v>
      </c>
      <c r="G354" s="2">
        <f t="shared" si="23"/>
        <v>183</v>
      </c>
      <c r="H354" s="2">
        <f t="shared" si="24"/>
        <v>37</v>
      </c>
      <c r="I354" s="5">
        <f t="shared" si="25"/>
        <v>20.21857923497268</v>
      </c>
    </row>
    <row r="355" spans="2:9" x14ac:dyDescent="0.25">
      <c r="B355" s="4" t="s">
        <v>95</v>
      </c>
      <c r="C355" s="2">
        <v>1</v>
      </c>
      <c r="D355" s="2">
        <v>200</v>
      </c>
      <c r="E355" s="2">
        <v>160</v>
      </c>
      <c r="F355" s="2">
        <f t="shared" si="22"/>
        <v>160</v>
      </c>
      <c r="G355" s="2">
        <f t="shared" si="23"/>
        <v>163</v>
      </c>
      <c r="H355" s="2">
        <f t="shared" si="24"/>
        <v>37</v>
      </c>
      <c r="I355" s="5">
        <f t="shared" si="25"/>
        <v>22.699386503067483</v>
      </c>
    </row>
    <row r="356" spans="2:9" x14ac:dyDescent="0.25">
      <c r="B356" s="4" t="s">
        <v>97</v>
      </c>
      <c r="C356" s="2">
        <v>24</v>
      </c>
      <c r="D356" s="2">
        <v>5</v>
      </c>
      <c r="E356" s="2">
        <v>2.8</v>
      </c>
      <c r="F356" s="2">
        <f t="shared" si="22"/>
        <v>67.199999999999989</v>
      </c>
      <c r="G356" s="2">
        <f t="shared" si="23"/>
        <v>5.8</v>
      </c>
      <c r="H356" s="2">
        <f t="shared" si="24"/>
        <v>-0.79999999999999982</v>
      </c>
      <c r="I356" s="5">
        <f t="shared" si="25"/>
        <v>-13.793103448275859</v>
      </c>
    </row>
    <row r="357" spans="2:9" x14ac:dyDescent="0.25">
      <c r="B357" s="4" t="s">
        <v>303</v>
      </c>
      <c r="C357" s="2">
        <v>20</v>
      </c>
      <c r="D357" s="2">
        <v>5</v>
      </c>
      <c r="E357" s="2">
        <v>3.2</v>
      </c>
      <c r="F357" s="2">
        <f t="shared" si="22"/>
        <v>64</v>
      </c>
      <c r="G357" s="2">
        <f t="shared" si="23"/>
        <v>6.2</v>
      </c>
      <c r="H357" s="2">
        <f t="shared" si="24"/>
        <v>-1.2000000000000002</v>
      </c>
      <c r="I357" s="5">
        <f t="shared" si="25"/>
        <v>-19.35483870967742</v>
      </c>
    </row>
    <row r="358" spans="2:9" x14ac:dyDescent="0.25">
      <c r="B358" s="4" t="s">
        <v>304</v>
      </c>
      <c r="C358" s="2">
        <v>1</v>
      </c>
      <c r="D358" s="2">
        <v>175</v>
      </c>
      <c r="E358" s="2">
        <v>120</v>
      </c>
      <c r="F358" s="2">
        <f t="shared" si="22"/>
        <v>120</v>
      </c>
      <c r="G358" s="2">
        <f t="shared" si="23"/>
        <v>123</v>
      </c>
      <c r="H358" s="2">
        <f t="shared" si="24"/>
        <v>52</v>
      </c>
      <c r="I358" s="5">
        <f t="shared" si="25"/>
        <v>42.276422764227647</v>
      </c>
    </row>
    <row r="359" spans="2:9" x14ac:dyDescent="0.25">
      <c r="B359" s="4" t="s">
        <v>305</v>
      </c>
      <c r="C359" s="2">
        <v>5</v>
      </c>
      <c r="D359" s="2">
        <v>50</v>
      </c>
      <c r="E359" s="2">
        <v>30</v>
      </c>
      <c r="F359" s="2">
        <f t="shared" si="22"/>
        <v>150</v>
      </c>
      <c r="G359" s="2">
        <f t="shared" si="23"/>
        <v>33</v>
      </c>
      <c r="H359" s="2">
        <f t="shared" si="24"/>
        <v>17</v>
      </c>
      <c r="I359" s="5">
        <f t="shared" si="25"/>
        <v>51.515151515151516</v>
      </c>
    </row>
    <row r="360" spans="2:9" x14ac:dyDescent="0.25">
      <c r="B360" s="4" t="s">
        <v>306</v>
      </c>
      <c r="C360" s="2">
        <v>6</v>
      </c>
      <c r="D360" s="2">
        <v>45</v>
      </c>
      <c r="E360" s="2">
        <v>30</v>
      </c>
      <c r="F360" s="2">
        <f t="shared" si="22"/>
        <v>180</v>
      </c>
      <c r="G360" s="2">
        <f t="shared" si="23"/>
        <v>33</v>
      </c>
      <c r="H360" s="2">
        <f t="shared" si="24"/>
        <v>12</v>
      </c>
      <c r="I360" s="5">
        <f t="shared" si="25"/>
        <v>36.363636363636367</v>
      </c>
    </row>
    <row r="361" spans="2:9" x14ac:dyDescent="0.25">
      <c r="B361" s="4" t="s">
        <v>307</v>
      </c>
      <c r="C361" s="2">
        <v>10</v>
      </c>
      <c r="D361" s="2">
        <v>100</v>
      </c>
      <c r="E361" s="2">
        <v>70</v>
      </c>
      <c r="F361" s="2">
        <f t="shared" si="22"/>
        <v>700</v>
      </c>
      <c r="G361" s="2">
        <f t="shared" si="23"/>
        <v>73</v>
      </c>
      <c r="H361" s="2">
        <f t="shared" si="24"/>
        <v>27</v>
      </c>
      <c r="I361" s="5">
        <f t="shared" si="25"/>
        <v>36.986301369863014</v>
      </c>
    </row>
    <row r="362" spans="2:9" x14ac:dyDescent="0.25">
      <c r="B362" s="4" t="s">
        <v>111</v>
      </c>
      <c r="C362" s="2">
        <v>10</v>
      </c>
      <c r="D362" s="2">
        <v>60</v>
      </c>
      <c r="E362" s="2">
        <v>46</v>
      </c>
      <c r="F362" s="2">
        <f t="shared" si="22"/>
        <v>460</v>
      </c>
      <c r="G362" s="2">
        <f t="shared" si="23"/>
        <v>49</v>
      </c>
      <c r="H362" s="2">
        <f t="shared" si="24"/>
        <v>11</v>
      </c>
      <c r="I362" s="5">
        <f t="shared" si="25"/>
        <v>22.448979591836736</v>
      </c>
    </row>
    <row r="363" spans="2:9" x14ac:dyDescent="0.25">
      <c r="B363" s="4" t="s">
        <v>308</v>
      </c>
      <c r="C363" s="2">
        <v>2</v>
      </c>
      <c r="D363" s="2">
        <v>45</v>
      </c>
      <c r="E363" s="2">
        <v>18</v>
      </c>
      <c r="F363" s="2">
        <f t="shared" si="22"/>
        <v>36</v>
      </c>
      <c r="G363" s="2">
        <f t="shared" si="23"/>
        <v>21</v>
      </c>
      <c r="H363" s="2">
        <f t="shared" si="24"/>
        <v>24</v>
      </c>
      <c r="I363" s="5">
        <f t="shared" si="25"/>
        <v>114.28571428571428</v>
      </c>
    </row>
    <row r="364" spans="2:9" x14ac:dyDescent="0.25">
      <c r="B364" s="4" t="s">
        <v>309</v>
      </c>
      <c r="C364" s="2">
        <v>6</v>
      </c>
      <c r="D364" s="2">
        <v>75</v>
      </c>
      <c r="E364" s="2">
        <v>44.5</v>
      </c>
      <c r="F364" s="2">
        <f t="shared" si="22"/>
        <v>267</v>
      </c>
      <c r="G364" s="2">
        <f t="shared" si="23"/>
        <v>47.5</v>
      </c>
      <c r="H364" s="2">
        <f t="shared" si="24"/>
        <v>27.5</v>
      </c>
      <c r="I364" s="5">
        <f t="shared" si="25"/>
        <v>57.894736842105267</v>
      </c>
    </row>
    <row r="365" spans="2:9" x14ac:dyDescent="0.25">
      <c r="B365" s="4" t="s">
        <v>310</v>
      </c>
      <c r="C365" s="2">
        <v>1</v>
      </c>
      <c r="D365" s="2">
        <v>55</v>
      </c>
      <c r="E365" s="2">
        <v>30</v>
      </c>
      <c r="F365" s="2">
        <f t="shared" si="22"/>
        <v>30</v>
      </c>
      <c r="G365" s="2">
        <f t="shared" si="23"/>
        <v>33</v>
      </c>
      <c r="H365" s="2">
        <f t="shared" si="24"/>
        <v>22</v>
      </c>
      <c r="I365" s="5">
        <f t="shared" si="25"/>
        <v>66.666666666666657</v>
      </c>
    </row>
    <row r="366" spans="2:9" x14ac:dyDescent="0.25">
      <c r="B366" s="4" t="s">
        <v>311</v>
      </c>
      <c r="C366" s="2">
        <v>1</v>
      </c>
      <c r="D366" s="2">
        <v>70</v>
      </c>
      <c r="E366" s="2">
        <v>45</v>
      </c>
      <c r="F366" s="2">
        <f t="shared" si="22"/>
        <v>45</v>
      </c>
      <c r="G366" s="2">
        <f t="shared" si="23"/>
        <v>48</v>
      </c>
      <c r="H366" s="2">
        <f t="shared" si="24"/>
        <v>22</v>
      </c>
      <c r="I366" s="5">
        <f t="shared" si="25"/>
        <v>45.833333333333329</v>
      </c>
    </row>
    <row r="367" spans="2:9" x14ac:dyDescent="0.25">
      <c r="B367" s="4" t="s">
        <v>312</v>
      </c>
      <c r="C367" s="2">
        <v>1</v>
      </c>
      <c r="D367" s="2">
        <v>60</v>
      </c>
      <c r="E367" s="2">
        <v>40</v>
      </c>
      <c r="F367" s="2">
        <f t="shared" si="22"/>
        <v>40</v>
      </c>
      <c r="G367" s="2">
        <f t="shared" si="23"/>
        <v>43</v>
      </c>
      <c r="H367" s="2">
        <f t="shared" si="24"/>
        <v>17</v>
      </c>
      <c r="I367" s="5">
        <f t="shared" si="25"/>
        <v>39.534883720930232</v>
      </c>
    </row>
    <row r="368" spans="2:9" x14ac:dyDescent="0.25">
      <c r="B368" s="4" t="s">
        <v>227</v>
      </c>
      <c r="C368" s="2">
        <v>44</v>
      </c>
      <c r="D368" s="2">
        <v>110</v>
      </c>
      <c r="E368" s="2">
        <v>70</v>
      </c>
      <c r="F368" s="2">
        <f t="shared" si="22"/>
        <v>3080</v>
      </c>
      <c r="G368" s="2">
        <f t="shared" si="23"/>
        <v>73</v>
      </c>
      <c r="H368" s="2">
        <f t="shared" si="24"/>
        <v>37</v>
      </c>
      <c r="I368" s="5">
        <f t="shared" si="25"/>
        <v>50.684931506849317</v>
      </c>
    </row>
    <row r="369" spans="2:9" x14ac:dyDescent="0.25">
      <c r="B369" s="4" t="s">
        <v>313</v>
      </c>
      <c r="C369" s="2">
        <v>1</v>
      </c>
      <c r="D369" s="2">
        <v>140</v>
      </c>
      <c r="E369" s="2">
        <v>100</v>
      </c>
      <c r="F369" s="2">
        <f t="shared" si="22"/>
        <v>100</v>
      </c>
      <c r="G369" s="2">
        <f t="shared" si="23"/>
        <v>103</v>
      </c>
      <c r="H369" s="2">
        <f t="shared" si="24"/>
        <v>37</v>
      </c>
      <c r="I369" s="5">
        <f t="shared" si="25"/>
        <v>35.922330097087382</v>
      </c>
    </row>
    <row r="370" spans="2:9" x14ac:dyDescent="0.25">
      <c r="F370" s="1">
        <f>SUM(F251:F369)</f>
        <v>48150.8</v>
      </c>
    </row>
    <row r="371" spans="2:9" x14ac:dyDescent="0.25">
      <c r="D371" s="1" t="s">
        <v>315</v>
      </c>
      <c r="E371" s="1">
        <v>1470</v>
      </c>
      <c r="F371" s="1">
        <f>E371/F370</f>
        <v>3.052908778254982E-2</v>
      </c>
    </row>
    <row r="372" spans="2:9" x14ac:dyDescent="0.25">
      <c r="F372" s="1">
        <f>F371*100</f>
        <v>3.0529087782549822</v>
      </c>
    </row>
    <row r="373" spans="2:9" x14ac:dyDescent="0.25">
      <c r="F37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Julio</dc:creator>
  <cp:lastModifiedBy>Pedro Julio</cp:lastModifiedBy>
  <dcterms:created xsi:type="dcterms:W3CDTF">2015-06-05T18:19:34Z</dcterms:created>
  <dcterms:modified xsi:type="dcterms:W3CDTF">2026-09-27T16:07:33Z</dcterms:modified>
</cp:coreProperties>
</file>