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 E R F I L\Escritorio\"/>
    </mc:Choice>
  </mc:AlternateContent>
  <xr:revisionPtr revIDLastSave="0" documentId="13_ncr:1_{D5E023FC-F275-4807-9C1B-C63F3BF4458D}" xr6:coauthVersionLast="47" xr6:coauthVersionMax="47" xr10:uidLastSave="{00000000-0000-0000-0000-000000000000}"/>
  <bookViews>
    <workbookView xWindow="-120" yWindow="-120" windowWidth="20730" windowHeight="11160" firstSheet="14" activeTab="21" xr2:uid="{00000000-000D-0000-FFFF-FFFF00000000}"/>
  </bookViews>
  <sheets>
    <sheet name="1 9 26" sheetId="163" r:id="rId1"/>
    <sheet name="3 9 26" sheetId="164" r:id="rId2"/>
    <sheet name="4 9 26" sheetId="165" r:id="rId3"/>
    <sheet name="5 9 26" sheetId="166" r:id="rId4"/>
    <sheet name="7 9 26" sheetId="167" r:id="rId5"/>
    <sheet name="8 9 26" sheetId="168" r:id="rId6"/>
    <sheet name="9 9 26" sheetId="169" r:id="rId7"/>
    <sheet name="INVENTARIO" sheetId="170" r:id="rId8"/>
    <sheet name="10 9 26" sheetId="171" r:id="rId9"/>
    <sheet name="11 9 26" sheetId="172" r:id="rId10"/>
    <sheet name="12 9 26" sheetId="173" r:id="rId11"/>
    <sheet name="14 9 26" sheetId="174" r:id="rId12"/>
    <sheet name="15 9 26" sheetId="175" r:id="rId13"/>
    <sheet name="16 9 26" sheetId="176" r:id="rId14"/>
    <sheet name="17 9 26" sheetId="177" r:id="rId15"/>
    <sheet name="18 9 26" sheetId="178" r:id="rId16"/>
    <sheet name="19 9 26" sheetId="179" r:id="rId17"/>
    <sheet name="21 9 26" sheetId="180" r:id="rId18"/>
    <sheet name="22 9 26" sheetId="181" r:id="rId19"/>
    <sheet name="23 9 26" sheetId="182" r:id="rId20"/>
    <sheet name="24 9 26" sheetId="183" r:id="rId21"/>
    <sheet name="25 9 26" sheetId="184" r:id="rId22"/>
  </sheets>
  <definedNames>
    <definedName name="_xlnm._FilterDatabase" localSheetId="7" hidden="1">INVENTARIO!$A$1:$P$253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9" i="184" l="1"/>
  <c r="B260" i="184"/>
  <c r="B259" i="184"/>
  <c r="B273" i="184" s="1"/>
  <c r="B252" i="184"/>
  <c r="B253" i="184" s="1"/>
  <c r="B250" i="184"/>
  <c r="B249" i="184"/>
  <c r="B248" i="184"/>
  <c r="B251" i="184" s="1"/>
  <c r="B244" i="184"/>
  <c r="B242" i="184"/>
  <c r="B245" i="184" s="1"/>
  <c r="B238" i="184"/>
  <c r="B237" i="184"/>
  <c r="B236" i="184"/>
  <c r="B240" i="184" s="1"/>
  <c r="B233" i="184"/>
  <c r="B231" i="184"/>
  <c r="P229" i="184"/>
  <c r="K229" i="184"/>
  <c r="I229" i="184"/>
  <c r="N228" i="184"/>
  <c r="N227" i="184"/>
  <c r="N226" i="184"/>
  <c r="N225" i="184"/>
  <c r="N224" i="184"/>
  <c r="N223" i="184"/>
  <c r="N222" i="184"/>
  <c r="N221" i="184"/>
  <c r="N220" i="184"/>
  <c r="O219" i="184"/>
  <c r="N219" i="184"/>
  <c r="H219" i="184"/>
  <c r="O218" i="184"/>
  <c r="N218" i="184"/>
  <c r="H218" i="184"/>
  <c r="O217" i="184"/>
  <c r="N217" i="184"/>
  <c r="H217" i="184"/>
  <c r="O216" i="184"/>
  <c r="N216" i="184"/>
  <c r="H216" i="184"/>
  <c r="O215" i="184"/>
  <c r="N215" i="184"/>
  <c r="H215" i="184"/>
  <c r="O214" i="184"/>
  <c r="N214" i="184"/>
  <c r="O213" i="184"/>
  <c r="N213" i="184"/>
  <c r="H213" i="184"/>
  <c r="O212" i="184"/>
  <c r="N212" i="184"/>
  <c r="H212" i="184"/>
  <c r="O211" i="184"/>
  <c r="N211" i="184"/>
  <c r="H211" i="184"/>
  <c r="O210" i="184"/>
  <c r="N210" i="184"/>
  <c r="H210" i="184"/>
  <c r="O209" i="184"/>
  <c r="N209" i="184"/>
  <c r="H209" i="184"/>
  <c r="O208" i="184"/>
  <c r="N208" i="184"/>
  <c r="H208" i="184"/>
  <c r="O207" i="184"/>
  <c r="N207" i="184"/>
  <c r="H207" i="184"/>
  <c r="O206" i="184"/>
  <c r="N206" i="184"/>
  <c r="H206" i="184"/>
  <c r="O205" i="184"/>
  <c r="N205" i="184"/>
  <c r="H205" i="184"/>
  <c r="O204" i="184"/>
  <c r="N204" i="184"/>
  <c r="H204" i="184"/>
  <c r="O203" i="184"/>
  <c r="N203" i="184"/>
  <c r="H203" i="184"/>
  <c r="O202" i="184"/>
  <c r="N202" i="184"/>
  <c r="H202" i="184"/>
  <c r="O201" i="184"/>
  <c r="N201" i="184"/>
  <c r="H201" i="184"/>
  <c r="O200" i="184"/>
  <c r="N200" i="184"/>
  <c r="H200" i="184"/>
  <c r="O199" i="184"/>
  <c r="N199" i="184"/>
  <c r="H199" i="184"/>
  <c r="O198" i="184"/>
  <c r="N198" i="184"/>
  <c r="H198" i="184"/>
  <c r="O197" i="184"/>
  <c r="N197" i="184"/>
  <c r="H197" i="184"/>
  <c r="O196" i="184"/>
  <c r="N196" i="184"/>
  <c r="H196" i="184"/>
  <c r="O195" i="184"/>
  <c r="N195" i="184"/>
  <c r="H195" i="184"/>
  <c r="O194" i="184"/>
  <c r="N194" i="184"/>
  <c r="H194" i="184"/>
  <c r="O193" i="184"/>
  <c r="N193" i="184"/>
  <c r="H193" i="184"/>
  <c r="O192" i="184"/>
  <c r="N192" i="184"/>
  <c r="O191" i="184"/>
  <c r="N191" i="184"/>
  <c r="H191" i="184"/>
  <c r="O190" i="184"/>
  <c r="N190" i="184"/>
  <c r="H190" i="184"/>
  <c r="O189" i="184"/>
  <c r="N189" i="184"/>
  <c r="H189" i="184"/>
  <c r="O188" i="184"/>
  <c r="N188" i="184"/>
  <c r="H188" i="184"/>
  <c r="O187" i="184"/>
  <c r="N187" i="184"/>
  <c r="H187" i="184"/>
  <c r="O186" i="184"/>
  <c r="N186" i="184"/>
  <c r="H186" i="184"/>
  <c r="O185" i="184"/>
  <c r="N185" i="184"/>
  <c r="H185" i="184"/>
  <c r="O184" i="184"/>
  <c r="N184" i="184"/>
  <c r="H184" i="184"/>
  <c r="O183" i="184"/>
  <c r="N183" i="184"/>
  <c r="H183" i="184"/>
  <c r="O182" i="184"/>
  <c r="N182" i="184"/>
  <c r="H182" i="184"/>
  <c r="O181" i="184"/>
  <c r="N181" i="184"/>
  <c r="H181" i="184"/>
  <c r="O180" i="184"/>
  <c r="N180" i="184"/>
  <c r="H180" i="184"/>
  <c r="O179" i="184"/>
  <c r="N179" i="184"/>
  <c r="H179" i="184"/>
  <c r="O178" i="184"/>
  <c r="N178" i="184"/>
  <c r="H178" i="184"/>
  <c r="O177" i="184"/>
  <c r="N177" i="184"/>
  <c r="H177" i="184"/>
  <c r="O176" i="184"/>
  <c r="N176" i="184"/>
  <c r="H176" i="184"/>
  <c r="O175" i="184"/>
  <c r="N175" i="184"/>
  <c r="H175" i="184"/>
  <c r="O174" i="184"/>
  <c r="N174" i="184"/>
  <c r="H174" i="184"/>
  <c r="O173" i="184"/>
  <c r="N173" i="184"/>
  <c r="H173" i="184"/>
  <c r="O172" i="184"/>
  <c r="N172" i="184"/>
  <c r="H172" i="184"/>
  <c r="O171" i="184"/>
  <c r="N171" i="184"/>
  <c r="H171" i="184"/>
  <c r="O170" i="184"/>
  <c r="N170" i="184"/>
  <c r="H170" i="184"/>
  <c r="O169" i="184"/>
  <c r="N169" i="184"/>
  <c r="H169" i="184"/>
  <c r="O168" i="184"/>
  <c r="N168" i="184"/>
  <c r="O167" i="184"/>
  <c r="N167" i="184"/>
  <c r="H167" i="184"/>
  <c r="O166" i="184"/>
  <c r="N166" i="184"/>
  <c r="H166" i="184"/>
  <c r="O165" i="184"/>
  <c r="N165" i="184"/>
  <c r="H165" i="184"/>
  <c r="O164" i="184"/>
  <c r="N164" i="184"/>
  <c r="H164" i="184"/>
  <c r="O163" i="184"/>
  <c r="N163" i="184"/>
  <c r="H163" i="184"/>
  <c r="O162" i="184"/>
  <c r="N162" i="184"/>
  <c r="H162" i="184"/>
  <c r="O161" i="184"/>
  <c r="N161" i="184"/>
  <c r="H161" i="184"/>
  <c r="O160" i="184"/>
  <c r="N160" i="184"/>
  <c r="H160" i="184"/>
  <c r="O159" i="184"/>
  <c r="N159" i="184"/>
  <c r="N158" i="184"/>
  <c r="O157" i="184"/>
  <c r="N157" i="184"/>
  <c r="H157" i="184"/>
  <c r="O156" i="184"/>
  <c r="N156" i="184"/>
  <c r="H156" i="184"/>
  <c r="O155" i="184"/>
  <c r="N155" i="184"/>
  <c r="H155" i="184"/>
  <c r="O154" i="184"/>
  <c r="N154" i="184"/>
  <c r="H154" i="184"/>
  <c r="O153" i="184"/>
  <c r="N153" i="184"/>
  <c r="H153" i="184"/>
  <c r="O152" i="184"/>
  <c r="N152" i="184"/>
  <c r="H152" i="184"/>
  <c r="O151" i="184"/>
  <c r="N151" i="184"/>
  <c r="H151" i="184"/>
  <c r="O150" i="184"/>
  <c r="N150" i="184"/>
  <c r="H150" i="184"/>
  <c r="O149" i="184"/>
  <c r="N149" i="184"/>
  <c r="H149" i="184"/>
  <c r="O148" i="184"/>
  <c r="N148" i="184"/>
  <c r="H148" i="184"/>
  <c r="O147" i="184"/>
  <c r="N147" i="184"/>
  <c r="H147" i="184"/>
  <c r="O146" i="184"/>
  <c r="N146" i="184"/>
  <c r="H146" i="184"/>
  <c r="O145" i="184"/>
  <c r="N145" i="184"/>
  <c r="O144" i="184"/>
  <c r="N144" i="184"/>
  <c r="H144" i="184"/>
  <c r="O143" i="184"/>
  <c r="N143" i="184"/>
  <c r="H143" i="184"/>
  <c r="O142" i="184"/>
  <c r="N142" i="184"/>
  <c r="H142" i="184"/>
  <c r="O141" i="184"/>
  <c r="N141" i="184"/>
  <c r="H141" i="184"/>
  <c r="O140" i="184"/>
  <c r="N140" i="184"/>
  <c r="H140" i="184"/>
  <c r="O139" i="184"/>
  <c r="N139" i="184"/>
  <c r="H139" i="184"/>
  <c r="O138" i="184"/>
  <c r="N138" i="184"/>
  <c r="H138" i="184"/>
  <c r="O137" i="184"/>
  <c r="N137" i="184"/>
  <c r="H137" i="184"/>
  <c r="O136" i="184"/>
  <c r="N136" i="184"/>
  <c r="H136" i="184"/>
  <c r="O135" i="184"/>
  <c r="N135" i="184"/>
  <c r="H135" i="184"/>
  <c r="O134" i="184"/>
  <c r="N134" i="184"/>
  <c r="H134" i="184"/>
  <c r="O133" i="184"/>
  <c r="N133" i="184"/>
  <c r="H133" i="184"/>
  <c r="O132" i="184"/>
  <c r="N132" i="184"/>
  <c r="H132" i="184"/>
  <c r="O131" i="184"/>
  <c r="N131" i="184"/>
  <c r="H131" i="184"/>
  <c r="O130" i="184"/>
  <c r="N130" i="184"/>
  <c r="H130" i="184"/>
  <c r="O129" i="184"/>
  <c r="N129" i="184"/>
  <c r="H129" i="184"/>
  <c r="O128" i="184"/>
  <c r="N128" i="184"/>
  <c r="H128" i="184"/>
  <c r="O127" i="184"/>
  <c r="N127" i="184"/>
  <c r="H127" i="184"/>
  <c r="O126" i="184"/>
  <c r="N126" i="184"/>
  <c r="H126" i="184"/>
  <c r="O125" i="184"/>
  <c r="N125" i="184"/>
  <c r="H125" i="184"/>
  <c r="O124" i="184"/>
  <c r="N124" i="184"/>
  <c r="H124" i="184"/>
  <c r="O123" i="184"/>
  <c r="N123" i="184"/>
  <c r="H123" i="184"/>
  <c r="O122" i="184"/>
  <c r="N122" i="184"/>
  <c r="H122" i="184"/>
  <c r="O121" i="184"/>
  <c r="N121" i="184"/>
  <c r="H121" i="184"/>
  <c r="O120" i="184"/>
  <c r="N120" i="184"/>
  <c r="H120" i="184"/>
  <c r="O119" i="184"/>
  <c r="N119" i="184"/>
  <c r="H119" i="184"/>
  <c r="O118" i="184"/>
  <c r="N118" i="184"/>
  <c r="H118" i="184"/>
  <c r="O117" i="184"/>
  <c r="N117" i="184"/>
  <c r="H117" i="184"/>
  <c r="O116" i="184"/>
  <c r="N116" i="184"/>
  <c r="H116" i="184"/>
  <c r="O115" i="184"/>
  <c r="N115" i="184"/>
  <c r="H115" i="184"/>
  <c r="O114" i="184"/>
  <c r="N114" i="184"/>
  <c r="H114" i="184"/>
  <c r="O113" i="184"/>
  <c r="N113" i="184"/>
  <c r="H113" i="184"/>
  <c r="O112" i="184"/>
  <c r="N112" i="184"/>
  <c r="H112" i="184"/>
  <c r="O111" i="184"/>
  <c r="N111" i="184"/>
  <c r="H111" i="184"/>
  <c r="O110" i="184"/>
  <c r="N110" i="184"/>
  <c r="H110" i="184"/>
  <c r="O109" i="184"/>
  <c r="N109" i="184"/>
  <c r="H109" i="184"/>
  <c r="O108" i="184"/>
  <c r="N108" i="184"/>
  <c r="H108" i="184"/>
  <c r="O107" i="184"/>
  <c r="N107" i="184"/>
  <c r="H107" i="184"/>
  <c r="O106" i="184"/>
  <c r="N106" i="184"/>
  <c r="H106" i="184"/>
  <c r="O105" i="184"/>
  <c r="N105" i="184"/>
  <c r="H105" i="184"/>
  <c r="O104" i="184"/>
  <c r="N104" i="184"/>
  <c r="H104" i="184"/>
  <c r="O103" i="184"/>
  <c r="N103" i="184"/>
  <c r="H103" i="184"/>
  <c r="O102" i="184"/>
  <c r="N102" i="184"/>
  <c r="H102" i="184"/>
  <c r="O101" i="184"/>
  <c r="N101" i="184"/>
  <c r="H101" i="184"/>
  <c r="O100" i="184"/>
  <c r="N100" i="184"/>
  <c r="H100" i="184"/>
  <c r="O99" i="184"/>
  <c r="N99" i="184"/>
  <c r="H99" i="184"/>
  <c r="O98" i="184"/>
  <c r="N98" i="184"/>
  <c r="H98" i="184"/>
  <c r="O97" i="184"/>
  <c r="N97" i="184"/>
  <c r="H97" i="184"/>
  <c r="O96" i="184"/>
  <c r="N96" i="184"/>
  <c r="H96" i="184"/>
  <c r="O95" i="184"/>
  <c r="N95" i="184"/>
  <c r="H95" i="184"/>
  <c r="O94" i="184"/>
  <c r="N94" i="184"/>
  <c r="H94" i="184"/>
  <c r="O93" i="184"/>
  <c r="N93" i="184"/>
  <c r="H93" i="184"/>
  <c r="N92" i="184"/>
  <c r="H92" i="184"/>
  <c r="N91" i="184"/>
  <c r="H91" i="184"/>
  <c r="N90" i="184"/>
  <c r="H90" i="184"/>
  <c r="O89" i="184"/>
  <c r="N89" i="184"/>
  <c r="H89" i="184"/>
  <c r="O88" i="184"/>
  <c r="N88" i="184"/>
  <c r="H88" i="184"/>
  <c r="O87" i="184"/>
  <c r="N87" i="184"/>
  <c r="H87" i="184"/>
  <c r="O86" i="184"/>
  <c r="N86" i="184"/>
  <c r="H86" i="184"/>
  <c r="O85" i="184"/>
  <c r="N85" i="184"/>
  <c r="H85" i="184"/>
  <c r="O84" i="184"/>
  <c r="N84" i="184"/>
  <c r="H84" i="184"/>
  <c r="O83" i="184"/>
  <c r="N83" i="184"/>
  <c r="H83" i="184"/>
  <c r="O82" i="184"/>
  <c r="N82" i="184"/>
  <c r="O81" i="184"/>
  <c r="N81" i="184"/>
  <c r="O80" i="184"/>
  <c r="N80" i="184"/>
  <c r="H80" i="184"/>
  <c r="O79" i="184"/>
  <c r="N79" i="184"/>
  <c r="H79" i="184"/>
  <c r="O78" i="184"/>
  <c r="N78" i="184"/>
  <c r="O77" i="184"/>
  <c r="N77" i="184"/>
  <c r="H77" i="184"/>
  <c r="O76" i="184"/>
  <c r="N76" i="184"/>
  <c r="H76" i="184"/>
  <c r="O75" i="184"/>
  <c r="N75" i="184"/>
  <c r="H75" i="184"/>
  <c r="O74" i="184"/>
  <c r="N74" i="184"/>
  <c r="H74" i="184"/>
  <c r="O73" i="184"/>
  <c r="N73" i="184"/>
  <c r="H73" i="184"/>
  <c r="O72" i="184"/>
  <c r="N72" i="184"/>
  <c r="H72" i="184"/>
  <c r="O71" i="184"/>
  <c r="N71" i="184"/>
  <c r="H71" i="184"/>
  <c r="O70" i="184"/>
  <c r="N70" i="184"/>
  <c r="H70" i="184"/>
  <c r="T69" i="184"/>
  <c r="T96" i="184" s="1"/>
  <c r="O69" i="184"/>
  <c r="N69" i="184"/>
  <c r="H69" i="184"/>
  <c r="O68" i="184"/>
  <c r="N68" i="184"/>
  <c r="H68" i="184"/>
  <c r="O67" i="184"/>
  <c r="N67" i="184"/>
  <c r="H67" i="184"/>
  <c r="O66" i="184"/>
  <c r="N66" i="184"/>
  <c r="H66" i="184"/>
  <c r="O65" i="184"/>
  <c r="N65" i="184"/>
  <c r="H65" i="184"/>
  <c r="O64" i="184"/>
  <c r="N64" i="184"/>
  <c r="H64" i="184"/>
  <c r="O63" i="184"/>
  <c r="N63" i="184"/>
  <c r="H63" i="184"/>
  <c r="O62" i="184"/>
  <c r="N62" i="184"/>
  <c r="H62" i="184"/>
  <c r="O61" i="184"/>
  <c r="N61" i="184"/>
  <c r="H61" i="184"/>
  <c r="O60" i="184"/>
  <c r="N60" i="184"/>
  <c r="H60" i="184"/>
  <c r="O59" i="184"/>
  <c r="N59" i="184"/>
  <c r="H59" i="184"/>
  <c r="O58" i="184"/>
  <c r="N58" i="184"/>
  <c r="H58" i="184"/>
  <c r="O57" i="184"/>
  <c r="N57" i="184"/>
  <c r="H57" i="184"/>
  <c r="O56" i="184"/>
  <c r="N56" i="184"/>
  <c r="H56" i="184"/>
  <c r="O55" i="184"/>
  <c r="N55" i="184"/>
  <c r="O54" i="184"/>
  <c r="N54" i="184"/>
  <c r="H54" i="184"/>
  <c r="O53" i="184"/>
  <c r="N53" i="184"/>
  <c r="H53" i="184"/>
  <c r="O52" i="184"/>
  <c r="N52" i="184"/>
  <c r="O51" i="184"/>
  <c r="N51" i="184"/>
  <c r="O50" i="184"/>
  <c r="N50" i="184"/>
  <c r="H50" i="184"/>
  <c r="O49" i="184"/>
  <c r="N49" i="184"/>
  <c r="H49" i="184"/>
  <c r="O48" i="184"/>
  <c r="N48" i="184"/>
  <c r="H48" i="184"/>
  <c r="O47" i="184"/>
  <c r="N47" i="184"/>
  <c r="H47" i="184"/>
  <c r="O46" i="184"/>
  <c r="N46" i="184"/>
  <c r="H46" i="184"/>
  <c r="O45" i="184"/>
  <c r="N45" i="184"/>
  <c r="H45" i="184"/>
  <c r="O44" i="184"/>
  <c r="N44" i="184"/>
  <c r="H44" i="184"/>
  <c r="O43" i="184"/>
  <c r="N43" i="184"/>
  <c r="H43" i="184"/>
  <c r="O42" i="184"/>
  <c r="N42" i="184"/>
  <c r="H42" i="184"/>
  <c r="O41" i="184"/>
  <c r="N41" i="184"/>
  <c r="H41" i="184"/>
  <c r="O40" i="184"/>
  <c r="N40" i="184"/>
  <c r="H40" i="184"/>
  <c r="O39" i="184"/>
  <c r="N39" i="184"/>
  <c r="H39" i="184"/>
  <c r="O38" i="184"/>
  <c r="N38" i="184"/>
  <c r="H38" i="184"/>
  <c r="O37" i="184"/>
  <c r="N37" i="184"/>
  <c r="H37" i="184"/>
  <c r="O36" i="184"/>
  <c r="N36" i="184"/>
  <c r="H36" i="184"/>
  <c r="O35" i="184"/>
  <c r="N35" i="184"/>
  <c r="H35" i="184"/>
  <c r="N34" i="184"/>
  <c r="H34" i="184"/>
  <c r="O33" i="184"/>
  <c r="N33" i="184"/>
  <c r="H33" i="184"/>
  <c r="O32" i="184"/>
  <c r="N32" i="184"/>
  <c r="H32" i="184"/>
  <c r="O31" i="184"/>
  <c r="N31" i="184"/>
  <c r="H31" i="184"/>
  <c r="O30" i="184"/>
  <c r="N30" i="184"/>
  <c r="H30" i="184"/>
  <c r="O29" i="184"/>
  <c r="N29" i="184"/>
  <c r="H29" i="184"/>
  <c r="O28" i="184"/>
  <c r="N28" i="184"/>
  <c r="H28" i="184"/>
  <c r="O27" i="184"/>
  <c r="N27" i="184"/>
  <c r="H27" i="184"/>
  <c r="O26" i="184"/>
  <c r="N26" i="184"/>
  <c r="H26" i="184"/>
  <c r="O25" i="184"/>
  <c r="N25" i="184"/>
  <c r="H25" i="184"/>
  <c r="O24" i="184"/>
  <c r="N24" i="184"/>
  <c r="H24" i="184"/>
  <c r="O23" i="184"/>
  <c r="N23" i="184"/>
  <c r="H23" i="184"/>
  <c r="O22" i="184"/>
  <c r="N22" i="184"/>
  <c r="H22" i="184"/>
  <c r="O21" i="184"/>
  <c r="N21" i="184"/>
  <c r="H21" i="184"/>
  <c r="O20" i="184"/>
  <c r="N20" i="184"/>
  <c r="H20" i="184"/>
  <c r="O19" i="184"/>
  <c r="N19" i="184"/>
  <c r="H19" i="184"/>
  <c r="O18" i="184"/>
  <c r="N18" i="184"/>
  <c r="N17" i="184"/>
  <c r="O16" i="184"/>
  <c r="N16" i="184"/>
  <c r="O15" i="184"/>
  <c r="N15" i="184"/>
  <c r="H15" i="184"/>
  <c r="S14" i="184"/>
  <c r="O14" i="184"/>
  <c r="N14" i="184"/>
  <c r="O13" i="184"/>
  <c r="N13" i="184"/>
  <c r="H13" i="184"/>
  <c r="O12" i="184"/>
  <c r="N12" i="184"/>
  <c r="H12" i="184"/>
  <c r="O11" i="184"/>
  <c r="N11" i="184"/>
  <c r="H11" i="184"/>
  <c r="O10" i="184"/>
  <c r="N10" i="184"/>
  <c r="O9" i="184"/>
  <c r="N9" i="184"/>
  <c r="O8" i="184"/>
  <c r="N8" i="184"/>
  <c r="H8" i="184"/>
  <c r="O7" i="184"/>
  <c r="N7" i="184"/>
  <c r="O6" i="184"/>
  <c r="N6" i="184"/>
  <c r="H6" i="184"/>
  <c r="O5" i="184"/>
  <c r="N5" i="184"/>
  <c r="H5" i="184"/>
  <c r="O4" i="184"/>
  <c r="N4" i="184"/>
  <c r="H4" i="184"/>
  <c r="O3" i="184"/>
  <c r="N3" i="184"/>
  <c r="H3" i="184"/>
  <c r="O2" i="184"/>
  <c r="O229" i="184" s="1"/>
  <c r="B230" i="184" s="1"/>
  <c r="B235" i="184" s="1"/>
  <c r="B241" i="184" s="1"/>
  <c r="B254" i="184" s="1"/>
  <c r="N2" i="184"/>
  <c r="N229" i="184" s="1"/>
  <c r="H2" i="184"/>
  <c r="H229" i="184" s="1"/>
  <c r="B269" i="183"/>
  <c r="B260" i="183"/>
  <c r="B259" i="183"/>
  <c r="B273" i="183" s="1"/>
  <c r="B252" i="183"/>
  <c r="B253" i="183" s="1"/>
  <c r="B250" i="183"/>
  <c r="B249" i="183"/>
  <c r="B248" i="183"/>
  <c r="B251" i="183" s="1"/>
  <c r="B244" i="183"/>
  <c r="B242" i="183"/>
  <c r="B245" i="183" s="1"/>
  <c r="B238" i="183"/>
  <c r="B237" i="183"/>
  <c r="B236" i="183"/>
  <c r="B240" i="183" s="1"/>
  <c r="B233" i="183"/>
  <c r="B231" i="183"/>
  <c r="P229" i="183"/>
  <c r="K229" i="183"/>
  <c r="I229" i="183"/>
  <c r="N228" i="183"/>
  <c r="N227" i="183"/>
  <c r="N226" i="183"/>
  <c r="N225" i="183"/>
  <c r="N224" i="183"/>
  <c r="N223" i="183"/>
  <c r="N222" i="183"/>
  <c r="N221" i="183"/>
  <c r="N220" i="183"/>
  <c r="O219" i="183"/>
  <c r="N219" i="183"/>
  <c r="H219" i="183"/>
  <c r="O218" i="183"/>
  <c r="N218" i="183"/>
  <c r="H218" i="183"/>
  <c r="O217" i="183"/>
  <c r="N217" i="183"/>
  <c r="H217" i="183"/>
  <c r="O216" i="183"/>
  <c r="N216" i="183"/>
  <c r="H216" i="183"/>
  <c r="O215" i="183"/>
  <c r="N215" i="183"/>
  <c r="H215" i="183"/>
  <c r="O214" i="183"/>
  <c r="N214" i="183"/>
  <c r="O213" i="183"/>
  <c r="N213" i="183"/>
  <c r="H213" i="183"/>
  <c r="O212" i="183"/>
  <c r="N212" i="183"/>
  <c r="H212" i="183"/>
  <c r="O211" i="183"/>
  <c r="N211" i="183"/>
  <c r="H211" i="183"/>
  <c r="O210" i="183"/>
  <c r="N210" i="183"/>
  <c r="H210" i="183"/>
  <c r="O209" i="183"/>
  <c r="N209" i="183"/>
  <c r="H209" i="183"/>
  <c r="O208" i="183"/>
  <c r="N208" i="183"/>
  <c r="H208" i="183"/>
  <c r="O207" i="183"/>
  <c r="N207" i="183"/>
  <c r="H207" i="183"/>
  <c r="O206" i="183"/>
  <c r="N206" i="183"/>
  <c r="H206" i="183"/>
  <c r="O205" i="183"/>
  <c r="N205" i="183"/>
  <c r="H205" i="183"/>
  <c r="O204" i="183"/>
  <c r="N204" i="183"/>
  <c r="H204" i="183"/>
  <c r="O203" i="183"/>
  <c r="N203" i="183"/>
  <c r="H203" i="183"/>
  <c r="O202" i="183"/>
  <c r="N202" i="183"/>
  <c r="H202" i="183"/>
  <c r="O201" i="183"/>
  <c r="N201" i="183"/>
  <c r="H201" i="183"/>
  <c r="O200" i="183"/>
  <c r="N200" i="183"/>
  <c r="H200" i="183"/>
  <c r="O199" i="183"/>
  <c r="N199" i="183"/>
  <c r="H199" i="183"/>
  <c r="O198" i="183"/>
  <c r="N198" i="183"/>
  <c r="H198" i="183"/>
  <c r="O197" i="183"/>
  <c r="N197" i="183"/>
  <c r="H197" i="183"/>
  <c r="O196" i="183"/>
  <c r="N196" i="183"/>
  <c r="H196" i="183"/>
  <c r="O195" i="183"/>
  <c r="N195" i="183"/>
  <c r="H195" i="183"/>
  <c r="O194" i="183"/>
  <c r="N194" i="183"/>
  <c r="H194" i="183"/>
  <c r="O193" i="183"/>
  <c r="N193" i="183"/>
  <c r="H193" i="183"/>
  <c r="O192" i="183"/>
  <c r="N192" i="183"/>
  <c r="O191" i="183"/>
  <c r="N191" i="183"/>
  <c r="H191" i="183"/>
  <c r="O190" i="183"/>
  <c r="N190" i="183"/>
  <c r="H190" i="183"/>
  <c r="O189" i="183"/>
  <c r="N189" i="183"/>
  <c r="H189" i="183"/>
  <c r="O188" i="183"/>
  <c r="N188" i="183"/>
  <c r="H188" i="183"/>
  <c r="O187" i="183"/>
  <c r="N187" i="183"/>
  <c r="H187" i="183"/>
  <c r="O186" i="183"/>
  <c r="N186" i="183"/>
  <c r="H186" i="183"/>
  <c r="O185" i="183"/>
  <c r="N185" i="183"/>
  <c r="H185" i="183"/>
  <c r="O184" i="183"/>
  <c r="N184" i="183"/>
  <c r="H184" i="183"/>
  <c r="O183" i="183"/>
  <c r="N183" i="183"/>
  <c r="H183" i="183"/>
  <c r="O182" i="183"/>
  <c r="N182" i="183"/>
  <c r="H182" i="183"/>
  <c r="O181" i="183"/>
  <c r="N181" i="183"/>
  <c r="H181" i="183"/>
  <c r="O180" i="183"/>
  <c r="N180" i="183"/>
  <c r="H180" i="183"/>
  <c r="O179" i="183"/>
  <c r="N179" i="183"/>
  <c r="H179" i="183"/>
  <c r="O178" i="183"/>
  <c r="N178" i="183"/>
  <c r="H178" i="183"/>
  <c r="O177" i="183"/>
  <c r="N177" i="183"/>
  <c r="H177" i="183"/>
  <c r="O176" i="183"/>
  <c r="N176" i="183"/>
  <c r="H176" i="183"/>
  <c r="O175" i="183"/>
  <c r="N175" i="183"/>
  <c r="H175" i="183"/>
  <c r="O174" i="183"/>
  <c r="N174" i="183"/>
  <c r="H174" i="183"/>
  <c r="O173" i="183"/>
  <c r="N173" i="183"/>
  <c r="H173" i="183"/>
  <c r="O172" i="183"/>
  <c r="N172" i="183"/>
  <c r="H172" i="183"/>
  <c r="O171" i="183"/>
  <c r="N171" i="183"/>
  <c r="H171" i="183"/>
  <c r="O170" i="183"/>
  <c r="N170" i="183"/>
  <c r="H170" i="183"/>
  <c r="O169" i="183"/>
  <c r="N169" i="183"/>
  <c r="H169" i="183"/>
  <c r="O168" i="183"/>
  <c r="N168" i="183"/>
  <c r="O167" i="183"/>
  <c r="N167" i="183"/>
  <c r="H167" i="183"/>
  <c r="O166" i="183"/>
  <c r="N166" i="183"/>
  <c r="H166" i="183"/>
  <c r="O165" i="183"/>
  <c r="N165" i="183"/>
  <c r="H165" i="183"/>
  <c r="O164" i="183"/>
  <c r="N164" i="183"/>
  <c r="H164" i="183"/>
  <c r="O163" i="183"/>
  <c r="N163" i="183"/>
  <c r="H163" i="183"/>
  <c r="O162" i="183"/>
  <c r="N162" i="183"/>
  <c r="H162" i="183"/>
  <c r="O161" i="183"/>
  <c r="N161" i="183"/>
  <c r="H161" i="183"/>
  <c r="O160" i="183"/>
  <c r="N160" i="183"/>
  <c r="H160" i="183"/>
  <c r="O159" i="183"/>
  <c r="N159" i="183"/>
  <c r="N158" i="183"/>
  <c r="O157" i="183"/>
  <c r="N157" i="183"/>
  <c r="H157" i="183"/>
  <c r="O156" i="183"/>
  <c r="N156" i="183"/>
  <c r="H156" i="183"/>
  <c r="O155" i="183"/>
  <c r="N155" i="183"/>
  <c r="H155" i="183"/>
  <c r="O154" i="183"/>
  <c r="N154" i="183"/>
  <c r="H154" i="183"/>
  <c r="O153" i="183"/>
  <c r="N153" i="183"/>
  <c r="H153" i="183"/>
  <c r="O152" i="183"/>
  <c r="N152" i="183"/>
  <c r="H152" i="183"/>
  <c r="O151" i="183"/>
  <c r="N151" i="183"/>
  <c r="H151" i="183"/>
  <c r="O150" i="183"/>
  <c r="N150" i="183"/>
  <c r="H150" i="183"/>
  <c r="O149" i="183"/>
  <c r="N149" i="183"/>
  <c r="H149" i="183"/>
  <c r="O148" i="183"/>
  <c r="N148" i="183"/>
  <c r="H148" i="183"/>
  <c r="O147" i="183"/>
  <c r="N147" i="183"/>
  <c r="H147" i="183"/>
  <c r="O146" i="183"/>
  <c r="N146" i="183"/>
  <c r="H146" i="183"/>
  <c r="O145" i="183"/>
  <c r="N145" i="183"/>
  <c r="H145" i="183"/>
  <c r="O144" i="183"/>
  <c r="N144" i="183"/>
  <c r="H144" i="183"/>
  <c r="O143" i="183"/>
  <c r="N143" i="183"/>
  <c r="H143" i="183"/>
  <c r="O142" i="183"/>
  <c r="N142" i="183"/>
  <c r="H142" i="183"/>
  <c r="O141" i="183"/>
  <c r="N141" i="183"/>
  <c r="H141" i="183"/>
  <c r="O140" i="183"/>
  <c r="N140" i="183"/>
  <c r="H140" i="183"/>
  <c r="O139" i="183"/>
  <c r="N139" i="183"/>
  <c r="H139" i="183"/>
  <c r="O138" i="183"/>
  <c r="N138" i="183"/>
  <c r="H138" i="183"/>
  <c r="O137" i="183"/>
  <c r="N137" i="183"/>
  <c r="H137" i="183"/>
  <c r="O136" i="183"/>
  <c r="N136" i="183"/>
  <c r="H136" i="183"/>
  <c r="O135" i="183"/>
  <c r="N135" i="183"/>
  <c r="H135" i="183"/>
  <c r="O134" i="183"/>
  <c r="N134" i="183"/>
  <c r="H134" i="183"/>
  <c r="O133" i="183"/>
  <c r="N133" i="183"/>
  <c r="H133" i="183"/>
  <c r="O132" i="183"/>
  <c r="N132" i="183"/>
  <c r="H132" i="183"/>
  <c r="O131" i="183"/>
  <c r="N131" i="183"/>
  <c r="H131" i="183"/>
  <c r="O130" i="183"/>
  <c r="N130" i="183"/>
  <c r="H130" i="183"/>
  <c r="O129" i="183"/>
  <c r="N129" i="183"/>
  <c r="H129" i="183"/>
  <c r="O128" i="183"/>
  <c r="N128" i="183"/>
  <c r="H128" i="183"/>
  <c r="O127" i="183"/>
  <c r="N127" i="183"/>
  <c r="H127" i="183"/>
  <c r="O126" i="183"/>
  <c r="N126" i="183"/>
  <c r="H126" i="183"/>
  <c r="O125" i="183"/>
  <c r="N125" i="183"/>
  <c r="H125" i="183"/>
  <c r="O124" i="183"/>
  <c r="N124" i="183"/>
  <c r="H124" i="183"/>
  <c r="O123" i="183"/>
  <c r="N123" i="183"/>
  <c r="H123" i="183"/>
  <c r="O122" i="183"/>
  <c r="N122" i="183"/>
  <c r="H122" i="183"/>
  <c r="O121" i="183"/>
  <c r="N121" i="183"/>
  <c r="H121" i="183"/>
  <c r="O120" i="183"/>
  <c r="N120" i="183"/>
  <c r="H120" i="183"/>
  <c r="O119" i="183"/>
  <c r="N119" i="183"/>
  <c r="H119" i="183"/>
  <c r="O118" i="183"/>
  <c r="N118" i="183"/>
  <c r="H118" i="183"/>
  <c r="O117" i="183"/>
  <c r="N117" i="183"/>
  <c r="H117" i="183"/>
  <c r="O116" i="183"/>
  <c r="N116" i="183"/>
  <c r="H116" i="183"/>
  <c r="O115" i="183"/>
  <c r="N115" i="183"/>
  <c r="H115" i="183"/>
  <c r="O114" i="183"/>
  <c r="N114" i="183"/>
  <c r="H114" i="183"/>
  <c r="O113" i="183"/>
  <c r="N113" i="183"/>
  <c r="H113" i="183"/>
  <c r="O112" i="183"/>
  <c r="N112" i="183"/>
  <c r="H112" i="183"/>
  <c r="O111" i="183"/>
  <c r="N111" i="183"/>
  <c r="H111" i="183"/>
  <c r="O110" i="183"/>
  <c r="N110" i="183"/>
  <c r="H110" i="183"/>
  <c r="O109" i="183"/>
  <c r="N109" i="183"/>
  <c r="H109" i="183"/>
  <c r="O108" i="183"/>
  <c r="N108" i="183"/>
  <c r="H108" i="183"/>
  <c r="O107" i="183"/>
  <c r="N107" i="183"/>
  <c r="H107" i="183"/>
  <c r="O106" i="183"/>
  <c r="N106" i="183"/>
  <c r="H106" i="183"/>
  <c r="O105" i="183"/>
  <c r="N105" i="183"/>
  <c r="H105" i="183"/>
  <c r="O104" i="183"/>
  <c r="N104" i="183"/>
  <c r="H104" i="183"/>
  <c r="O103" i="183"/>
  <c r="N103" i="183"/>
  <c r="H103" i="183"/>
  <c r="O102" i="183"/>
  <c r="N102" i="183"/>
  <c r="H102" i="183"/>
  <c r="O101" i="183"/>
  <c r="N101" i="183"/>
  <c r="H101" i="183"/>
  <c r="O100" i="183"/>
  <c r="N100" i="183"/>
  <c r="H100" i="183"/>
  <c r="O99" i="183"/>
  <c r="N99" i="183"/>
  <c r="H99" i="183"/>
  <c r="O98" i="183"/>
  <c r="N98" i="183"/>
  <c r="H98" i="183"/>
  <c r="O97" i="183"/>
  <c r="N97" i="183"/>
  <c r="H97" i="183"/>
  <c r="O96" i="183"/>
  <c r="N96" i="183"/>
  <c r="H96" i="183"/>
  <c r="O95" i="183"/>
  <c r="N95" i="183"/>
  <c r="H95" i="183"/>
  <c r="O94" i="183"/>
  <c r="N94" i="183"/>
  <c r="H94" i="183"/>
  <c r="O93" i="183"/>
  <c r="N93" i="183"/>
  <c r="H93" i="183"/>
  <c r="N92" i="183"/>
  <c r="H92" i="183"/>
  <c r="N91" i="183"/>
  <c r="H91" i="183"/>
  <c r="N90" i="183"/>
  <c r="H90" i="183"/>
  <c r="O89" i="183"/>
  <c r="N89" i="183"/>
  <c r="H89" i="183"/>
  <c r="O88" i="183"/>
  <c r="N88" i="183"/>
  <c r="H88" i="183"/>
  <c r="O87" i="183"/>
  <c r="N87" i="183"/>
  <c r="H87" i="183"/>
  <c r="O86" i="183"/>
  <c r="N86" i="183"/>
  <c r="H86" i="183"/>
  <c r="O85" i="183"/>
  <c r="N85" i="183"/>
  <c r="H85" i="183"/>
  <c r="O84" i="183"/>
  <c r="N84" i="183"/>
  <c r="H84" i="183"/>
  <c r="O83" i="183"/>
  <c r="N83" i="183"/>
  <c r="H83" i="183"/>
  <c r="O82" i="183"/>
  <c r="N82" i="183"/>
  <c r="O81" i="183"/>
  <c r="N81" i="183"/>
  <c r="O80" i="183"/>
  <c r="N80" i="183"/>
  <c r="H80" i="183"/>
  <c r="O79" i="183"/>
  <c r="N79" i="183"/>
  <c r="H79" i="183"/>
  <c r="O78" i="183"/>
  <c r="N78" i="183"/>
  <c r="O77" i="183"/>
  <c r="N77" i="183"/>
  <c r="H77" i="183"/>
  <c r="O76" i="183"/>
  <c r="N76" i="183"/>
  <c r="H76" i="183"/>
  <c r="O75" i="183"/>
  <c r="N75" i="183"/>
  <c r="H75" i="183"/>
  <c r="O74" i="183"/>
  <c r="N74" i="183"/>
  <c r="H74" i="183"/>
  <c r="O73" i="183"/>
  <c r="N73" i="183"/>
  <c r="H73" i="183"/>
  <c r="O72" i="183"/>
  <c r="N72" i="183"/>
  <c r="H72" i="183"/>
  <c r="O71" i="183"/>
  <c r="N71" i="183"/>
  <c r="H71" i="183"/>
  <c r="O70" i="183"/>
  <c r="N70" i="183"/>
  <c r="H70" i="183"/>
  <c r="T69" i="183"/>
  <c r="T96" i="183" s="1"/>
  <c r="O69" i="183"/>
  <c r="N69" i="183"/>
  <c r="H69" i="183"/>
  <c r="O68" i="183"/>
  <c r="N68" i="183"/>
  <c r="H68" i="183"/>
  <c r="O67" i="183"/>
  <c r="N67" i="183"/>
  <c r="H67" i="183"/>
  <c r="O66" i="183"/>
  <c r="N66" i="183"/>
  <c r="H66" i="183"/>
  <c r="O65" i="183"/>
  <c r="N65" i="183"/>
  <c r="H65" i="183"/>
  <c r="O64" i="183"/>
  <c r="N64" i="183"/>
  <c r="H64" i="183"/>
  <c r="O63" i="183"/>
  <c r="N63" i="183"/>
  <c r="H63" i="183"/>
  <c r="O62" i="183"/>
  <c r="N62" i="183"/>
  <c r="H62" i="183"/>
  <c r="O61" i="183"/>
  <c r="N61" i="183"/>
  <c r="H61" i="183"/>
  <c r="O60" i="183"/>
  <c r="N60" i="183"/>
  <c r="H60" i="183"/>
  <c r="O59" i="183"/>
  <c r="N59" i="183"/>
  <c r="H59" i="183"/>
  <c r="O58" i="183"/>
  <c r="N58" i="183"/>
  <c r="H58" i="183"/>
  <c r="O57" i="183"/>
  <c r="N57" i="183"/>
  <c r="H57" i="183"/>
  <c r="O56" i="183"/>
  <c r="N56" i="183"/>
  <c r="H56" i="183"/>
  <c r="O55" i="183"/>
  <c r="N55" i="183"/>
  <c r="O54" i="183"/>
  <c r="N54" i="183"/>
  <c r="H54" i="183"/>
  <c r="O53" i="183"/>
  <c r="N53" i="183"/>
  <c r="H53" i="183"/>
  <c r="O52" i="183"/>
  <c r="N52" i="183"/>
  <c r="O51" i="183"/>
  <c r="N51" i="183"/>
  <c r="O50" i="183"/>
  <c r="N50" i="183"/>
  <c r="H50" i="183"/>
  <c r="O49" i="183"/>
  <c r="N49" i="183"/>
  <c r="H49" i="183"/>
  <c r="O48" i="183"/>
  <c r="N48" i="183"/>
  <c r="H48" i="183"/>
  <c r="O47" i="183"/>
  <c r="N47" i="183"/>
  <c r="H47" i="183"/>
  <c r="O46" i="183"/>
  <c r="N46" i="183"/>
  <c r="H46" i="183"/>
  <c r="O45" i="183"/>
  <c r="N45" i="183"/>
  <c r="H45" i="183"/>
  <c r="O44" i="183"/>
  <c r="N44" i="183"/>
  <c r="H44" i="183"/>
  <c r="O43" i="183"/>
  <c r="N43" i="183"/>
  <c r="H43" i="183"/>
  <c r="O42" i="183"/>
  <c r="N42" i="183"/>
  <c r="H42" i="183"/>
  <c r="O41" i="183"/>
  <c r="N41" i="183"/>
  <c r="H41" i="183"/>
  <c r="O40" i="183"/>
  <c r="N40" i="183"/>
  <c r="H40" i="183"/>
  <c r="O39" i="183"/>
  <c r="N39" i="183"/>
  <c r="H39" i="183"/>
  <c r="O38" i="183"/>
  <c r="N38" i="183"/>
  <c r="H38" i="183"/>
  <c r="O37" i="183"/>
  <c r="N37" i="183"/>
  <c r="H37" i="183"/>
  <c r="O36" i="183"/>
  <c r="N36" i="183"/>
  <c r="H36" i="183"/>
  <c r="O35" i="183"/>
  <c r="N35" i="183"/>
  <c r="H35" i="183"/>
  <c r="N34" i="183"/>
  <c r="H34" i="183"/>
  <c r="O33" i="183"/>
  <c r="N33" i="183"/>
  <c r="H33" i="183"/>
  <c r="O32" i="183"/>
  <c r="N32" i="183"/>
  <c r="H32" i="183"/>
  <c r="O31" i="183"/>
  <c r="N31" i="183"/>
  <c r="H31" i="183"/>
  <c r="O30" i="183"/>
  <c r="N30" i="183"/>
  <c r="H30" i="183"/>
  <c r="O29" i="183"/>
  <c r="N29" i="183"/>
  <c r="H29" i="183"/>
  <c r="O28" i="183"/>
  <c r="N28" i="183"/>
  <c r="H28" i="183"/>
  <c r="O27" i="183"/>
  <c r="N27" i="183"/>
  <c r="H27" i="183"/>
  <c r="O26" i="183"/>
  <c r="N26" i="183"/>
  <c r="H26" i="183"/>
  <c r="O25" i="183"/>
  <c r="N25" i="183"/>
  <c r="H25" i="183"/>
  <c r="O24" i="183"/>
  <c r="N24" i="183"/>
  <c r="H24" i="183"/>
  <c r="O23" i="183"/>
  <c r="N23" i="183"/>
  <c r="H23" i="183"/>
  <c r="O22" i="183"/>
  <c r="N22" i="183"/>
  <c r="H22" i="183"/>
  <c r="O21" i="183"/>
  <c r="N21" i="183"/>
  <c r="H21" i="183"/>
  <c r="O20" i="183"/>
  <c r="N20" i="183"/>
  <c r="H20" i="183"/>
  <c r="O19" i="183"/>
  <c r="N19" i="183"/>
  <c r="H19" i="183"/>
  <c r="O18" i="183"/>
  <c r="N18" i="183"/>
  <c r="N17" i="183"/>
  <c r="O16" i="183"/>
  <c r="N16" i="183"/>
  <c r="O15" i="183"/>
  <c r="N15" i="183"/>
  <c r="H15" i="183"/>
  <c r="S14" i="183"/>
  <c r="O14" i="183"/>
  <c r="N14" i="183"/>
  <c r="O13" i="183"/>
  <c r="N13" i="183"/>
  <c r="H13" i="183"/>
  <c r="O12" i="183"/>
  <c r="N12" i="183"/>
  <c r="H12" i="183"/>
  <c r="O11" i="183"/>
  <c r="N11" i="183"/>
  <c r="H11" i="183"/>
  <c r="O10" i="183"/>
  <c r="N10" i="183"/>
  <c r="O9" i="183"/>
  <c r="N9" i="183"/>
  <c r="O8" i="183"/>
  <c r="N8" i="183"/>
  <c r="H8" i="183"/>
  <c r="O7" i="183"/>
  <c r="N7" i="183"/>
  <c r="O6" i="183"/>
  <c r="N6" i="183"/>
  <c r="H6" i="183"/>
  <c r="O5" i="183"/>
  <c r="N5" i="183"/>
  <c r="H5" i="183"/>
  <c r="O4" i="183"/>
  <c r="N4" i="183"/>
  <c r="H4" i="183"/>
  <c r="O3" i="183"/>
  <c r="N3" i="183"/>
  <c r="H3" i="183"/>
  <c r="O2" i="183"/>
  <c r="O229" i="183" s="1"/>
  <c r="B230" i="183" s="1"/>
  <c r="B235" i="183" s="1"/>
  <c r="B241" i="183" s="1"/>
  <c r="B254" i="183" s="1"/>
  <c r="N2" i="183"/>
  <c r="N229" i="183" s="1"/>
  <c r="H2" i="183"/>
  <c r="H229" i="183" s="1"/>
  <c r="H165" i="182"/>
  <c r="O160" i="182"/>
  <c r="B269" i="182"/>
  <c r="B260" i="182"/>
  <c r="B259" i="182"/>
  <c r="B273" i="182" s="1"/>
  <c r="B252" i="182"/>
  <c r="B253" i="182" s="1"/>
  <c r="B250" i="182"/>
  <c r="B249" i="182"/>
  <c r="B248" i="182"/>
  <c r="B251" i="182" s="1"/>
  <c r="B244" i="182"/>
  <c r="B242" i="182"/>
  <c r="B245" i="182" s="1"/>
  <c r="B238" i="182"/>
  <c r="B237" i="182"/>
  <c r="B236" i="182"/>
  <c r="B240" i="182" s="1"/>
  <c r="B233" i="182"/>
  <c r="B231" i="182"/>
  <c r="P229" i="182"/>
  <c r="K229" i="182"/>
  <c r="I229" i="182"/>
  <c r="N228" i="182"/>
  <c r="N227" i="182"/>
  <c r="N226" i="182"/>
  <c r="N225" i="182"/>
  <c r="N224" i="182"/>
  <c r="N223" i="182"/>
  <c r="N222" i="182"/>
  <c r="N221" i="182"/>
  <c r="N220" i="182"/>
  <c r="O219" i="182"/>
  <c r="N219" i="182"/>
  <c r="H219" i="182"/>
  <c r="O218" i="182"/>
  <c r="N218" i="182"/>
  <c r="H218" i="182"/>
  <c r="O217" i="182"/>
  <c r="N217" i="182"/>
  <c r="H217" i="182"/>
  <c r="O216" i="182"/>
  <c r="N216" i="182"/>
  <c r="H216" i="182"/>
  <c r="O215" i="182"/>
  <c r="N215" i="182"/>
  <c r="H215" i="182"/>
  <c r="O214" i="182"/>
  <c r="N214" i="182"/>
  <c r="O213" i="182"/>
  <c r="N213" i="182"/>
  <c r="H213" i="182"/>
  <c r="O212" i="182"/>
  <c r="N212" i="182"/>
  <c r="H212" i="182"/>
  <c r="O211" i="182"/>
  <c r="N211" i="182"/>
  <c r="H211" i="182"/>
  <c r="O210" i="182"/>
  <c r="N210" i="182"/>
  <c r="H210" i="182"/>
  <c r="O209" i="182"/>
  <c r="N209" i="182"/>
  <c r="H209" i="182"/>
  <c r="O208" i="182"/>
  <c r="N208" i="182"/>
  <c r="H208" i="182"/>
  <c r="O207" i="182"/>
  <c r="N207" i="182"/>
  <c r="H207" i="182"/>
  <c r="O206" i="182"/>
  <c r="N206" i="182"/>
  <c r="H206" i="182"/>
  <c r="O205" i="182"/>
  <c r="N205" i="182"/>
  <c r="H205" i="182"/>
  <c r="O204" i="182"/>
  <c r="N204" i="182"/>
  <c r="H204" i="182"/>
  <c r="O203" i="182"/>
  <c r="N203" i="182"/>
  <c r="H203" i="182"/>
  <c r="O202" i="182"/>
  <c r="N202" i="182"/>
  <c r="H202" i="182"/>
  <c r="O201" i="182"/>
  <c r="N201" i="182"/>
  <c r="H201" i="182"/>
  <c r="O200" i="182"/>
  <c r="N200" i="182"/>
  <c r="H200" i="182"/>
  <c r="O199" i="182"/>
  <c r="N199" i="182"/>
  <c r="H199" i="182"/>
  <c r="O198" i="182"/>
  <c r="N198" i="182"/>
  <c r="H198" i="182"/>
  <c r="O197" i="182"/>
  <c r="N197" i="182"/>
  <c r="H197" i="182"/>
  <c r="O196" i="182"/>
  <c r="N196" i="182"/>
  <c r="H196" i="182"/>
  <c r="O195" i="182"/>
  <c r="N195" i="182"/>
  <c r="H195" i="182"/>
  <c r="O194" i="182"/>
  <c r="N194" i="182"/>
  <c r="H194" i="182"/>
  <c r="O193" i="182"/>
  <c r="N193" i="182"/>
  <c r="H193" i="182"/>
  <c r="O192" i="182"/>
  <c r="N192" i="182"/>
  <c r="O191" i="182"/>
  <c r="N191" i="182"/>
  <c r="H191" i="182"/>
  <c r="O190" i="182"/>
  <c r="N190" i="182"/>
  <c r="H190" i="182"/>
  <c r="O189" i="182"/>
  <c r="N189" i="182"/>
  <c r="H189" i="182"/>
  <c r="O188" i="182"/>
  <c r="N188" i="182"/>
  <c r="H188" i="182"/>
  <c r="O187" i="182"/>
  <c r="N187" i="182"/>
  <c r="H187" i="182"/>
  <c r="O186" i="182"/>
  <c r="N186" i="182"/>
  <c r="H186" i="182"/>
  <c r="O185" i="182"/>
  <c r="N185" i="182"/>
  <c r="H185" i="182"/>
  <c r="O184" i="182"/>
  <c r="N184" i="182"/>
  <c r="H184" i="182"/>
  <c r="O183" i="182"/>
  <c r="N183" i="182"/>
  <c r="H183" i="182"/>
  <c r="O182" i="182"/>
  <c r="N182" i="182"/>
  <c r="H182" i="182"/>
  <c r="O181" i="182"/>
  <c r="N181" i="182"/>
  <c r="H181" i="182"/>
  <c r="O180" i="182"/>
  <c r="N180" i="182"/>
  <c r="H180" i="182"/>
  <c r="O179" i="182"/>
  <c r="N179" i="182"/>
  <c r="H179" i="182"/>
  <c r="O178" i="182"/>
  <c r="N178" i="182"/>
  <c r="H178" i="182"/>
  <c r="O177" i="182"/>
  <c r="N177" i="182"/>
  <c r="H177" i="182"/>
  <c r="O176" i="182"/>
  <c r="N176" i="182"/>
  <c r="H176" i="182"/>
  <c r="O175" i="182"/>
  <c r="N175" i="182"/>
  <c r="H175" i="182"/>
  <c r="O174" i="182"/>
  <c r="N174" i="182"/>
  <c r="H174" i="182"/>
  <c r="O173" i="182"/>
  <c r="N173" i="182"/>
  <c r="H173" i="182"/>
  <c r="O172" i="182"/>
  <c r="N172" i="182"/>
  <c r="H172" i="182"/>
  <c r="O171" i="182"/>
  <c r="N171" i="182"/>
  <c r="H171" i="182"/>
  <c r="O170" i="182"/>
  <c r="N170" i="182"/>
  <c r="H170" i="182"/>
  <c r="O169" i="182"/>
  <c r="N169" i="182"/>
  <c r="H169" i="182"/>
  <c r="O168" i="182"/>
  <c r="N168" i="182"/>
  <c r="O167" i="182"/>
  <c r="N167" i="182"/>
  <c r="H167" i="182"/>
  <c r="O166" i="182"/>
  <c r="N166" i="182"/>
  <c r="H166" i="182"/>
  <c r="O165" i="182"/>
  <c r="N165" i="182"/>
  <c r="O164" i="182"/>
  <c r="N164" i="182"/>
  <c r="H164" i="182"/>
  <c r="O163" i="182"/>
  <c r="N163" i="182"/>
  <c r="H163" i="182"/>
  <c r="O162" i="182"/>
  <c r="N162" i="182"/>
  <c r="H162" i="182"/>
  <c r="O161" i="182"/>
  <c r="N161" i="182"/>
  <c r="H161" i="182"/>
  <c r="N160" i="182"/>
  <c r="H160" i="182"/>
  <c r="O159" i="182"/>
  <c r="N159" i="182"/>
  <c r="N158" i="182"/>
  <c r="O157" i="182"/>
  <c r="N157" i="182"/>
  <c r="H157" i="182"/>
  <c r="O156" i="182"/>
  <c r="N156" i="182"/>
  <c r="H156" i="182"/>
  <c r="O155" i="182"/>
  <c r="N155" i="182"/>
  <c r="H155" i="182"/>
  <c r="O154" i="182"/>
  <c r="N154" i="182"/>
  <c r="H154" i="182"/>
  <c r="O153" i="182"/>
  <c r="N153" i="182"/>
  <c r="H153" i="182"/>
  <c r="O152" i="182"/>
  <c r="N152" i="182"/>
  <c r="H152" i="182"/>
  <c r="O151" i="182"/>
  <c r="N151" i="182"/>
  <c r="H151" i="182"/>
  <c r="O150" i="182"/>
  <c r="N150" i="182"/>
  <c r="H150" i="182"/>
  <c r="O149" i="182"/>
  <c r="N149" i="182"/>
  <c r="H149" i="182"/>
  <c r="O148" i="182"/>
  <c r="N148" i="182"/>
  <c r="H148" i="182"/>
  <c r="O147" i="182"/>
  <c r="N147" i="182"/>
  <c r="H147" i="182"/>
  <c r="O146" i="182"/>
  <c r="N146" i="182"/>
  <c r="H146" i="182"/>
  <c r="O145" i="182"/>
  <c r="N145" i="182"/>
  <c r="H145" i="182"/>
  <c r="O144" i="182"/>
  <c r="N144" i="182"/>
  <c r="H144" i="182"/>
  <c r="O143" i="182"/>
  <c r="N143" i="182"/>
  <c r="H143" i="182"/>
  <c r="O142" i="182"/>
  <c r="N142" i="182"/>
  <c r="H142" i="182"/>
  <c r="O141" i="182"/>
  <c r="N141" i="182"/>
  <c r="H141" i="182"/>
  <c r="O140" i="182"/>
  <c r="N140" i="182"/>
  <c r="H140" i="182"/>
  <c r="O139" i="182"/>
  <c r="N139" i="182"/>
  <c r="H139" i="182"/>
  <c r="O138" i="182"/>
  <c r="N138" i="182"/>
  <c r="H138" i="182"/>
  <c r="O137" i="182"/>
  <c r="N137" i="182"/>
  <c r="H137" i="182"/>
  <c r="O136" i="182"/>
  <c r="N136" i="182"/>
  <c r="H136" i="182"/>
  <c r="O135" i="182"/>
  <c r="N135" i="182"/>
  <c r="H135" i="182"/>
  <c r="O134" i="182"/>
  <c r="N134" i="182"/>
  <c r="H134" i="182"/>
  <c r="O133" i="182"/>
  <c r="N133" i="182"/>
  <c r="H133" i="182"/>
  <c r="O132" i="182"/>
  <c r="N132" i="182"/>
  <c r="H132" i="182"/>
  <c r="O131" i="182"/>
  <c r="N131" i="182"/>
  <c r="H131" i="182"/>
  <c r="O130" i="182"/>
  <c r="N130" i="182"/>
  <c r="H130" i="182"/>
  <c r="O129" i="182"/>
  <c r="N129" i="182"/>
  <c r="H129" i="182"/>
  <c r="O128" i="182"/>
  <c r="N128" i="182"/>
  <c r="O127" i="182"/>
  <c r="N127" i="182"/>
  <c r="H127" i="182"/>
  <c r="O126" i="182"/>
  <c r="N126" i="182"/>
  <c r="H126" i="182"/>
  <c r="O125" i="182"/>
  <c r="N125" i="182"/>
  <c r="H125" i="182"/>
  <c r="O124" i="182"/>
  <c r="N124" i="182"/>
  <c r="H124" i="182"/>
  <c r="O123" i="182"/>
  <c r="N123" i="182"/>
  <c r="H123" i="182"/>
  <c r="O122" i="182"/>
  <c r="N122" i="182"/>
  <c r="H122" i="182"/>
  <c r="O121" i="182"/>
  <c r="N121" i="182"/>
  <c r="H121" i="182"/>
  <c r="O120" i="182"/>
  <c r="N120" i="182"/>
  <c r="H120" i="182"/>
  <c r="O119" i="182"/>
  <c r="N119" i="182"/>
  <c r="H119" i="182"/>
  <c r="O118" i="182"/>
  <c r="N118" i="182"/>
  <c r="H118" i="182"/>
  <c r="O117" i="182"/>
  <c r="N117" i="182"/>
  <c r="H117" i="182"/>
  <c r="O116" i="182"/>
  <c r="N116" i="182"/>
  <c r="H116" i="182"/>
  <c r="O115" i="182"/>
  <c r="N115" i="182"/>
  <c r="H115" i="182"/>
  <c r="O114" i="182"/>
  <c r="N114" i="182"/>
  <c r="H114" i="182"/>
  <c r="O113" i="182"/>
  <c r="N113" i="182"/>
  <c r="H113" i="182"/>
  <c r="O112" i="182"/>
  <c r="N112" i="182"/>
  <c r="H112" i="182"/>
  <c r="O111" i="182"/>
  <c r="N111" i="182"/>
  <c r="H111" i="182"/>
  <c r="O110" i="182"/>
  <c r="N110" i="182"/>
  <c r="H110" i="182"/>
  <c r="O109" i="182"/>
  <c r="N109" i="182"/>
  <c r="H109" i="182"/>
  <c r="O108" i="182"/>
  <c r="N108" i="182"/>
  <c r="H108" i="182"/>
  <c r="O107" i="182"/>
  <c r="N107" i="182"/>
  <c r="H107" i="182"/>
  <c r="O106" i="182"/>
  <c r="N106" i="182"/>
  <c r="H106" i="182"/>
  <c r="O105" i="182"/>
  <c r="N105" i="182"/>
  <c r="H105" i="182"/>
  <c r="O104" i="182"/>
  <c r="N104" i="182"/>
  <c r="H104" i="182"/>
  <c r="O103" i="182"/>
  <c r="N103" i="182"/>
  <c r="H103" i="182"/>
  <c r="O102" i="182"/>
  <c r="N102" i="182"/>
  <c r="H102" i="182"/>
  <c r="O101" i="182"/>
  <c r="N101" i="182"/>
  <c r="H101" i="182"/>
  <c r="O100" i="182"/>
  <c r="N100" i="182"/>
  <c r="H100" i="182"/>
  <c r="O99" i="182"/>
  <c r="N99" i="182"/>
  <c r="H99" i="182"/>
  <c r="O98" i="182"/>
  <c r="N98" i="182"/>
  <c r="H98" i="182"/>
  <c r="O97" i="182"/>
  <c r="N97" i="182"/>
  <c r="H97" i="182"/>
  <c r="O96" i="182"/>
  <c r="N96" i="182"/>
  <c r="H96" i="182"/>
  <c r="O95" i="182"/>
  <c r="N95" i="182"/>
  <c r="H95" i="182"/>
  <c r="O94" i="182"/>
  <c r="N94" i="182"/>
  <c r="H94" i="182"/>
  <c r="O93" i="182"/>
  <c r="N93" i="182"/>
  <c r="H93" i="182"/>
  <c r="N92" i="182"/>
  <c r="H92" i="182"/>
  <c r="N91" i="182"/>
  <c r="H91" i="182"/>
  <c r="N90" i="182"/>
  <c r="H90" i="182"/>
  <c r="O89" i="182"/>
  <c r="N89" i="182"/>
  <c r="H89" i="182"/>
  <c r="O88" i="182"/>
  <c r="N88" i="182"/>
  <c r="H88" i="182"/>
  <c r="O87" i="182"/>
  <c r="N87" i="182"/>
  <c r="H87" i="182"/>
  <c r="O86" i="182"/>
  <c r="N86" i="182"/>
  <c r="H86" i="182"/>
  <c r="O85" i="182"/>
  <c r="N85" i="182"/>
  <c r="H85" i="182"/>
  <c r="O84" i="182"/>
  <c r="N84" i="182"/>
  <c r="H84" i="182"/>
  <c r="O83" i="182"/>
  <c r="N83" i="182"/>
  <c r="H83" i="182"/>
  <c r="O82" i="182"/>
  <c r="N82" i="182"/>
  <c r="O81" i="182"/>
  <c r="N81" i="182"/>
  <c r="O80" i="182"/>
  <c r="N80" i="182"/>
  <c r="H80" i="182"/>
  <c r="O79" i="182"/>
  <c r="N79" i="182"/>
  <c r="H79" i="182"/>
  <c r="O78" i="182"/>
  <c r="N78" i="182"/>
  <c r="O77" i="182"/>
  <c r="N77" i="182"/>
  <c r="H77" i="182"/>
  <c r="O76" i="182"/>
  <c r="N76" i="182"/>
  <c r="H76" i="182"/>
  <c r="O75" i="182"/>
  <c r="N75" i="182"/>
  <c r="H75" i="182"/>
  <c r="O74" i="182"/>
  <c r="N74" i="182"/>
  <c r="H74" i="182"/>
  <c r="O73" i="182"/>
  <c r="N73" i="182"/>
  <c r="H73" i="182"/>
  <c r="O72" i="182"/>
  <c r="N72" i="182"/>
  <c r="H72" i="182"/>
  <c r="O71" i="182"/>
  <c r="N71" i="182"/>
  <c r="H71" i="182"/>
  <c r="O70" i="182"/>
  <c r="N70" i="182"/>
  <c r="H70" i="182"/>
  <c r="T69" i="182"/>
  <c r="T96" i="182" s="1"/>
  <c r="O69" i="182"/>
  <c r="N69" i="182"/>
  <c r="H69" i="182"/>
  <c r="O68" i="182"/>
  <c r="N68" i="182"/>
  <c r="H68" i="182"/>
  <c r="O67" i="182"/>
  <c r="N67" i="182"/>
  <c r="H67" i="182"/>
  <c r="O66" i="182"/>
  <c r="N66" i="182"/>
  <c r="H66" i="182"/>
  <c r="O65" i="182"/>
  <c r="N65" i="182"/>
  <c r="H65" i="182"/>
  <c r="O64" i="182"/>
  <c r="N64" i="182"/>
  <c r="H64" i="182"/>
  <c r="O63" i="182"/>
  <c r="N63" i="182"/>
  <c r="H63" i="182"/>
  <c r="O62" i="182"/>
  <c r="N62" i="182"/>
  <c r="H62" i="182"/>
  <c r="O61" i="182"/>
  <c r="N61" i="182"/>
  <c r="H61" i="182"/>
  <c r="O60" i="182"/>
  <c r="N60" i="182"/>
  <c r="H60" i="182"/>
  <c r="O59" i="182"/>
  <c r="N59" i="182"/>
  <c r="H59" i="182"/>
  <c r="O58" i="182"/>
  <c r="N58" i="182"/>
  <c r="H58" i="182"/>
  <c r="O57" i="182"/>
  <c r="N57" i="182"/>
  <c r="H57" i="182"/>
  <c r="O56" i="182"/>
  <c r="N56" i="182"/>
  <c r="H56" i="182"/>
  <c r="O55" i="182"/>
  <c r="N55" i="182"/>
  <c r="O54" i="182"/>
  <c r="N54" i="182"/>
  <c r="H54" i="182"/>
  <c r="O53" i="182"/>
  <c r="N53" i="182"/>
  <c r="H53" i="182"/>
  <c r="O52" i="182"/>
  <c r="N52" i="182"/>
  <c r="O51" i="182"/>
  <c r="N51" i="182"/>
  <c r="O50" i="182"/>
  <c r="N50" i="182"/>
  <c r="H50" i="182"/>
  <c r="O49" i="182"/>
  <c r="N49" i="182"/>
  <c r="H49" i="182"/>
  <c r="O48" i="182"/>
  <c r="N48" i="182"/>
  <c r="H48" i="182"/>
  <c r="O47" i="182"/>
  <c r="N47" i="182"/>
  <c r="H47" i="182"/>
  <c r="O46" i="182"/>
  <c r="N46" i="182"/>
  <c r="H46" i="182"/>
  <c r="O45" i="182"/>
  <c r="N45" i="182"/>
  <c r="H45" i="182"/>
  <c r="O44" i="182"/>
  <c r="N44" i="182"/>
  <c r="H44" i="182"/>
  <c r="O43" i="182"/>
  <c r="N43" i="182"/>
  <c r="H43" i="182"/>
  <c r="O42" i="182"/>
  <c r="N42" i="182"/>
  <c r="H42" i="182"/>
  <c r="O41" i="182"/>
  <c r="N41" i="182"/>
  <c r="H41" i="182"/>
  <c r="O40" i="182"/>
  <c r="N40" i="182"/>
  <c r="H40" i="182"/>
  <c r="O39" i="182"/>
  <c r="N39" i="182"/>
  <c r="H39" i="182"/>
  <c r="O38" i="182"/>
  <c r="N38" i="182"/>
  <c r="H38" i="182"/>
  <c r="O37" i="182"/>
  <c r="N37" i="182"/>
  <c r="H37" i="182"/>
  <c r="O36" i="182"/>
  <c r="N36" i="182"/>
  <c r="H36" i="182"/>
  <c r="O35" i="182"/>
  <c r="N35" i="182"/>
  <c r="H35" i="182"/>
  <c r="N34" i="182"/>
  <c r="H34" i="182"/>
  <c r="O33" i="182"/>
  <c r="N33" i="182"/>
  <c r="H33" i="182"/>
  <c r="O32" i="182"/>
  <c r="N32" i="182"/>
  <c r="H32" i="182"/>
  <c r="O31" i="182"/>
  <c r="N31" i="182"/>
  <c r="H31" i="182"/>
  <c r="O30" i="182"/>
  <c r="N30" i="182"/>
  <c r="H30" i="182"/>
  <c r="O29" i="182"/>
  <c r="N29" i="182"/>
  <c r="H29" i="182"/>
  <c r="O28" i="182"/>
  <c r="N28" i="182"/>
  <c r="H28" i="182"/>
  <c r="O27" i="182"/>
  <c r="N27" i="182"/>
  <c r="H27" i="182"/>
  <c r="O26" i="182"/>
  <c r="N26" i="182"/>
  <c r="H26" i="182"/>
  <c r="O25" i="182"/>
  <c r="N25" i="182"/>
  <c r="H25" i="182"/>
  <c r="O24" i="182"/>
  <c r="N24" i="182"/>
  <c r="H24" i="182"/>
  <c r="O23" i="182"/>
  <c r="N23" i="182"/>
  <c r="H23" i="182"/>
  <c r="O22" i="182"/>
  <c r="N22" i="182"/>
  <c r="H22" i="182"/>
  <c r="O21" i="182"/>
  <c r="N21" i="182"/>
  <c r="H21" i="182"/>
  <c r="O20" i="182"/>
  <c r="N20" i="182"/>
  <c r="H20" i="182"/>
  <c r="O19" i="182"/>
  <c r="N19" i="182"/>
  <c r="H19" i="182"/>
  <c r="O18" i="182"/>
  <c r="N18" i="182"/>
  <c r="N17" i="182"/>
  <c r="O16" i="182"/>
  <c r="N16" i="182"/>
  <c r="O15" i="182"/>
  <c r="N15" i="182"/>
  <c r="H15" i="182"/>
  <c r="S14" i="182"/>
  <c r="O14" i="182"/>
  <c r="N14" i="182"/>
  <c r="O13" i="182"/>
  <c r="N13" i="182"/>
  <c r="H13" i="182"/>
  <c r="O12" i="182"/>
  <c r="N12" i="182"/>
  <c r="H12" i="182"/>
  <c r="O11" i="182"/>
  <c r="N11" i="182"/>
  <c r="H11" i="182"/>
  <c r="O10" i="182"/>
  <c r="N10" i="182"/>
  <c r="O9" i="182"/>
  <c r="N9" i="182"/>
  <c r="O8" i="182"/>
  <c r="N8" i="182"/>
  <c r="H8" i="182"/>
  <c r="O7" i="182"/>
  <c r="N7" i="182"/>
  <c r="O6" i="182"/>
  <c r="N6" i="182"/>
  <c r="H6" i="182"/>
  <c r="O5" i="182"/>
  <c r="N5" i="182"/>
  <c r="H5" i="182"/>
  <c r="O4" i="182"/>
  <c r="N4" i="182"/>
  <c r="H4" i="182"/>
  <c r="O3" i="182"/>
  <c r="N3" i="182"/>
  <c r="H3" i="182"/>
  <c r="O2" i="182"/>
  <c r="O229" i="182" s="1"/>
  <c r="B230" i="182" s="1"/>
  <c r="B235" i="182" s="1"/>
  <c r="B241" i="182" s="1"/>
  <c r="B254" i="182" s="1"/>
  <c r="N2" i="182"/>
  <c r="N229" i="182" s="1"/>
  <c r="H2" i="182"/>
  <c r="H229" i="182" s="1"/>
  <c r="B252" i="181"/>
  <c r="B250" i="181"/>
  <c r="B249" i="181"/>
  <c r="B242" i="181"/>
  <c r="B238" i="181"/>
  <c r="B237" i="181"/>
  <c r="B236" i="181"/>
  <c r="B233" i="181"/>
  <c r="B231" i="181"/>
  <c r="H33" i="181"/>
  <c r="H182" i="181"/>
  <c r="H183" i="181"/>
  <c r="H184" i="181"/>
  <c r="H185" i="181"/>
  <c r="B269" i="181"/>
  <c r="B260" i="181"/>
  <c r="B259" i="181"/>
  <c r="B273" i="181" s="1"/>
  <c r="B253" i="181"/>
  <c r="B248" i="181"/>
  <c r="B251" i="181" s="1"/>
  <c r="B244" i="181"/>
  <c r="B245" i="181"/>
  <c r="B240" i="181"/>
  <c r="P229" i="181"/>
  <c r="K229" i="181"/>
  <c r="I229" i="181"/>
  <c r="N228" i="181"/>
  <c r="N227" i="181"/>
  <c r="N226" i="181"/>
  <c r="N225" i="181"/>
  <c r="N224" i="181"/>
  <c r="N223" i="181"/>
  <c r="N222" i="181"/>
  <c r="N221" i="181"/>
  <c r="N220" i="181"/>
  <c r="O219" i="181"/>
  <c r="N219" i="181"/>
  <c r="H219" i="181"/>
  <c r="O218" i="181"/>
  <c r="N218" i="181"/>
  <c r="H218" i="181"/>
  <c r="O217" i="181"/>
  <c r="N217" i="181"/>
  <c r="H217" i="181"/>
  <c r="O216" i="181"/>
  <c r="N216" i="181"/>
  <c r="H216" i="181"/>
  <c r="O215" i="181"/>
  <c r="N215" i="181"/>
  <c r="H215" i="181"/>
  <c r="O214" i="181"/>
  <c r="N214" i="181"/>
  <c r="O213" i="181"/>
  <c r="N213" i="181"/>
  <c r="H213" i="181"/>
  <c r="O212" i="181"/>
  <c r="N212" i="181"/>
  <c r="H212" i="181"/>
  <c r="O211" i="181"/>
  <c r="N211" i="181"/>
  <c r="H211" i="181"/>
  <c r="O210" i="181"/>
  <c r="N210" i="181"/>
  <c r="H210" i="181"/>
  <c r="O209" i="181"/>
  <c r="N209" i="181"/>
  <c r="H209" i="181"/>
  <c r="O208" i="181"/>
  <c r="N208" i="181"/>
  <c r="H208" i="181"/>
  <c r="O207" i="181"/>
  <c r="N207" i="181"/>
  <c r="H207" i="181"/>
  <c r="O206" i="181"/>
  <c r="N206" i="181"/>
  <c r="H206" i="181"/>
  <c r="O205" i="181"/>
  <c r="N205" i="181"/>
  <c r="H205" i="181"/>
  <c r="O204" i="181"/>
  <c r="N204" i="181"/>
  <c r="H204" i="181"/>
  <c r="O203" i="181"/>
  <c r="N203" i="181"/>
  <c r="H203" i="181"/>
  <c r="O202" i="181"/>
  <c r="N202" i="181"/>
  <c r="H202" i="181"/>
  <c r="O201" i="181"/>
  <c r="N201" i="181"/>
  <c r="H201" i="181"/>
  <c r="O200" i="181"/>
  <c r="N200" i="181"/>
  <c r="H200" i="181"/>
  <c r="O199" i="181"/>
  <c r="N199" i="181"/>
  <c r="H199" i="181"/>
  <c r="O198" i="181"/>
  <c r="N198" i="181"/>
  <c r="H198" i="181"/>
  <c r="O197" i="181"/>
  <c r="N197" i="181"/>
  <c r="H197" i="181"/>
  <c r="O196" i="181"/>
  <c r="N196" i="181"/>
  <c r="H196" i="181"/>
  <c r="O195" i="181"/>
  <c r="N195" i="181"/>
  <c r="H195" i="181"/>
  <c r="O194" i="181"/>
  <c r="N194" i="181"/>
  <c r="H194" i="181"/>
  <c r="O193" i="181"/>
  <c r="N193" i="181"/>
  <c r="H193" i="181"/>
  <c r="O192" i="181"/>
  <c r="N192" i="181"/>
  <c r="O191" i="181"/>
  <c r="N191" i="181"/>
  <c r="H191" i="181"/>
  <c r="O190" i="181"/>
  <c r="N190" i="181"/>
  <c r="H190" i="181"/>
  <c r="O189" i="181"/>
  <c r="N189" i="181"/>
  <c r="H189" i="181"/>
  <c r="O188" i="181"/>
  <c r="N188" i="181"/>
  <c r="H188" i="181"/>
  <c r="O187" i="181"/>
  <c r="N187" i="181"/>
  <c r="H187" i="181"/>
  <c r="O186" i="181"/>
  <c r="N186" i="181"/>
  <c r="H186" i="181"/>
  <c r="O185" i="181"/>
  <c r="N185" i="181"/>
  <c r="O184" i="181"/>
  <c r="N184" i="181"/>
  <c r="O183" i="181"/>
  <c r="N183" i="181"/>
  <c r="O182" i="181"/>
  <c r="N182" i="181"/>
  <c r="O181" i="181"/>
  <c r="N181" i="181"/>
  <c r="H181" i="181"/>
  <c r="O180" i="181"/>
  <c r="N180" i="181"/>
  <c r="H180" i="181"/>
  <c r="O179" i="181"/>
  <c r="N179" i="181"/>
  <c r="H179" i="181"/>
  <c r="O178" i="181"/>
  <c r="N178" i="181"/>
  <c r="H178" i="181"/>
  <c r="O177" i="181"/>
  <c r="N177" i="181"/>
  <c r="H177" i="181"/>
  <c r="O176" i="181"/>
  <c r="N176" i="181"/>
  <c r="H176" i="181"/>
  <c r="O175" i="181"/>
  <c r="N175" i="181"/>
  <c r="H175" i="181"/>
  <c r="O174" i="181"/>
  <c r="N174" i="181"/>
  <c r="H174" i="181"/>
  <c r="O173" i="181"/>
  <c r="N173" i="181"/>
  <c r="H173" i="181"/>
  <c r="O172" i="181"/>
  <c r="N172" i="181"/>
  <c r="H172" i="181"/>
  <c r="O171" i="181"/>
  <c r="N171" i="181"/>
  <c r="H171" i="181"/>
  <c r="O170" i="181"/>
  <c r="N170" i="181"/>
  <c r="H170" i="181"/>
  <c r="O169" i="181"/>
  <c r="N169" i="181"/>
  <c r="H169" i="181"/>
  <c r="O168" i="181"/>
  <c r="N168" i="181"/>
  <c r="O167" i="181"/>
  <c r="N167" i="181"/>
  <c r="H167" i="181"/>
  <c r="O166" i="181"/>
  <c r="N166" i="181"/>
  <c r="H166" i="181"/>
  <c r="O165" i="181"/>
  <c r="N165" i="181"/>
  <c r="O164" i="181"/>
  <c r="N164" i="181"/>
  <c r="H164" i="181"/>
  <c r="O163" i="181"/>
  <c r="N163" i="181"/>
  <c r="H163" i="181"/>
  <c r="O162" i="181"/>
  <c r="N162" i="181"/>
  <c r="H162" i="181"/>
  <c r="O161" i="181"/>
  <c r="N161" i="181"/>
  <c r="H161" i="181"/>
  <c r="N160" i="181"/>
  <c r="H160" i="181"/>
  <c r="O159" i="181"/>
  <c r="N159" i="181"/>
  <c r="N158" i="181"/>
  <c r="O157" i="181"/>
  <c r="N157" i="181"/>
  <c r="H157" i="181"/>
  <c r="O156" i="181"/>
  <c r="N156" i="181"/>
  <c r="H156" i="181"/>
  <c r="O155" i="181"/>
  <c r="N155" i="181"/>
  <c r="H155" i="181"/>
  <c r="O154" i="181"/>
  <c r="N154" i="181"/>
  <c r="H154" i="181"/>
  <c r="O153" i="181"/>
  <c r="N153" i="181"/>
  <c r="H153" i="181"/>
  <c r="O152" i="181"/>
  <c r="N152" i="181"/>
  <c r="H152" i="181"/>
  <c r="O151" i="181"/>
  <c r="N151" i="181"/>
  <c r="H151" i="181"/>
  <c r="O150" i="181"/>
  <c r="N150" i="181"/>
  <c r="H150" i="181"/>
  <c r="O149" i="181"/>
  <c r="N149" i="181"/>
  <c r="H149" i="181"/>
  <c r="O148" i="181"/>
  <c r="N148" i="181"/>
  <c r="H148" i="181"/>
  <c r="O147" i="181"/>
  <c r="N147" i="181"/>
  <c r="H147" i="181"/>
  <c r="O146" i="181"/>
  <c r="N146" i="181"/>
  <c r="H146" i="181"/>
  <c r="O145" i="181"/>
  <c r="N145" i="181"/>
  <c r="H145" i="181"/>
  <c r="O144" i="181"/>
  <c r="N144" i="181"/>
  <c r="H144" i="181"/>
  <c r="O143" i="181"/>
  <c r="N143" i="181"/>
  <c r="H143" i="181"/>
  <c r="O142" i="181"/>
  <c r="N142" i="181"/>
  <c r="H142" i="181"/>
  <c r="O141" i="181"/>
  <c r="N141" i="181"/>
  <c r="H141" i="181"/>
  <c r="O140" i="181"/>
  <c r="N140" i="181"/>
  <c r="H140" i="181"/>
  <c r="O139" i="181"/>
  <c r="N139" i="181"/>
  <c r="H139" i="181"/>
  <c r="O138" i="181"/>
  <c r="N138" i="181"/>
  <c r="H138" i="181"/>
  <c r="O137" i="181"/>
  <c r="N137" i="181"/>
  <c r="H137" i="181"/>
  <c r="O136" i="181"/>
  <c r="N136" i="181"/>
  <c r="H136" i="181"/>
  <c r="O135" i="181"/>
  <c r="N135" i="181"/>
  <c r="H135" i="181"/>
  <c r="O134" i="181"/>
  <c r="N134" i="181"/>
  <c r="H134" i="181"/>
  <c r="O133" i="181"/>
  <c r="N133" i="181"/>
  <c r="H133" i="181"/>
  <c r="O132" i="181"/>
  <c r="N132" i="181"/>
  <c r="H132" i="181"/>
  <c r="O131" i="181"/>
  <c r="N131" i="181"/>
  <c r="H131" i="181"/>
  <c r="O130" i="181"/>
  <c r="N130" i="181"/>
  <c r="H130" i="181"/>
  <c r="O129" i="181"/>
  <c r="N129" i="181"/>
  <c r="H129" i="181"/>
  <c r="O128" i="181"/>
  <c r="N128" i="181"/>
  <c r="H128" i="181"/>
  <c r="O127" i="181"/>
  <c r="N127" i="181"/>
  <c r="H127" i="181"/>
  <c r="O126" i="181"/>
  <c r="N126" i="181"/>
  <c r="H126" i="181"/>
  <c r="O125" i="181"/>
  <c r="N125" i="181"/>
  <c r="H125" i="181"/>
  <c r="O124" i="181"/>
  <c r="N124" i="181"/>
  <c r="H124" i="181"/>
  <c r="O123" i="181"/>
  <c r="N123" i="181"/>
  <c r="H123" i="181"/>
  <c r="O122" i="181"/>
  <c r="N122" i="181"/>
  <c r="H122" i="181"/>
  <c r="O121" i="181"/>
  <c r="N121" i="181"/>
  <c r="H121" i="181"/>
  <c r="O120" i="181"/>
  <c r="N120" i="181"/>
  <c r="H120" i="181"/>
  <c r="O119" i="181"/>
  <c r="N119" i="181"/>
  <c r="H119" i="181"/>
  <c r="O118" i="181"/>
  <c r="N118" i="181"/>
  <c r="H118" i="181"/>
  <c r="O117" i="181"/>
  <c r="N117" i="181"/>
  <c r="H117" i="181"/>
  <c r="O116" i="181"/>
  <c r="N116" i="181"/>
  <c r="H116" i="181"/>
  <c r="O115" i="181"/>
  <c r="N115" i="181"/>
  <c r="H115" i="181"/>
  <c r="O114" i="181"/>
  <c r="N114" i="181"/>
  <c r="H114" i="181"/>
  <c r="O113" i="181"/>
  <c r="N113" i="181"/>
  <c r="H113" i="181"/>
  <c r="O112" i="181"/>
  <c r="N112" i="181"/>
  <c r="H112" i="181"/>
  <c r="O111" i="181"/>
  <c r="N111" i="181"/>
  <c r="H111" i="181"/>
  <c r="O110" i="181"/>
  <c r="N110" i="181"/>
  <c r="H110" i="181"/>
  <c r="O109" i="181"/>
  <c r="N109" i="181"/>
  <c r="H109" i="181"/>
  <c r="O108" i="181"/>
  <c r="N108" i="181"/>
  <c r="H108" i="181"/>
  <c r="O107" i="181"/>
  <c r="N107" i="181"/>
  <c r="H107" i="181"/>
  <c r="O106" i="181"/>
  <c r="N106" i="181"/>
  <c r="H106" i="181"/>
  <c r="O105" i="181"/>
  <c r="N105" i="181"/>
  <c r="H105" i="181"/>
  <c r="O104" i="181"/>
  <c r="N104" i="181"/>
  <c r="H104" i="181"/>
  <c r="O103" i="181"/>
  <c r="N103" i="181"/>
  <c r="H103" i="181"/>
  <c r="O102" i="181"/>
  <c r="N102" i="181"/>
  <c r="H102" i="181"/>
  <c r="O101" i="181"/>
  <c r="N101" i="181"/>
  <c r="H101" i="181"/>
  <c r="O100" i="181"/>
  <c r="N100" i="181"/>
  <c r="H100" i="181"/>
  <c r="O99" i="181"/>
  <c r="N99" i="181"/>
  <c r="H99" i="181"/>
  <c r="O98" i="181"/>
  <c r="N98" i="181"/>
  <c r="H98" i="181"/>
  <c r="O97" i="181"/>
  <c r="N97" i="181"/>
  <c r="H97" i="181"/>
  <c r="O96" i="181"/>
  <c r="N96" i="181"/>
  <c r="H96" i="181"/>
  <c r="O95" i="181"/>
  <c r="N95" i="181"/>
  <c r="H95" i="181"/>
  <c r="O94" i="181"/>
  <c r="N94" i="181"/>
  <c r="H94" i="181"/>
  <c r="O93" i="181"/>
  <c r="N93" i="181"/>
  <c r="H93" i="181"/>
  <c r="N92" i="181"/>
  <c r="H92" i="181"/>
  <c r="N91" i="181"/>
  <c r="H91" i="181"/>
  <c r="N90" i="181"/>
  <c r="H90" i="181"/>
  <c r="O89" i="181"/>
  <c r="N89" i="181"/>
  <c r="H89" i="181"/>
  <c r="O88" i="181"/>
  <c r="N88" i="181"/>
  <c r="H88" i="181"/>
  <c r="O87" i="181"/>
  <c r="N87" i="181"/>
  <c r="H87" i="181"/>
  <c r="O86" i="181"/>
  <c r="N86" i="181"/>
  <c r="H86" i="181"/>
  <c r="O85" i="181"/>
  <c r="N85" i="181"/>
  <c r="H85" i="181"/>
  <c r="O84" i="181"/>
  <c r="N84" i="181"/>
  <c r="H84" i="181"/>
  <c r="O83" i="181"/>
  <c r="N83" i="181"/>
  <c r="H83" i="181"/>
  <c r="O82" i="181"/>
  <c r="N82" i="181"/>
  <c r="O81" i="181"/>
  <c r="N81" i="181"/>
  <c r="O80" i="181"/>
  <c r="N80" i="181"/>
  <c r="H80" i="181"/>
  <c r="O79" i="181"/>
  <c r="N79" i="181"/>
  <c r="H79" i="181"/>
  <c r="O78" i="181"/>
  <c r="N78" i="181"/>
  <c r="O77" i="181"/>
  <c r="N77" i="181"/>
  <c r="H77" i="181"/>
  <c r="O76" i="181"/>
  <c r="N76" i="181"/>
  <c r="H76" i="181"/>
  <c r="O75" i="181"/>
  <c r="N75" i="181"/>
  <c r="H75" i="181"/>
  <c r="O74" i="181"/>
  <c r="N74" i="181"/>
  <c r="H74" i="181"/>
  <c r="O73" i="181"/>
  <c r="N73" i="181"/>
  <c r="H73" i="181"/>
  <c r="O72" i="181"/>
  <c r="N72" i="181"/>
  <c r="H72" i="181"/>
  <c r="O71" i="181"/>
  <c r="N71" i="181"/>
  <c r="H71" i="181"/>
  <c r="O70" i="181"/>
  <c r="N70" i="181"/>
  <c r="H70" i="181"/>
  <c r="T69" i="181"/>
  <c r="T96" i="181" s="1"/>
  <c r="O69" i="181"/>
  <c r="N69" i="181"/>
  <c r="H69" i="181"/>
  <c r="O68" i="181"/>
  <c r="N68" i="181"/>
  <c r="H68" i="181"/>
  <c r="O67" i="181"/>
  <c r="N67" i="181"/>
  <c r="H67" i="181"/>
  <c r="O66" i="181"/>
  <c r="N66" i="181"/>
  <c r="H66" i="181"/>
  <c r="O65" i="181"/>
  <c r="N65" i="181"/>
  <c r="H65" i="181"/>
  <c r="O64" i="181"/>
  <c r="N64" i="181"/>
  <c r="H64" i="181"/>
  <c r="O63" i="181"/>
  <c r="N63" i="181"/>
  <c r="H63" i="181"/>
  <c r="O62" i="181"/>
  <c r="N62" i="181"/>
  <c r="H62" i="181"/>
  <c r="O61" i="181"/>
  <c r="N61" i="181"/>
  <c r="H61" i="181"/>
  <c r="O60" i="181"/>
  <c r="N60" i="181"/>
  <c r="H60" i="181"/>
  <c r="O59" i="181"/>
  <c r="N59" i="181"/>
  <c r="H59" i="181"/>
  <c r="O58" i="181"/>
  <c r="N58" i="181"/>
  <c r="H58" i="181"/>
  <c r="O57" i="181"/>
  <c r="N57" i="181"/>
  <c r="H57" i="181"/>
  <c r="O56" i="181"/>
  <c r="N56" i="181"/>
  <c r="H56" i="181"/>
  <c r="O55" i="181"/>
  <c r="N55" i="181"/>
  <c r="O54" i="181"/>
  <c r="N54" i="181"/>
  <c r="H54" i="181"/>
  <c r="O53" i="181"/>
  <c r="N53" i="181"/>
  <c r="H53" i="181"/>
  <c r="O52" i="181"/>
  <c r="N52" i="181"/>
  <c r="O51" i="181"/>
  <c r="N51" i="181"/>
  <c r="O50" i="181"/>
  <c r="N50" i="181"/>
  <c r="H50" i="181"/>
  <c r="O49" i="181"/>
  <c r="N49" i="181"/>
  <c r="H49" i="181"/>
  <c r="O48" i="181"/>
  <c r="N48" i="181"/>
  <c r="H48" i="181"/>
  <c r="O47" i="181"/>
  <c r="N47" i="181"/>
  <c r="H47" i="181"/>
  <c r="O46" i="181"/>
  <c r="N46" i="181"/>
  <c r="H46" i="181"/>
  <c r="O45" i="181"/>
  <c r="N45" i="181"/>
  <c r="H45" i="181"/>
  <c r="O44" i="181"/>
  <c r="N44" i="181"/>
  <c r="H44" i="181"/>
  <c r="O43" i="181"/>
  <c r="N43" i="181"/>
  <c r="H43" i="181"/>
  <c r="O42" i="181"/>
  <c r="N42" i="181"/>
  <c r="H42" i="181"/>
  <c r="O41" i="181"/>
  <c r="N41" i="181"/>
  <c r="H41" i="181"/>
  <c r="O40" i="181"/>
  <c r="N40" i="181"/>
  <c r="H40" i="181"/>
  <c r="O39" i="181"/>
  <c r="N39" i="181"/>
  <c r="H39" i="181"/>
  <c r="O38" i="181"/>
  <c r="N38" i="181"/>
  <c r="H38" i="181"/>
  <c r="O37" i="181"/>
  <c r="N37" i="181"/>
  <c r="H37" i="181"/>
  <c r="O36" i="181"/>
  <c r="N36" i="181"/>
  <c r="H36" i="181"/>
  <c r="O35" i="181"/>
  <c r="N35" i="181"/>
  <c r="H35" i="181"/>
  <c r="N34" i="181"/>
  <c r="H34" i="181"/>
  <c r="O33" i="181"/>
  <c r="N33" i="181"/>
  <c r="O32" i="181"/>
  <c r="N32" i="181"/>
  <c r="H32" i="181"/>
  <c r="O31" i="181"/>
  <c r="N31" i="181"/>
  <c r="H31" i="181"/>
  <c r="O30" i="181"/>
  <c r="N30" i="181"/>
  <c r="H30" i="181"/>
  <c r="O29" i="181"/>
  <c r="N29" i="181"/>
  <c r="H29" i="181"/>
  <c r="O28" i="181"/>
  <c r="N28" i="181"/>
  <c r="H28" i="181"/>
  <c r="O27" i="181"/>
  <c r="N27" i="181"/>
  <c r="H27" i="181"/>
  <c r="O26" i="181"/>
  <c r="N26" i="181"/>
  <c r="H26" i="181"/>
  <c r="O25" i="181"/>
  <c r="N25" i="181"/>
  <c r="H25" i="181"/>
  <c r="O24" i="181"/>
  <c r="N24" i="181"/>
  <c r="H24" i="181"/>
  <c r="O23" i="181"/>
  <c r="N23" i="181"/>
  <c r="H23" i="181"/>
  <c r="O22" i="181"/>
  <c r="N22" i="181"/>
  <c r="H22" i="181"/>
  <c r="O21" i="181"/>
  <c r="N21" i="181"/>
  <c r="H21" i="181"/>
  <c r="O20" i="181"/>
  <c r="N20" i="181"/>
  <c r="H20" i="181"/>
  <c r="O19" i="181"/>
  <c r="N19" i="181"/>
  <c r="H19" i="181"/>
  <c r="O18" i="181"/>
  <c r="N18" i="181"/>
  <c r="N17" i="181"/>
  <c r="O16" i="181"/>
  <c r="N16" i="181"/>
  <c r="O15" i="181"/>
  <c r="N15" i="181"/>
  <c r="H15" i="181"/>
  <c r="S14" i="181"/>
  <c r="O14" i="181"/>
  <c r="N14" i="181"/>
  <c r="O13" i="181"/>
  <c r="N13" i="181"/>
  <c r="H13" i="181"/>
  <c r="O12" i="181"/>
  <c r="N12" i="181"/>
  <c r="H12" i="181"/>
  <c r="O11" i="181"/>
  <c r="N11" i="181"/>
  <c r="H11" i="181"/>
  <c r="O10" i="181"/>
  <c r="N10" i="181"/>
  <c r="O9" i="181"/>
  <c r="N9" i="181"/>
  <c r="O8" i="181"/>
  <c r="N8" i="181"/>
  <c r="H8" i="181"/>
  <c r="O7" i="181"/>
  <c r="N7" i="181"/>
  <c r="O6" i="181"/>
  <c r="N6" i="181"/>
  <c r="H6" i="181"/>
  <c r="O5" i="181"/>
  <c r="N5" i="181"/>
  <c r="H5" i="181"/>
  <c r="O4" i="181"/>
  <c r="N4" i="181"/>
  <c r="H4" i="181"/>
  <c r="O3" i="181"/>
  <c r="N3" i="181"/>
  <c r="H3" i="181"/>
  <c r="O2" i="181"/>
  <c r="O229" i="181" s="1"/>
  <c r="B230" i="181" s="1"/>
  <c r="B235" i="181" s="1"/>
  <c r="B241" i="181" s="1"/>
  <c r="B254" i="181" s="1"/>
  <c r="N2" i="181"/>
  <c r="N229" i="181" s="1"/>
  <c r="H2" i="181"/>
  <c r="H229" i="181" s="1"/>
  <c r="B269" i="180"/>
  <c r="B260" i="180"/>
  <c r="B259" i="180"/>
  <c r="B273" i="180" s="1"/>
  <c r="B252" i="180"/>
  <c r="B253" i="180" s="1"/>
  <c r="B250" i="180"/>
  <c r="B249" i="180"/>
  <c r="B248" i="180"/>
  <c r="B251" i="180" s="1"/>
  <c r="B244" i="180"/>
  <c r="B242" i="180"/>
  <c r="B245" i="180" s="1"/>
  <c r="B238" i="180"/>
  <c r="B237" i="180"/>
  <c r="B236" i="180"/>
  <c r="B240" i="180" s="1"/>
  <c r="B233" i="180"/>
  <c r="B231" i="180"/>
  <c r="P229" i="180"/>
  <c r="K229" i="180"/>
  <c r="I229" i="180"/>
  <c r="N228" i="180"/>
  <c r="N227" i="180"/>
  <c r="N226" i="180"/>
  <c r="N225" i="180"/>
  <c r="N224" i="180"/>
  <c r="N223" i="180"/>
  <c r="N222" i="180"/>
  <c r="N221" i="180"/>
  <c r="N220" i="180"/>
  <c r="O219" i="180"/>
  <c r="N219" i="180"/>
  <c r="H219" i="180"/>
  <c r="O218" i="180"/>
  <c r="N218" i="180"/>
  <c r="H218" i="180"/>
  <c r="O217" i="180"/>
  <c r="N217" i="180"/>
  <c r="H217" i="180"/>
  <c r="O216" i="180"/>
  <c r="N216" i="180"/>
  <c r="H216" i="180"/>
  <c r="O215" i="180"/>
  <c r="N215" i="180"/>
  <c r="H215" i="180"/>
  <c r="O214" i="180"/>
  <c r="N214" i="180"/>
  <c r="O213" i="180"/>
  <c r="N213" i="180"/>
  <c r="H213" i="180"/>
  <c r="O212" i="180"/>
  <c r="N212" i="180"/>
  <c r="H212" i="180"/>
  <c r="O211" i="180"/>
  <c r="N211" i="180"/>
  <c r="H211" i="180"/>
  <c r="O210" i="180"/>
  <c r="N210" i="180"/>
  <c r="H210" i="180"/>
  <c r="O209" i="180"/>
  <c r="N209" i="180"/>
  <c r="H209" i="180"/>
  <c r="O208" i="180"/>
  <c r="N208" i="180"/>
  <c r="H208" i="180"/>
  <c r="O207" i="180"/>
  <c r="N207" i="180"/>
  <c r="H207" i="180"/>
  <c r="O206" i="180"/>
  <c r="N206" i="180"/>
  <c r="H206" i="180"/>
  <c r="O205" i="180"/>
  <c r="N205" i="180"/>
  <c r="H205" i="180"/>
  <c r="O204" i="180"/>
  <c r="N204" i="180"/>
  <c r="H204" i="180"/>
  <c r="O203" i="180"/>
  <c r="N203" i="180"/>
  <c r="H203" i="180"/>
  <c r="O202" i="180"/>
  <c r="N202" i="180"/>
  <c r="H202" i="180"/>
  <c r="O201" i="180"/>
  <c r="N201" i="180"/>
  <c r="H201" i="180"/>
  <c r="O200" i="180"/>
  <c r="N200" i="180"/>
  <c r="H200" i="180"/>
  <c r="O199" i="180"/>
  <c r="N199" i="180"/>
  <c r="H199" i="180"/>
  <c r="O198" i="180"/>
  <c r="N198" i="180"/>
  <c r="H198" i="180"/>
  <c r="O197" i="180"/>
  <c r="N197" i="180"/>
  <c r="H197" i="180"/>
  <c r="O196" i="180"/>
  <c r="N196" i="180"/>
  <c r="H196" i="180"/>
  <c r="O195" i="180"/>
  <c r="N195" i="180"/>
  <c r="H195" i="180"/>
  <c r="O194" i="180"/>
  <c r="N194" i="180"/>
  <c r="H194" i="180"/>
  <c r="O193" i="180"/>
  <c r="N193" i="180"/>
  <c r="H193" i="180"/>
  <c r="O192" i="180"/>
  <c r="N192" i="180"/>
  <c r="O191" i="180"/>
  <c r="N191" i="180"/>
  <c r="H191" i="180"/>
  <c r="O190" i="180"/>
  <c r="N190" i="180"/>
  <c r="H190" i="180"/>
  <c r="O189" i="180"/>
  <c r="N189" i="180"/>
  <c r="H189" i="180"/>
  <c r="O188" i="180"/>
  <c r="N188" i="180"/>
  <c r="H188" i="180"/>
  <c r="O187" i="180"/>
  <c r="N187" i="180"/>
  <c r="H187" i="180"/>
  <c r="O186" i="180"/>
  <c r="N186" i="180"/>
  <c r="H186" i="180"/>
  <c r="O185" i="180"/>
  <c r="N185" i="180"/>
  <c r="O184" i="180"/>
  <c r="N184" i="180"/>
  <c r="O183" i="180"/>
  <c r="N183" i="180"/>
  <c r="O182" i="180"/>
  <c r="N182" i="180"/>
  <c r="O181" i="180"/>
  <c r="N181" i="180"/>
  <c r="H181" i="180"/>
  <c r="O180" i="180"/>
  <c r="N180" i="180"/>
  <c r="H180" i="180"/>
  <c r="O179" i="180"/>
  <c r="N179" i="180"/>
  <c r="H179" i="180"/>
  <c r="O178" i="180"/>
  <c r="N178" i="180"/>
  <c r="H178" i="180"/>
  <c r="O177" i="180"/>
  <c r="N177" i="180"/>
  <c r="H177" i="180"/>
  <c r="O176" i="180"/>
  <c r="N176" i="180"/>
  <c r="H176" i="180"/>
  <c r="O175" i="180"/>
  <c r="N175" i="180"/>
  <c r="H175" i="180"/>
  <c r="O174" i="180"/>
  <c r="N174" i="180"/>
  <c r="H174" i="180"/>
  <c r="O173" i="180"/>
  <c r="N173" i="180"/>
  <c r="H173" i="180"/>
  <c r="O172" i="180"/>
  <c r="N172" i="180"/>
  <c r="H172" i="180"/>
  <c r="O171" i="180"/>
  <c r="N171" i="180"/>
  <c r="H171" i="180"/>
  <c r="O170" i="180"/>
  <c r="N170" i="180"/>
  <c r="H170" i="180"/>
  <c r="O169" i="180"/>
  <c r="N169" i="180"/>
  <c r="H169" i="180"/>
  <c r="O168" i="180"/>
  <c r="N168" i="180"/>
  <c r="O167" i="180"/>
  <c r="N167" i="180"/>
  <c r="H167" i="180"/>
  <c r="O166" i="180"/>
  <c r="N166" i="180"/>
  <c r="H166" i="180"/>
  <c r="O165" i="180"/>
  <c r="N165" i="180"/>
  <c r="H165" i="180"/>
  <c r="O164" i="180"/>
  <c r="N164" i="180"/>
  <c r="H164" i="180"/>
  <c r="O163" i="180"/>
  <c r="N163" i="180"/>
  <c r="H163" i="180"/>
  <c r="O162" i="180"/>
  <c r="N162" i="180"/>
  <c r="H162" i="180"/>
  <c r="O161" i="180"/>
  <c r="N161" i="180"/>
  <c r="H161" i="180"/>
  <c r="N160" i="180"/>
  <c r="H160" i="180"/>
  <c r="O159" i="180"/>
  <c r="N159" i="180"/>
  <c r="N158" i="180"/>
  <c r="O157" i="180"/>
  <c r="N157" i="180"/>
  <c r="H157" i="180"/>
  <c r="O156" i="180"/>
  <c r="N156" i="180"/>
  <c r="H156" i="180"/>
  <c r="O155" i="180"/>
  <c r="N155" i="180"/>
  <c r="H155" i="180"/>
  <c r="O154" i="180"/>
  <c r="N154" i="180"/>
  <c r="H154" i="180"/>
  <c r="O153" i="180"/>
  <c r="N153" i="180"/>
  <c r="H153" i="180"/>
  <c r="O152" i="180"/>
  <c r="N152" i="180"/>
  <c r="H152" i="180"/>
  <c r="O151" i="180"/>
  <c r="N151" i="180"/>
  <c r="H151" i="180"/>
  <c r="O150" i="180"/>
  <c r="N150" i="180"/>
  <c r="H150" i="180"/>
  <c r="O149" i="180"/>
  <c r="N149" i="180"/>
  <c r="H149" i="180"/>
  <c r="O148" i="180"/>
  <c r="N148" i="180"/>
  <c r="H148" i="180"/>
  <c r="O147" i="180"/>
  <c r="N147" i="180"/>
  <c r="H147" i="180"/>
  <c r="O146" i="180"/>
  <c r="N146" i="180"/>
  <c r="H146" i="180"/>
  <c r="O145" i="180"/>
  <c r="N145" i="180"/>
  <c r="H145" i="180"/>
  <c r="O144" i="180"/>
  <c r="N144" i="180"/>
  <c r="H144" i="180"/>
  <c r="O143" i="180"/>
  <c r="N143" i="180"/>
  <c r="H143" i="180"/>
  <c r="O142" i="180"/>
  <c r="N142" i="180"/>
  <c r="H142" i="180"/>
  <c r="O141" i="180"/>
  <c r="N141" i="180"/>
  <c r="H141" i="180"/>
  <c r="O140" i="180"/>
  <c r="N140" i="180"/>
  <c r="H140" i="180"/>
  <c r="O139" i="180"/>
  <c r="N139" i="180"/>
  <c r="H139" i="180"/>
  <c r="O138" i="180"/>
  <c r="N138" i="180"/>
  <c r="H138" i="180"/>
  <c r="O137" i="180"/>
  <c r="N137" i="180"/>
  <c r="H137" i="180"/>
  <c r="O136" i="180"/>
  <c r="N136" i="180"/>
  <c r="H136" i="180"/>
  <c r="O135" i="180"/>
  <c r="N135" i="180"/>
  <c r="H135" i="180"/>
  <c r="O134" i="180"/>
  <c r="N134" i="180"/>
  <c r="H134" i="180"/>
  <c r="O133" i="180"/>
  <c r="N133" i="180"/>
  <c r="H133" i="180"/>
  <c r="O132" i="180"/>
  <c r="N132" i="180"/>
  <c r="H132" i="180"/>
  <c r="O131" i="180"/>
  <c r="N131" i="180"/>
  <c r="H131" i="180"/>
  <c r="O130" i="180"/>
  <c r="N130" i="180"/>
  <c r="H130" i="180"/>
  <c r="O129" i="180"/>
  <c r="N129" i="180"/>
  <c r="H129" i="180"/>
  <c r="O128" i="180"/>
  <c r="N128" i="180"/>
  <c r="H128" i="180"/>
  <c r="O127" i="180"/>
  <c r="N127" i="180"/>
  <c r="H127" i="180"/>
  <c r="O126" i="180"/>
  <c r="N126" i="180"/>
  <c r="H126" i="180"/>
  <c r="O125" i="180"/>
  <c r="N125" i="180"/>
  <c r="H125" i="180"/>
  <c r="O124" i="180"/>
  <c r="N124" i="180"/>
  <c r="H124" i="180"/>
  <c r="O123" i="180"/>
  <c r="N123" i="180"/>
  <c r="H123" i="180"/>
  <c r="O122" i="180"/>
  <c r="N122" i="180"/>
  <c r="H122" i="180"/>
  <c r="O121" i="180"/>
  <c r="N121" i="180"/>
  <c r="H121" i="180"/>
  <c r="O120" i="180"/>
  <c r="N120" i="180"/>
  <c r="H120" i="180"/>
  <c r="O119" i="180"/>
  <c r="N119" i="180"/>
  <c r="H119" i="180"/>
  <c r="O118" i="180"/>
  <c r="N118" i="180"/>
  <c r="H118" i="180"/>
  <c r="O117" i="180"/>
  <c r="N117" i="180"/>
  <c r="H117" i="180"/>
  <c r="O116" i="180"/>
  <c r="N116" i="180"/>
  <c r="H116" i="180"/>
  <c r="O115" i="180"/>
  <c r="N115" i="180"/>
  <c r="H115" i="180"/>
  <c r="O114" i="180"/>
  <c r="N114" i="180"/>
  <c r="H114" i="180"/>
  <c r="O113" i="180"/>
  <c r="N113" i="180"/>
  <c r="H113" i="180"/>
  <c r="O112" i="180"/>
  <c r="N112" i="180"/>
  <c r="H112" i="180"/>
  <c r="O111" i="180"/>
  <c r="N111" i="180"/>
  <c r="H111" i="180"/>
  <c r="O110" i="180"/>
  <c r="N110" i="180"/>
  <c r="H110" i="180"/>
  <c r="O109" i="180"/>
  <c r="N109" i="180"/>
  <c r="H109" i="180"/>
  <c r="O108" i="180"/>
  <c r="N108" i="180"/>
  <c r="H108" i="180"/>
  <c r="O107" i="180"/>
  <c r="N107" i="180"/>
  <c r="H107" i="180"/>
  <c r="O106" i="180"/>
  <c r="N106" i="180"/>
  <c r="H106" i="180"/>
  <c r="O105" i="180"/>
  <c r="N105" i="180"/>
  <c r="H105" i="180"/>
  <c r="O104" i="180"/>
  <c r="N104" i="180"/>
  <c r="H104" i="180"/>
  <c r="O103" i="180"/>
  <c r="N103" i="180"/>
  <c r="H103" i="180"/>
  <c r="O102" i="180"/>
  <c r="N102" i="180"/>
  <c r="H102" i="180"/>
  <c r="O101" i="180"/>
  <c r="N101" i="180"/>
  <c r="H101" i="180"/>
  <c r="O100" i="180"/>
  <c r="N100" i="180"/>
  <c r="H100" i="180"/>
  <c r="O99" i="180"/>
  <c r="N99" i="180"/>
  <c r="H99" i="180"/>
  <c r="O98" i="180"/>
  <c r="N98" i="180"/>
  <c r="H98" i="180"/>
  <c r="O97" i="180"/>
  <c r="N97" i="180"/>
  <c r="H97" i="180"/>
  <c r="O96" i="180"/>
  <c r="N96" i="180"/>
  <c r="H96" i="180"/>
  <c r="O95" i="180"/>
  <c r="N95" i="180"/>
  <c r="H95" i="180"/>
  <c r="O94" i="180"/>
  <c r="N94" i="180"/>
  <c r="H94" i="180"/>
  <c r="O93" i="180"/>
  <c r="N93" i="180"/>
  <c r="H93" i="180"/>
  <c r="N92" i="180"/>
  <c r="H92" i="180"/>
  <c r="N91" i="180"/>
  <c r="H91" i="180"/>
  <c r="N90" i="180"/>
  <c r="H90" i="180"/>
  <c r="O89" i="180"/>
  <c r="N89" i="180"/>
  <c r="H89" i="180"/>
  <c r="O88" i="180"/>
  <c r="N88" i="180"/>
  <c r="H88" i="180"/>
  <c r="O87" i="180"/>
  <c r="N87" i="180"/>
  <c r="H87" i="180"/>
  <c r="O86" i="180"/>
  <c r="N86" i="180"/>
  <c r="H86" i="180"/>
  <c r="O85" i="180"/>
  <c r="N85" i="180"/>
  <c r="H85" i="180"/>
  <c r="O84" i="180"/>
  <c r="N84" i="180"/>
  <c r="H84" i="180"/>
  <c r="O83" i="180"/>
  <c r="N83" i="180"/>
  <c r="H83" i="180"/>
  <c r="O82" i="180"/>
  <c r="N82" i="180"/>
  <c r="O81" i="180"/>
  <c r="N81" i="180"/>
  <c r="O80" i="180"/>
  <c r="N80" i="180"/>
  <c r="H80" i="180"/>
  <c r="O79" i="180"/>
  <c r="N79" i="180"/>
  <c r="H79" i="180"/>
  <c r="O78" i="180"/>
  <c r="N78" i="180"/>
  <c r="O77" i="180"/>
  <c r="N77" i="180"/>
  <c r="H77" i="180"/>
  <c r="O76" i="180"/>
  <c r="N76" i="180"/>
  <c r="H76" i="180"/>
  <c r="O75" i="180"/>
  <c r="N75" i="180"/>
  <c r="H75" i="180"/>
  <c r="O74" i="180"/>
  <c r="N74" i="180"/>
  <c r="H74" i="180"/>
  <c r="O73" i="180"/>
  <c r="N73" i="180"/>
  <c r="H73" i="180"/>
  <c r="O72" i="180"/>
  <c r="N72" i="180"/>
  <c r="H72" i="180"/>
  <c r="O71" i="180"/>
  <c r="N71" i="180"/>
  <c r="H71" i="180"/>
  <c r="O70" i="180"/>
  <c r="N70" i="180"/>
  <c r="H70" i="180"/>
  <c r="T69" i="180"/>
  <c r="T96" i="180" s="1"/>
  <c r="O69" i="180"/>
  <c r="N69" i="180"/>
  <c r="H69" i="180"/>
  <c r="O68" i="180"/>
  <c r="N68" i="180"/>
  <c r="H68" i="180"/>
  <c r="O67" i="180"/>
  <c r="N67" i="180"/>
  <c r="H67" i="180"/>
  <c r="O66" i="180"/>
  <c r="N66" i="180"/>
  <c r="H66" i="180"/>
  <c r="O65" i="180"/>
  <c r="N65" i="180"/>
  <c r="H65" i="180"/>
  <c r="O64" i="180"/>
  <c r="N64" i="180"/>
  <c r="H64" i="180"/>
  <c r="O63" i="180"/>
  <c r="N63" i="180"/>
  <c r="H63" i="180"/>
  <c r="O62" i="180"/>
  <c r="N62" i="180"/>
  <c r="H62" i="180"/>
  <c r="O61" i="180"/>
  <c r="N61" i="180"/>
  <c r="H61" i="180"/>
  <c r="O60" i="180"/>
  <c r="N60" i="180"/>
  <c r="H60" i="180"/>
  <c r="O59" i="180"/>
  <c r="N59" i="180"/>
  <c r="H59" i="180"/>
  <c r="O58" i="180"/>
  <c r="N58" i="180"/>
  <c r="H58" i="180"/>
  <c r="O57" i="180"/>
  <c r="N57" i="180"/>
  <c r="H57" i="180"/>
  <c r="O56" i="180"/>
  <c r="N56" i="180"/>
  <c r="H56" i="180"/>
  <c r="O55" i="180"/>
  <c r="N55" i="180"/>
  <c r="O54" i="180"/>
  <c r="N54" i="180"/>
  <c r="H54" i="180"/>
  <c r="O53" i="180"/>
  <c r="N53" i="180"/>
  <c r="H53" i="180"/>
  <c r="O52" i="180"/>
  <c r="N52" i="180"/>
  <c r="O51" i="180"/>
  <c r="N51" i="180"/>
  <c r="O50" i="180"/>
  <c r="N50" i="180"/>
  <c r="H50" i="180"/>
  <c r="O49" i="180"/>
  <c r="N49" i="180"/>
  <c r="H49" i="180"/>
  <c r="O48" i="180"/>
  <c r="N48" i="180"/>
  <c r="H48" i="180"/>
  <c r="O47" i="180"/>
  <c r="N47" i="180"/>
  <c r="H47" i="180"/>
  <c r="O46" i="180"/>
  <c r="N46" i="180"/>
  <c r="H46" i="180"/>
  <c r="O45" i="180"/>
  <c r="N45" i="180"/>
  <c r="H45" i="180"/>
  <c r="O44" i="180"/>
  <c r="N44" i="180"/>
  <c r="H44" i="180"/>
  <c r="O43" i="180"/>
  <c r="N43" i="180"/>
  <c r="H43" i="180"/>
  <c r="O42" i="180"/>
  <c r="N42" i="180"/>
  <c r="H42" i="180"/>
  <c r="O41" i="180"/>
  <c r="N41" i="180"/>
  <c r="H41" i="180"/>
  <c r="O40" i="180"/>
  <c r="N40" i="180"/>
  <c r="H40" i="180"/>
  <c r="O39" i="180"/>
  <c r="N39" i="180"/>
  <c r="H39" i="180"/>
  <c r="O38" i="180"/>
  <c r="N38" i="180"/>
  <c r="H38" i="180"/>
  <c r="O37" i="180"/>
  <c r="N37" i="180"/>
  <c r="H37" i="180"/>
  <c r="O36" i="180"/>
  <c r="N36" i="180"/>
  <c r="H36" i="180"/>
  <c r="O35" i="180"/>
  <c r="N35" i="180"/>
  <c r="H35" i="180"/>
  <c r="N34" i="180"/>
  <c r="H34" i="180"/>
  <c r="O33" i="180"/>
  <c r="N33" i="180"/>
  <c r="O32" i="180"/>
  <c r="N32" i="180"/>
  <c r="H32" i="180"/>
  <c r="O31" i="180"/>
  <c r="N31" i="180"/>
  <c r="H31" i="180"/>
  <c r="O30" i="180"/>
  <c r="N30" i="180"/>
  <c r="H30" i="180"/>
  <c r="O29" i="180"/>
  <c r="N29" i="180"/>
  <c r="H29" i="180"/>
  <c r="O28" i="180"/>
  <c r="N28" i="180"/>
  <c r="H28" i="180"/>
  <c r="O27" i="180"/>
  <c r="N27" i="180"/>
  <c r="H27" i="180"/>
  <c r="O26" i="180"/>
  <c r="N26" i="180"/>
  <c r="H26" i="180"/>
  <c r="O25" i="180"/>
  <c r="N25" i="180"/>
  <c r="H25" i="180"/>
  <c r="O24" i="180"/>
  <c r="N24" i="180"/>
  <c r="H24" i="180"/>
  <c r="O23" i="180"/>
  <c r="N23" i="180"/>
  <c r="H23" i="180"/>
  <c r="O22" i="180"/>
  <c r="N22" i="180"/>
  <c r="H22" i="180"/>
  <c r="O21" i="180"/>
  <c r="N21" i="180"/>
  <c r="H21" i="180"/>
  <c r="O20" i="180"/>
  <c r="N20" i="180"/>
  <c r="H20" i="180"/>
  <c r="O19" i="180"/>
  <c r="N19" i="180"/>
  <c r="H19" i="180"/>
  <c r="O18" i="180"/>
  <c r="N18" i="180"/>
  <c r="N17" i="180"/>
  <c r="O16" i="180"/>
  <c r="N16" i="180"/>
  <c r="O15" i="180"/>
  <c r="N15" i="180"/>
  <c r="H15" i="180"/>
  <c r="S14" i="180"/>
  <c r="O14" i="180"/>
  <c r="N14" i="180"/>
  <c r="O13" i="180"/>
  <c r="N13" i="180"/>
  <c r="H13" i="180"/>
  <c r="O12" i="180"/>
  <c r="N12" i="180"/>
  <c r="H12" i="180"/>
  <c r="O11" i="180"/>
  <c r="N11" i="180"/>
  <c r="H11" i="180"/>
  <c r="O10" i="180"/>
  <c r="N10" i="180"/>
  <c r="O9" i="180"/>
  <c r="N9" i="180"/>
  <c r="O8" i="180"/>
  <c r="N8" i="180"/>
  <c r="H8" i="180"/>
  <c r="O7" i="180"/>
  <c r="N7" i="180"/>
  <c r="O6" i="180"/>
  <c r="N6" i="180"/>
  <c r="H6" i="180"/>
  <c r="O5" i="180"/>
  <c r="N5" i="180"/>
  <c r="H5" i="180"/>
  <c r="O4" i="180"/>
  <c r="N4" i="180"/>
  <c r="H4" i="180"/>
  <c r="O3" i="180"/>
  <c r="N3" i="180"/>
  <c r="H3" i="180"/>
  <c r="O2" i="180"/>
  <c r="O229" i="180" s="1"/>
  <c r="B230" i="180" s="1"/>
  <c r="B235" i="180" s="1"/>
  <c r="B241" i="180" s="1"/>
  <c r="B254" i="180" s="1"/>
  <c r="N2" i="180"/>
  <c r="N229" i="180" s="1"/>
  <c r="H2" i="180"/>
  <c r="H229" i="180" s="1"/>
  <c r="B269" i="179"/>
  <c r="B260" i="179"/>
  <c r="B259" i="179"/>
  <c r="B273" i="179" s="1"/>
  <c r="B252" i="179"/>
  <c r="B253" i="179" s="1"/>
  <c r="B250" i="179"/>
  <c r="B249" i="179"/>
  <c r="B248" i="179"/>
  <c r="B251" i="179" s="1"/>
  <c r="B244" i="179"/>
  <c r="B242" i="179"/>
  <c r="B245" i="179" s="1"/>
  <c r="B238" i="179"/>
  <c r="B237" i="179"/>
  <c r="B236" i="179"/>
  <c r="B240" i="179" s="1"/>
  <c r="B233" i="179"/>
  <c r="B231" i="179"/>
  <c r="P229" i="179"/>
  <c r="K229" i="179"/>
  <c r="I229" i="179"/>
  <c r="N228" i="179"/>
  <c r="N227" i="179"/>
  <c r="N226" i="179"/>
  <c r="N225" i="179"/>
  <c r="N224" i="179"/>
  <c r="N223" i="179"/>
  <c r="N222" i="179"/>
  <c r="N221" i="179"/>
  <c r="N220" i="179"/>
  <c r="O219" i="179"/>
  <c r="N219" i="179"/>
  <c r="H219" i="179"/>
  <c r="O218" i="179"/>
  <c r="N218" i="179"/>
  <c r="H218" i="179"/>
  <c r="O217" i="179"/>
  <c r="N217" i="179"/>
  <c r="H217" i="179"/>
  <c r="O216" i="179"/>
  <c r="N216" i="179"/>
  <c r="H216" i="179"/>
  <c r="O215" i="179"/>
  <c r="N215" i="179"/>
  <c r="H215" i="179"/>
  <c r="O214" i="179"/>
  <c r="N214" i="179"/>
  <c r="O213" i="179"/>
  <c r="N213" i="179"/>
  <c r="H213" i="179"/>
  <c r="O212" i="179"/>
  <c r="N212" i="179"/>
  <c r="H212" i="179"/>
  <c r="O211" i="179"/>
  <c r="N211" i="179"/>
  <c r="H211" i="179"/>
  <c r="O210" i="179"/>
  <c r="N210" i="179"/>
  <c r="H210" i="179"/>
  <c r="O209" i="179"/>
  <c r="N209" i="179"/>
  <c r="H209" i="179"/>
  <c r="O208" i="179"/>
  <c r="N208" i="179"/>
  <c r="H208" i="179"/>
  <c r="O207" i="179"/>
  <c r="N207" i="179"/>
  <c r="H207" i="179"/>
  <c r="O206" i="179"/>
  <c r="N206" i="179"/>
  <c r="H206" i="179"/>
  <c r="O205" i="179"/>
  <c r="N205" i="179"/>
  <c r="H205" i="179"/>
  <c r="O204" i="179"/>
  <c r="N204" i="179"/>
  <c r="H204" i="179"/>
  <c r="O203" i="179"/>
  <c r="N203" i="179"/>
  <c r="H203" i="179"/>
  <c r="O202" i="179"/>
  <c r="N202" i="179"/>
  <c r="H202" i="179"/>
  <c r="O201" i="179"/>
  <c r="N201" i="179"/>
  <c r="H201" i="179"/>
  <c r="O200" i="179"/>
  <c r="N200" i="179"/>
  <c r="H200" i="179"/>
  <c r="O199" i="179"/>
  <c r="N199" i="179"/>
  <c r="H199" i="179"/>
  <c r="O198" i="179"/>
  <c r="N198" i="179"/>
  <c r="H198" i="179"/>
  <c r="O197" i="179"/>
  <c r="N197" i="179"/>
  <c r="H197" i="179"/>
  <c r="O196" i="179"/>
  <c r="N196" i="179"/>
  <c r="H196" i="179"/>
  <c r="O195" i="179"/>
  <c r="N195" i="179"/>
  <c r="H195" i="179"/>
  <c r="O194" i="179"/>
  <c r="N194" i="179"/>
  <c r="H194" i="179"/>
  <c r="O193" i="179"/>
  <c r="N193" i="179"/>
  <c r="H193" i="179"/>
  <c r="O192" i="179"/>
  <c r="N192" i="179"/>
  <c r="O191" i="179"/>
  <c r="N191" i="179"/>
  <c r="H191" i="179"/>
  <c r="O190" i="179"/>
  <c r="N190" i="179"/>
  <c r="H190" i="179"/>
  <c r="O189" i="179"/>
  <c r="N189" i="179"/>
  <c r="H189" i="179"/>
  <c r="O188" i="179"/>
  <c r="N188" i="179"/>
  <c r="H188" i="179"/>
  <c r="O187" i="179"/>
  <c r="N187" i="179"/>
  <c r="H187" i="179"/>
  <c r="O186" i="179"/>
  <c r="N186" i="179"/>
  <c r="H186" i="179"/>
  <c r="O185" i="179"/>
  <c r="N185" i="179"/>
  <c r="H185" i="179"/>
  <c r="O184" i="179"/>
  <c r="N184" i="179"/>
  <c r="O183" i="179"/>
  <c r="N183" i="179"/>
  <c r="O182" i="179"/>
  <c r="N182" i="179"/>
  <c r="O181" i="179"/>
  <c r="N181" i="179"/>
  <c r="H181" i="179"/>
  <c r="O180" i="179"/>
  <c r="N180" i="179"/>
  <c r="H180" i="179"/>
  <c r="O179" i="179"/>
  <c r="N179" i="179"/>
  <c r="H179" i="179"/>
  <c r="O178" i="179"/>
  <c r="N178" i="179"/>
  <c r="H178" i="179"/>
  <c r="O177" i="179"/>
  <c r="N177" i="179"/>
  <c r="H177" i="179"/>
  <c r="O176" i="179"/>
  <c r="N176" i="179"/>
  <c r="H176" i="179"/>
  <c r="O175" i="179"/>
  <c r="N175" i="179"/>
  <c r="H175" i="179"/>
  <c r="O174" i="179"/>
  <c r="N174" i="179"/>
  <c r="H174" i="179"/>
  <c r="O173" i="179"/>
  <c r="N173" i="179"/>
  <c r="H173" i="179"/>
  <c r="O172" i="179"/>
  <c r="N172" i="179"/>
  <c r="H172" i="179"/>
  <c r="O171" i="179"/>
  <c r="N171" i="179"/>
  <c r="H171" i="179"/>
  <c r="O170" i="179"/>
  <c r="N170" i="179"/>
  <c r="H170" i="179"/>
  <c r="O169" i="179"/>
  <c r="N169" i="179"/>
  <c r="H169" i="179"/>
  <c r="O168" i="179"/>
  <c r="N168" i="179"/>
  <c r="O167" i="179"/>
  <c r="N167" i="179"/>
  <c r="H167" i="179"/>
  <c r="O166" i="179"/>
  <c r="N166" i="179"/>
  <c r="H166" i="179"/>
  <c r="O165" i="179"/>
  <c r="N165" i="179"/>
  <c r="H165" i="179"/>
  <c r="O164" i="179"/>
  <c r="N164" i="179"/>
  <c r="H164" i="179"/>
  <c r="O163" i="179"/>
  <c r="N163" i="179"/>
  <c r="H163" i="179"/>
  <c r="O162" i="179"/>
  <c r="N162" i="179"/>
  <c r="H162" i="179"/>
  <c r="O161" i="179"/>
  <c r="N161" i="179"/>
  <c r="H161" i="179"/>
  <c r="N160" i="179"/>
  <c r="H160" i="179"/>
  <c r="O159" i="179"/>
  <c r="N159" i="179"/>
  <c r="N158" i="179"/>
  <c r="O157" i="179"/>
  <c r="N157" i="179"/>
  <c r="H157" i="179"/>
  <c r="O156" i="179"/>
  <c r="N156" i="179"/>
  <c r="H156" i="179"/>
  <c r="O155" i="179"/>
  <c r="N155" i="179"/>
  <c r="H155" i="179"/>
  <c r="O154" i="179"/>
  <c r="N154" i="179"/>
  <c r="H154" i="179"/>
  <c r="O153" i="179"/>
  <c r="N153" i="179"/>
  <c r="H153" i="179"/>
  <c r="O152" i="179"/>
  <c r="N152" i="179"/>
  <c r="H152" i="179"/>
  <c r="O151" i="179"/>
  <c r="N151" i="179"/>
  <c r="H151" i="179"/>
  <c r="O150" i="179"/>
  <c r="N150" i="179"/>
  <c r="H150" i="179"/>
  <c r="O149" i="179"/>
  <c r="N149" i="179"/>
  <c r="H149" i="179"/>
  <c r="O148" i="179"/>
  <c r="N148" i="179"/>
  <c r="H148" i="179"/>
  <c r="O147" i="179"/>
  <c r="N147" i="179"/>
  <c r="H147" i="179"/>
  <c r="O146" i="179"/>
  <c r="N146" i="179"/>
  <c r="H146" i="179"/>
  <c r="O145" i="179"/>
  <c r="N145" i="179"/>
  <c r="H145" i="179"/>
  <c r="O144" i="179"/>
  <c r="N144" i="179"/>
  <c r="H144" i="179"/>
  <c r="O143" i="179"/>
  <c r="N143" i="179"/>
  <c r="H143" i="179"/>
  <c r="O142" i="179"/>
  <c r="N142" i="179"/>
  <c r="H142" i="179"/>
  <c r="O141" i="179"/>
  <c r="N141" i="179"/>
  <c r="H141" i="179"/>
  <c r="O140" i="179"/>
  <c r="N140" i="179"/>
  <c r="H140" i="179"/>
  <c r="O139" i="179"/>
  <c r="N139" i="179"/>
  <c r="H139" i="179"/>
  <c r="O138" i="179"/>
  <c r="N138" i="179"/>
  <c r="H138" i="179"/>
  <c r="O137" i="179"/>
  <c r="N137" i="179"/>
  <c r="H137" i="179"/>
  <c r="O136" i="179"/>
  <c r="N136" i="179"/>
  <c r="H136" i="179"/>
  <c r="O135" i="179"/>
  <c r="N135" i="179"/>
  <c r="H135" i="179"/>
  <c r="O134" i="179"/>
  <c r="N134" i="179"/>
  <c r="H134" i="179"/>
  <c r="O133" i="179"/>
  <c r="N133" i="179"/>
  <c r="H133" i="179"/>
  <c r="O132" i="179"/>
  <c r="N132" i="179"/>
  <c r="H132" i="179"/>
  <c r="O131" i="179"/>
  <c r="N131" i="179"/>
  <c r="H131" i="179"/>
  <c r="O130" i="179"/>
  <c r="N130" i="179"/>
  <c r="H130" i="179"/>
  <c r="O129" i="179"/>
  <c r="N129" i="179"/>
  <c r="H129" i="179"/>
  <c r="O128" i="179"/>
  <c r="N128" i="179"/>
  <c r="H128" i="179"/>
  <c r="O127" i="179"/>
  <c r="N127" i="179"/>
  <c r="H127" i="179"/>
  <c r="O126" i="179"/>
  <c r="N126" i="179"/>
  <c r="H126" i="179"/>
  <c r="O125" i="179"/>
  <c r="N125" i="179"/>
  <c r="H125" i="179"/>
  <c r="O124" i="179"/>
  <c r="N124" i="179"/>
  <c r="H124" i="179"/>
  <c r="O123" i="179"/>
  <c r="N123" i="179"/>
  <c r="H123" i="179"/>
  <c r="O122" i="179"/>
  <c r="N122" i="179"/>
  <c r="H122" i="179"/>
  <c r="O121" i="179"/>
  <c r="N121" i="179"/>
  <c r="H121" i="179"/>
  <c r="O120" i="179"/>
  <c r="N120" i="179"/>
  <c r="H120" i="179"/>
  <c r="O119" i="179"/>
  <c r="N119" i="179"/>
  <c r="H119" i="179"/>
  <c r="O118" i="179"/>
  <c r="N118" i="179"/>
  <c r="H118" i="179"/>
  <c r="O117" i="179"/>
  <c r="N117" i="179"/>
  <c r="H117" i="179"/>
  <c r="O116" i="179"/>
  <c r="N116" i="179"/>
  <c r="H116" i="179"/>
  <c r="O115" i="179"/>
  <c r="N115" i="179"/>
  <c r="H115" i="179"/>
  <c r="O114" i="179"/>
  <c r="N114" i="179"/>
  <c r="H114" i="179"/>
  <c r="O113" i="179"/>
  <c r="N113" i="179"/>
  <c r="H113" i="179"/>
  <c r="O112" i="179"/>
  <c r="N112" i="179"/>
  <c r="H112" i="179"/>
  <c r="O111" i="179"/>
  <c r="N111" i="179"/>
  <c r="H111" i="179"/>
  <c r="O110" i="179"/>
  <c r="N110" i="179"/>
  <c r="H110" i="179"/>
  <c r="O109" i="179"/>
  <c r="N109" i="179"/>
  <c r="H109" i="179"/>
  <c r="O108" i="179"/>
  <c r="N108" i="179"/>
  <c r="H108" i="179"/>
  <c r="O107" i="179"/>
  <c r="N107" i="179"/>
  <c r="H107" i="179"/>
  <c r="O106" i="179"/>
  <c r="N106" i="179"/>
  <c r="H106" i="179"/>
  <c r="O105" i="179"/>
  <c r="N105" i="179"/>
  <c r="H105" i="179"/>
  <c r="O104" i="179"/>
  <c r="N104" i="179"/>
  <c r="H104" i="179"/>
  <c r="O103" i="179"/>
  <c r="N103" i="179"/>
  <c r="H103" i="179"/>
  <c r="O102" i="179"/>
  <c r="N102" i="179"/>
  <c r="H102" i="179"/>
  <c r="O101" i="179"/>
  <c r="N101" i="179"/>
  <c r="H101" i="179"/>
  <c r="O100" i="179"/>
  <c r="N100" i="179"/>
  <c r="H100" i="179"/>
  <c r="O99" i="179"/>
  <c r="N99" i="179"/>
  <c r="H99" i="179"/>
  <c r="O98" i="179"/>
  <c r="N98" i="179"/>
  <c r="H98" i="179"/>
  <c r="O97" i="179"/>
  <c r="N97" i="179"/>
  <c r="H97" i="179"/>
  <c r="O96" i="179"/>
  <c r="N96" i="179"/>
  <c r="H96" i="179"/>
  <c r="O95" i="179"/>
  <c r="N95" i="179"/>
  <c r="H95" i="179"/>
  <c r="O94" i="179"/>
  <c r="N94" i="179"/>
  <c r="H94" i="179"/>
  <c r="O93" i="179"/>
  <c r="N93" i="179"/>
  <c r="H93" i="179"/>
  <c r="N92" i="179"/>
  <c r="H92" i="179"/>
  <c r="N91" i="179"/>
  <c r="H91" i="179"/>
  <c r="N90" i="179"/>
  <c r="H90" i="179"/>
  <c r="O89" i="179"/>
  <c r="N89" i="179"/>
  <c r="H89" i="179"/>
  <c r="O88" i="179"/>
  <c r="N88" i="179"/>
  <c r="H88" i="179"/>
  <c r="O87" i="179"/>
  <c r="N87" i="179"/>
  <c r="H87" i="179"/>
  <c r="O86" i="179"/>
  <c r="N86" i="179"/>
  <c r="H86" i="179"/>
  <c r="O85" i="179"/>
  <c r="N85" i="179"/>
  <c r="H85" i="179"/>
  <c r="O84" i="179"/>
  <c r="N84" i="179"/>
  <c r="H84" i="179"/>
  <c r="O83" i="179"/>
  <c r="N83" i="179"/>
  <c r="H83" i="179"/>
  <c r="O82" i="179"/>
  <c r="N82" i="179"/>
  <c r="O81" i="179"/>
  <c r="N81" i="179"/>
  <c r="O80" i="179"/>
  <c r="N80" i="179"/>
  <c r="H80" i="179"/>
  <c r="O79" i="179"/>
  <c r="N79" i="179"/>
  <c r="H79" i="179"/>
  <c r="O78" i="179"/>
  <c r="N78" i="179"/>
  <c r="O77" i="179"/>
  <c r="N77" i="179"/>
  <c r="H77" i="179"/>
  <c r="O76" i="179"/>
  <c r="N76" i="179"/>
  <c r="H76" i="179"/>
  <c r="O75" i="179"/>
  <c r="N75" i="179"/>
  <c r="H75" i="179"/>
  <c r="O74" i="179"/>
  <c r="N74" i="179"/>
  <c r="H74" i="179"/>
  <c r="O73" i="179"/>
  <c r="N73" i="179"/>
  <c r="H73" i="179"/>
  <c r="O72" i="179"/>
  <c r="N72" i="179"/>
  <c r="H72" i="179"/>
  <c r="O71" i="179"/>
  <c r="N71" i="179"/>
  <c r="H71" i="179"/>
  <c r="O70" i="179"/>
  <c r="N70" i="179"/>
  <c r="H70" i="179"/>
  <c r="T69" i="179"/>
  <c r="T96" i="179" s="1"/>
  <c r="O69" i="179"/>
  <c r="N69" i="179"/>
  <c r="H69" i="179"/>
  <c r="O68" i="179"/>
  <c r="N68" i="179"/>
  <c r="H68" i="179"/>
  <c r="O67" i="179"/>
  <c r="N67" i="179"/>
  <c r="H67" i="179"/>
  <c r="O66" i="179"/>
  <c r="N66" i="179"/>
  <c r="H66" i="179"/>
  <c r="O65" i="179"/>
  <c r="N65" i="179"/>
  <c r="H65" i="179"/>
  <c r="O64" i="179"/>
  <c r="N64" i="179"/>
  <c r="H64" i="179"/>
  <c r="O63" i="179"/>
  <c r="N63" i="179"/>
  <c r="H63" i="179"/>
  <c r="O62" i="179"/>
  <c r="N62" i="179"/>
  <c r="H62" i="179"/>
  <c r="O61" i="179"/>
  <c r="N61" i="179"/>
  <c r="H61" i="179"/>
  <c r="O60" i="179"/>
  <c r="N60" i="179"/>
  <c r="H60" i="179"/>
  <c r="O59" i="179"/>
  <c r="N59" i="179"/>
  <c r="H59" i="179"/>
  <c r="O58" i="179"/>
  <c r="N58" i="179"/>
  <c r="H58" i="179"/>
  <c r="O57" i="179"/>
  <c r="N57" i="179"/>
  <c r="H57" i="179"/>
  <c r="O56" i="179"/>
  <c r="N56" i="179"/>
  <c r="H56" i="179"/>
  <c r="O55" i="179"/>
  <c r="N55" i="179"/>
  <c r="O54" i="179"/>
  <c r="N54" i="179"/>
  <c r="H54" i="179"/>
  <c r="O53" i="179"/>
  <c r="N53" i="179"/>
  <c r="H53" i="179"/>
  <c r="O52" i="179"/>
  <c r="N52" i="179"/>
  <c r="O51" i="179"/>
  <c r="N51" i="179"/>
  <c r="O50" i="179"/>
  <c r="N50" i="179"/>
  <c r="H50" i="179"/>
  <c r="O49" i="179"/>
  <c r="N49" i="179"/>
  <c r="H49" i="179"/>
  <c r="O48" i="179"/>
  <c r="N48" i="179"/>
  <c r="H48" i="179"/>
  <c r="O47" i="179"/>
  <c r="N47" i="179"/>
  <c r="H47" i="179"/>
  <c r="O46" i="179"/>
  <c r="N46" i="179"/>
  <c r="H46" i="179"/>
  <c r="O45" i="179"/>
  <c r="N45" i="179"/>
  <c r="H45" i="179"/>
  <c r="O44" i="179"/>
  <c r="N44" i="179"/>
  <c r="H44" i="179"/>
  <c r="O43" i="179"/>
  <c r="N43" i="179"/>
  <c r="H43" i="179"/>
  <c r="O42" i="179"/>
  <c r="N42" i="179"/>
  <c r="H42" i="179"/>
  <c r="O41" i="179"/>
  <c r="N41" i="179"/>
  <c r="H41" i="179"/>
  <c r="O40" i="179"/>
  <c r="N40" i="179"/>
  <c r="H40" i="179"/>
  <c r="O39" i="179"/>
  <c r="N39" i="179"/>
  <c r="H39" i="179"/>
  <c r="O38" i="179"/>
  <c r="N38" i="179"/>
  <c r="H38" i="179"/>
  <c r="O37" i="179"/>
  <c r="N37" i="179"/>
  <c r="H37" i="179"/>
  <c r="O36" i="179"/>
  <c r="N36" i="179"/>
  <c r="H36" i="179"/>
  <c r="O35" i="179"/>
  <c r="N35" i="179"/>
  <c r="H35" i="179"/>
  <c r="N34" i="179"/>
  <c r="H34" i="179"/>
  <c r="O33" i="179"/>
  <c r="N33" i="179"/>
  <c r="H33" i="179"/>
  <c r="O32" i="179"/>
  <c r="N32" i="179"/>
  <c r="H32" i="179"/>
  <c r="O31" i="179"/>
  <c r="N31" i="179"/>
  <c r="H31" i="179"/>
  <c r="O30" i="179"/>
  <c r="N30" i="179"/>
  <c r="H30" i="179"/>
  <c r="O29" i="179"/>
  <c r="N29" i="179"/>
  <c r="H29" i="179"/>
  <c r="O28" i="179"/>
  <c r="N28" i="179"/>
  <c r="H28" i="179"/>
  <c r="O27" i="179"/>
  <c r="N27" i="179"/>
  <c r="H27" i="179"/>
  <c r="O26" i="179"/>
  <c r="N26" i="179"/>
  <c r="H26" i="179"/>
  <c r="O25" i="179"/>
  <c r="N25" i="179"/>
  <c r="H25" i="179"/>
  <c r="O24" i="179"/>
  <c r="N24" i="179"/>
  <c r="H24" i="179"/>
  <c r="O23" i="179"/>
  <c r="N23" i="179"/>
  <c r="H23" i="179"/>
  <c r="O22" i="179"/>
  <c r="N22" i="179"/>
  <c r="H22" i="179"/>
  <c r="O21" i="179"/>
  <c r="N21" i="179"/>
  <c r="H21" i="179"/>
  <c r="O20" i="179"/>
  <c r="N20" i="179"/>
  <c r="H20" i="179"/>
  <c r="O19" i="179"/>
  <c r="N19" i="179"/>
  <c r="H19" i="179"/>
  <c r="O18" i="179"/>
  <c r="N18" i="179"/>
  <c r="N17" i="179"/>
  <c r="O16" i="179"/>
  <c r="N16" i="179"/>
  <c r="O15" i="179"/>
  <c r="N15" i="179"/>
  <c r="H15" i="179"/>
  <c r="S14" i="179"/>
  <c r="O14" i="179"/>
  <c r="N14" i="179"/>
  <c r="O13" i="179"/>
  <c r="N13" i="179"/>
  <c r="H13" i="179"/>
  <c r="O12" i="179"/>
  <c r="N12" i="179"/>
  <c r="H12" i="179"/>
  <c r="O11" i="179"/>
  <c r="N11" i="179"/>
  <c r="H11" i="179"/>
  <c r="O10" i="179"/>
  <c r="N10" i="179"/>
  <c r="O9" i="179"/>
  <c r="N9" i="179"/>
  <c r="O8" i="179"/>
  <c r="N8" i="179"/>
  <c r="H8" i="179"/>
  <c r="O7" i="179"/>
  <c r="N7" i="179"/>
  <c r="O6" i="179"/>
  <c r="N6" i="179"/>
  <c r="H6" i="179"/>
  <c r="O5" i="179"/>
  <c r="N5" i="179"/>
  <c r="H5" i="179"/>
  <c r="O4" i="179"/>
  <c r="N4" i="179"/>
  <c r="H4" i="179"/>
  <c r="O3" i="179"/>
  <c r="N3" i="179"/>
  <c r="H3" i="179"/>
  <c r="O2" i="179"/>
  <c r="O229" i="179" s="1"/>
  <c r="B230" i="179" s="1"/>
  <c r="B235" i="179" s="1"/>
  <c r="B241" i="179" s="1"/>
  <c r="B254" i="179" s="1"/>
  <c r="N2" i="179"/>
  <c r="N229" i="179" s="1"/>
  <c r="H2" i="179"/>
  <c r="H229" i="179" s="1"/>
  <c r="H128" i="178"/>
  <c r="H31" i="178"/>
  <c r="H32" i="178"/>
  <c r="H33" i="178"/>
  <c r="B269" i="178"/>
  <c r="B260" i="178"/>
  <c r="B259" i="178"/>
  <c r="B273" i="178" s="1"/>
  <c r="B252" i="178"/>
  <c r="B253" i="178" s="1"/>
  <c r="B250" i="178"/>
  <c r="B249" i="178"/>
  <c r="B248" i="178"/>
  <c r="B251" i="178" s="1"/>
  <c r="B244" i="178"/>
  <c r="B242" i="178"/>
  <c r="B245" i="178" s="1"/>
  <c r="B238" i="178"/>
  <c r="B237" i="178"/>
  <c r="B236" i="178"/>
  <c r="B240" i="178" s="1"/>
  <c r="B233" i="178"/>
  <c r="B231" i="178"/>
  <c r="P229" i="178"/>
  <c r="K229" i="178"/>
  <c r="I229" i="178"/>
  <c r="N228" i="178"/>
  <c r="N227" i="178"/>
  <c r="N226" i="178"/>
  <c r="N225" i="178"/>
  <c r="N224" i="178"/>
  <c r="N223" i="178"/>
  <c r="N222" i="178"/>
  <c r="N221" i="178"/>
  <c r="N220" i="178"/>
  <c r="O219" i="178"/>
  <c r="N219" i="178"/>
  <c r="H219" i="178"/>
  <c r="O218" i="178"/>
  <c r="N218" i="178"/>
  <c r="H218" i="178"/>
  <c r="O217" i="178"/>
  <c r="N217" i="178"/>
  <c r="H217" i="178"/>
  <c r="O216" i="178"/>
  <c r="N216" i="178"/>
  <c r="H216" i="178"/>
  <c r="O215" i="178"/>
  <c r="N215" i="178"/>
  <c r="H215" i="178"/>
  <c r="O214" i="178"/>
  <c r="N214" i="178"/>
  <c r="O213" i="178"/>
  <c r="N213" i="178"/>
  <c r="H213" i="178"/>
  <c r="O212" i="178"/>
  <c r="N212" i="178"/>
  <c r="H212" i="178"/>
  <c r="O211" i="178"/>
  <c r="N211" i="178"/>
  <c r="H211" i="178"/>
  <c r="O210" i="178"/>
  <c r="N210" i="178"/>
  <c r="H210" i="178"/>
  <c r="O209" i="178"/>
  <c r="N209" i="178"/>
  <c r="H209" i="178"/>
  <c r="O208" i="178"/>
  <c r="N208" i="178"/>
  <c r="H208" i="178"/>
  <c r="O207" i="178"/>
  <c r="N207" i="178"/>
  <c r="H207" i="178"/>
  <c r="O206" i="178"/>
  <c r="N206" i="178"/>
  <c r="H206" i="178"/>
  <c r="O205" i="178"/>
  <c r="N205" i="178"/>
  <c r="H205" i="178"/>
  <c r="O204" i="178"/>
  <c r="N204" i="178"/>
  <c r="H204" i="178"/>
  <c r="O203" i="178"/>
  <c r="N203" i="178"/>
  <c r="H203" i="178"/>
  <c r="O202" i="178"/>
  <c r="N202" i="178"/>
  <c r="H202" i="178"/>
  <c r="O201" i="178"/>
  <c r="N201" i="178"/>
  <c r="H201" i="178"/>
  <c r="O200" i="178"/>
  <c r="N200" i="178"/>
  <c r="H200" i="178"/>
  <c r="O199" i="178"/>
  <c r="N199" i="178"/>
  <c r="H199" i="178"/>
  <c r="O198" i="178"/>
  <c r="N198" i="178"/>
  <c r="H198" i="178"/>
  <c r="O197" i="178"/>
  <c r="N197" i="178"/>
  <c r="H197" i="178"/>
  <c r="O196" i="178"/>
  <c r="N196" i="178"/>
  <c r="H196" i="178"/>
  <c r="O195" i="178"/>
  <c r="N195" i="178"/>
  <c r="H195" i="178"/>
  <c r="O194" i="178"/>
  <c r="N194" i="178"/>
  <c r="H194" i="178"/>
  <c r="O193" i="178"/>
  <c r="N193" i="178"/>
  <c r="H193" i="178"/>
  <c r="O192" i="178"/>
  <c r="N192" i="178"/>
  <c r="O191" i="178"/>
  <c r="N191" i="178"/>
  <c r="H191" i="178"/>
  <c r="O190" i="178"/>
  <c r="N190" i="178"/>
  <c r="H190" i="178"/>
  <c r="O189" i="178"/>
  <c r="N189" i="178"/>
  <c r="H189" i="178"/>
  <c r="O188" i="178"/>
  <c r="N188" i="178"/>
  <c r="H188" i="178"/>
  <c r="O187" i="178"/>
  <c r="N187" i="178"/>
  <c r="H187" i="178"/>
  <c r="O186" i="178"/>
  <c r="N186" i="178"/>
  <c r="H186" i="178"/>
  <c r="O185" i="178"/>
  <c r="N185" i="178"/>
  <c r="H185" i="178"/>
  <c r="O184" i="178"/>
  <c r="N184" i="178"/>
  <c r="O183" i="178"/>
  <c r="N183" i="178"/>
  <c r="O182" i="178"/>
  <c r="N182" i="178"/>
  <c r="O181" i="178"/>
  <c r="N181" i="178"/>
  <c r="H181" i="178"/>
  <c r="O180" i="178"/>
  <c r="N180" i="178"/>
  <c r="H180" i="178"/>
  <c r="O179" i="178"/>
  <c r="N179" i="178"/>
  <c r="H179" i="178"/>
  <c r="O178" i="178"/>
  <c r="N178" i="178"/>
  <c r="H178" i="178"/>
  <c r="O177" i="178"/>
  <c r="N177" i="178"/>
  <c r="H177" i="178"/>
  <c r="O176" i="178"/>
  <c r="N176" i="178"/>
  <c r="H176" i="178"/>
  <c r="O175" i="178"/>
  <c r="N175" i="178"/>
  <c r="H175" i="178"/>
  <c r="O174" i="178"/>
  <c r="N174" i="178"/>
  <c r="H174" i="178"/>
  <c r="O173" i="178"/>
  <c r="N173" i="178"/>
  <c r="H173" i="178"/>
  <c r="O172" i="178"/>
  <c r="N172" i="178"/>
  <c r="H172" i="178"/>
  <c r="O171" i="178"/>
  <c r="N171" i="178"/>
  <c r="H171" i="178"/>
  <c r="O170" i="178"/>
  <c r="N170" i="178"/>
  <c r="H170" i="178"/>
  <c r="O169" i="178"/>
  <c r="N169" i="178"/>
  <c r="H169" i="178"/>
  <c r="O168" i="178"/>
  <c r="N168" i="178"/>
  <c r="O167" i="178"/>
  <c r="N167" i="178"/>
  <c r="H167" i="178"/>
  <c r="O166" i="178"/>
  <c r="N166" i="178"/>
  <c r="H166" i="178"/>
  <c r="O165" i="178"/>
  <c r="N165" i="178"/>
  <c r="H165" i="178"/>
  <c r="O164" i="178"/>
  <c r="N164" i="178"/>
  <c r="H164" i="178"/>
  <c r="O163" i="178"/>
  <c r="N163" i="178"/>
  <c r="H163" i="178"/>
  <c r="O162" i="178"/>
  <c r="N162" i="178"/>
  <c r="H162" i="178"/>
  <c r="O161" i="178"/>
  <c r="N161" i="178"/>
  <c r="H161" i="178"/>
  <c r="N160" i="178"/>
  <c r="H160" i="178"/>
  <c r="O159" i="178"/>
  <c r="N159" i="178"/>
  <c r="N158" i="178"/>
  <c r="O157" i="178"/>
  <c r="N157" i="178"/>
  <c r="H157" i="178"/>
  <c r="O156" i="178"/>
  <c r="N156" i="178"/>
  <c r="H156" i="178"/>
  <c r="O155" i="178"/>
  <c r="N155" i="178"/>
  <c r="H155" i="178"/>
  <c r="O154" i="178"/>
  <c r="N154" i="178"/>
  <c r="H154" i="178"/>
  <c r="O153" i="178"/>
  <c r="N153" i="178"/>
  <c r="H153" i="178"/>
  <c r="O152" i="178"/>
  <c r="N152" i="178"/>
  <c r="H152" i="178"/>
  <c r="O151" i="178"/>
  <c r="N151" i="178"/>
  <c r="H151" i="178"/>
  <c r="O150" i="178"/>
  <c r="N150" i="178"/>
  <c r="H150" i="178"/>
  <c r="O149" i="178"/>
  <c r="N149" i="178"/>
  <c r="H149" i="178"/>
  <c r="O148" i="178"/>
  <c r="N148" i="178"/>
  <c r="H148" i="178"/>
  <c r="O147" i="178"/>
  <c r="N147" i="178"/>
  <c r="H147" i="178"/>
  <c r="O146" i="178"/>
  <c r="N146" i="178"/>
  <c r="H146" i="178"/>
  <c r="O145" i="178"/>
  <c r="N145" i="178"/>
  <c r="H145" i="178"/>
  <c r="O144" i="178"/>
  <c r="N144" i="178"/>
  <c r="H144" i="178"/>
  <c r="O143" i="178"/>
  <c r="N143" i="178"/>
  <c r="H143" i="178"/>
  <c r="O142" i="178"/>
  <c r="N142" i="178"/>
  <c r="H142" i="178"/>
  <c r="O141" i="178"/>
  <c r="N141" i="178"/>
  <c r="H141" i="178"/>
  <c r="O140" i="178"/>
  <c r="N140" i="178"/>
  <c r="H140" i="178"/>
  <c r="O139" i="178"/>
  <c r="N139" i="178"/>
  <c r="H139" i="178"/>
  <c r="O138" i="178"/>
  <c r="N138" i="178"/>
  <c r="H138" i="178"/>
  <c r="O137" i="178"/>
  <c r="N137" i="178"/>
  <c r="H137" i="178"/>
  <c r="O136" i="178"/>
  <c r="N136" i="178"/>
  <c r="H136" i="178"/>
  <c r="O135" i="178"/>
  <c r="N135" i="178"/>
  <c r="H135" i="178"/>
  <c r="O134" i="178"/>
  <c r="N134" i="178"/>
  <c r="H134" i="178"/>
  <c r="O133" i="178"/>
  <c r="N133" i="178"/>
  <c r="H133" i="178"/>
  <c r="O132" i="178"/>
  <c r="N132" i="178"/>
  <c r="H132" i="178"/>
  <c r="O131" i="178"/>
  <c r="N131" i="178"/>
  <c r="H131" i="178"/>
  <c r="O130" i="178"/>
  <c r="N130" i="178"/>
  <c r="H130" i="178"/>
  <c r="O129" i="178"/>
  <c r="N129" i="178"/>
  <c r="H129" i="178"/>
  <c r="O128" i="178"/>
  <c r="N128" i="178"/>
  <c r="O127" i="178"/>
  <c r="N127" i="178"/>
  <c r="H127" i="178"/>
  <c r="O126" i="178"/>
  <c r="N126" i="178"/>
  <c r="H126" i="178"/>
  <c r="O125" i="178"/>
  <c r="N125" i="178"/>
  <c r="H125" i="178"/>
  <c r="O124" i="178"/>
  <c r="N124" i="178"/>
  <c r="H124" i="178"/>
  <c r="O123" i="178"/>
  <c r="N123" i="178"/>
  <c r="H123" i="178"/>
  <c r="O122" i="178"/>
  <c r="N122" i="178"/>
  <c r="H122" i="178"/>
  <c r="O121" i="178"/>
  <c r="N121" i="178"/>
  <c r="H121" i="178"/>
  <c r="O120" i="178"/>
  <c r="N120" i="178"/>
  <c r="H120" i="178"/>
  <c r="O119" i="178"/>
  <c r="N119" i="178"/>
  <c r="H119" i="178"/>
  <c r="O118" i="178"/>
  <c r="N118" i="178"/>
  <c r="H118" i="178"/>
  <c r="O117" i="178"/>
  <c r="N117" i="178"/>
  <c r="H117" i="178"/>
  <c r="O116" i="178"/>
  <c r="N116" i="178"/>
  <c r="H116" i="178"/>
  <c r="O115" i="178"/>
  <c r="N115" i="178"/>
  <c r="H115" i="178"/>
  <c r="O114" i="178"/>
  <c r="N114" i="178"/>
  <c r="H114" i="178"/>
  <c r="O113" i="178"/>
  <c r="N113" i="178"/>
  <c r="H113" i="178"/>
  <c r="O112" i="178"/>
  <c r="N112" i="178"/>
  <c r="H112" i="178"/>
  <c r="O111" i="178"/>
  <c r="N111" i="178"/>
  <c r="H111" i="178"/>
  <c r="O110" i="178"/>
  <c r="N110" i="178"/>
  <c r="H110" i="178"/>
  <c r="O109" i="178"/>
  <c r="N109" i="178"/>
  <c r="H109" i="178"/>
  <c r="O108" i="178"/>
  <c r="N108" i="178"/>
  <c r="H108" i="178"/>
  <c r="O107" i="178"/>
  <c r="N107" i="178"/>
  <c r="H107" i="178"/>
  <c r="O106" i="178"/>
  <c r="N106" i="178"/>
  <c r="H106" i="178"/>
  <c r="O105" i="178"/>
  <c r="N105" i="178"/>
  <c r="H105" i="178"/>
  <c r="O104" i="178"/>
  <c r="N104" i="178"/>
  <c r="H104" i="178"/>
  <c r="O103" i="178"/>
  <c r="N103" i="178"/>
  <c r="H103" i="178"/>
  <c r="O102" i="178"/>
  <c r="N102" i="178"/>
  <c r="H102" i="178"/>
  <c r="O101" i="178"/>
  <c r="N101" i="178"/>
  <c r="H101" i="178"/>
  <c r="O100" i="178"/>
  <c r="N100" i="178"/>
  <c r="H100" i="178"/>
  <c r="O99" i="178"/>
  <c r="N99" i="178"/>
  <c r="H99" i="178"/>
  <c r="O98" i="178"/>
  <c r="N98" i="178"/>
  <c r="H98" i="178"/>
  <c r="O97" i="178"/>
  <c r="N97" i="178"/>
  <c r="H97" i="178"/>
  <c r="O96" i="178"/>
  <c r="N96" i="178"/>
  <c r="H96" i="178"/>
  <c r="O95" i="178"/>
  <c r="N95" i="178"/>
  <c r="H95" i="178"/>
  <c r="O94" i="178"/>
  <c r="N94" i="178"/>
  <c r="H94" i="178"/>
  <c r="O93" i="178"/>
  <c r="N93" i="178"/>
  <c r="H93" i="178"/>
  <c r="N92" i="178"/>
  <c r="H92" i="178"/>
  <c r="N91" i="178"/>
  <c r="H91" i="178"/>
  <c r="N90" i="178"/>
  <c r="H90" i="178"/>
  <c r="O89" i="178"/>
  <c r="N89" i="178"/>
  <c r="H89" i="178"/>
  <c r="O88" i="178"/>
  <c r="N88" i="178"/>
  <c r="H88" i="178"/>
  <c r="O87" i="178"/>
  <c r="N87" i="178"/>
  <c r="H87" i="178"/>
  <c r="O86" i="178"/>
  <c r="N86" i="178"/>
  <c r="H86" i="178"/>
  <c r="O85" i="178"/>
  <c r="N85" i="178"/>
  <c r="H85" i="178"/>
  <c r="O84" i="178"/>
  <c r="N84" i="178"/>
  <c r="H84" i="178"/>
  <c r="O83" i="178"/>
  <c r="N83" i="178"/>
  <c r="H83" i="178"/>
  <c r="O82" i="178"/>
  <c r="N82" i="178"/>
  <c r="O81" i="178"/>
  <c r="N81" i="178"/>
  <c r="O80" i="178"/>
  <c r="N80" i="178"/>
  <c r="H80" i="178"/>
  <c r="O79" i="178"/>
  <c r="N79" i="178"/>
  <c r="H79" i="178"/>
  <c r="O78" i="178"/>
  <c r="N78" i="178"/>
  <c r="O77" i="178"/>
  <c r="N77" i="178"/>
  <c r="H77" i="178"/>
  <c r="O76" i="178"/>
  <c r="N76" i="178"/>
  <c r="H76" i="178"/>
  <c r="O75" i="178"/>
  <c r="N75" i="178"/>
  <c r="H75" i="178"/>
  <c r="O74" i="178"/>
  <c r="N74" i="178"/>
  <c r="H74" i="178"/>
  <c r="O73" i="178"/>
  <c r="N73" i="178"/>
  <c r="H73" i="178"/>
  <c r="O72" i="178"/>
  <c r="N72" i="178"/>
  <c r="H72" i="178"/>
  <c r="O71" i="178"/>
  <c r="N71" i="178"/>
  <c r="H71" i="178"/>
  <c r="O70" i="178"/>
  <c r="N70" i="178"/>
  <c r="H70" i="178"/>
  <c r="T69" i="178"/>
  <c r="T96" i="178" s="1"/>
  <c r="O69" i="178"/>
  <c r="N69" i="178"/>
  <c r="H69" i="178"/>
  <c r="O68" i="178"/>
  <c r="N68" i="178"/>
  <c r="H68" i="178"/>
  <c r="O67" i="178"/>
  <c r="N67" i="178"/>
  <c r="H67" i="178"/>
  <c r="O66" i="178"/>
  <c r="N66" i="178"/>
  <c r="H66" i="178"/>
  <c r="O65" i="178"/>
  <c r="N65" i="178"/>
  <c r="H65" i="178"/>
  <c r="O64" i="178"/>
  <c r="N64" i="178"/>
  <c r="H64" i="178"/>
  <c r="O63" i="178"/>
  <c r="N63" i="178"/>
  <c r="H63" i="178"/>
  <c r="O62" i="178"/>
  <c r="N62" i="178"/>
  <c r="H62" i="178"/>
  <c r="O61" i="178"/>
  <c r="N61" i="178"/>
  <c r="H61" i="178"/>
  <c r="O60" i="178"/>
  <c r="N60" i="178"/>
  <c r="H60" i="178"/>
  <c r="O59" i="178"/>
  <c r="N59" i="178"/>
  <c r="H59" i="178"/>
  <c r="O58" i="178"/>
  <c r="N58" i="178"/>
  <c r="H58" i="178"/>
  <c r="O57" i="178"/>
  <c r="N57" i="178"/>
  <c r="H57" i="178"/>
  <c r="O56" i="178"/>
  <c r="N56" i="178"/>
  <c r="H56" i="178"/>
  <c r="O55" i="178"/>
  <c r="N55" i="178"/>
  <c r="O54" i="178"/>
  <c r="N54" i="178"/>
  <c r="H54" i="178"/>
  <c r="O53" i="178"/>
  <c r="N53" i="178"/>
  <c r="H53" i="178"/>
  <c r="O52" i="178"/>
  <c r="N52" i="178"/>
  <c r="O51" i="178"/>
  <c r="N51" i="178"/>
  <c r="O50" i="178"/>
  <c r="N50" i="178"/>
  <c r="H50" i="178"/>
  <c r="O49" i="178"/>
  <c r="N49" i="178"/>
  <c r="H49" i="178"/>
  <c r="O48" i="178"/>
  <c r="N48" i="178"/>
  <c r="H48" i="178"/>
  <c r="O47" i="178"/>
  <c r="N47" i="178"/>
  <c r="H47" i="178"/>
  <c r="O46" i="178"/>
  <c r="N46" i="178"/>
  <c r="H46" i="178"/>
  <c r="O45" i="178"/>
  <c r="N45" i="178"/>
  <c r="H45" i="178"/>
  <c r="O44" i="178"/>
  <c r="N44" i="178"/>
  <c r="H44" i="178"/>
  <c r="O43" i="178"/>
  <c r="N43" i="178"/>
  <c r="H43" i="178"/>
  <c r="O42" i="178"/>
  <c r="N42" i="178"/>
  <c r="H42" i="178"/>
  <c r="O41" i="178"/>
  <c r="N41" i="178"/>
  <c r="H41" i="178"/>
  <c r="O40" i="178"/>
  <c r="N40" i="178"/>
  <c r="H40" i="178"/>
  <c r="O39" i="178"/>
  <c r="N39" i="178"/>
  <c r="H39" i="178"/>
  <c r="O38" i="178"/>
  <c r="N38" i="178"/>
  <c r="H38" i="178"/>
  <c r="O37" i="178"/>
  <c r="N37" i="178"/>
  <c r="H37" i="178"/>
  <c r="O36" i="178"/>
  <c r="N36" i="178"/>
  <c r="H36" i="178"/>
  <c r="O35" i="178"/>
  <c r="N35" i="178"/>
  <c r="H35" i="178"/>
  <c r="N34" i="178"/>
  <c r="H34" i="178"/>
  <c r="O33" i="178"/>
  <c r="N33" i="178"/>
  <c r="O32" i="178"/>
  <c r="N32" i="178"/>
  <c r="O31" i="178"/>
  <c r="N31" i="178"/>
  <c r="O30" i="178"/>
  <c r="N30" i="178"/>
  <c r="H30" i="178"/>
  <c r="O29" i="178"/>
  <c r="N29" i="178"/>
  <c r="H29" i="178"/>
  <c r="O28" i="178"/>
  <c r="N28" i="178"/>
  <c r="H28" i="178"/>
  <c r="O27" i="178"/>
  <c r="N27" i="178"/>
  <c r="H27" i="178"/>
  <c r="O26" i="178"/>
  <c r="N26" i="178"/>
  <c r="H26" i="178"/>
  <c r="O25" i="178"/>
  <c r="N25" i="178"/>
  <c r="H25" i="178"/>
  <c r="O24" i="178"/>
  <c r="N24" i="178"/>
  <c r="H24" i="178"/>
  <c r="O23" i="178"/>
  <c r="N23" i="178"/>
  <c r="H23" i="178"/>
  <c r="O22" i="178"/>
  <c r="N22" i="178"/>
  <c r="H22" i="178"/>
  <c r="O21" i="178"/>
  <c r="N21" i="178"/>
  <c r="H21" i="178"/>
  <c r="O20" i="178"/>
  <c r="N20" i="178"/>
  <c r="H20" i="178"/>
  <c r="O19" i="178"/>
  <c r="N19" i="178"/>
  <c r="H19" i="178"/>
  <c r="O18" i="178"/>
  <c r="N18" i="178"/>
  <c r="N17" i="178"/>
  <c r="O16" i="178"/>
  <c r="N16" i="178"/>
  <c r="O15" i="178"/>
  <c r="N15" i="178"/>
  <c r="H15" i="178"/>
  <c r="S14" i="178"/>
  <c r="O14" i="178"/>
  <c r="N14" i="178"/>
  <c r="O13" i="178"/>
  <c r="N13" i="178"/>
  <c r="H13" i="178"/>
  <c r="O12" i="178"/>
  <c r="N12" i="178"/>
  <c r="H12" i="178"/>
  <c r="O11" i="178"/>
  <c r="N11" i="178"/>
  <c r="H11" i="178"/>
  <c r="O10" i="178"/>
  <c r="N10" i="178"/>
  <c r="O9" i="178"/>
  <c r="N9" i="178"/>
  <c r="O8" i="178"/>
  <c r="N8" i="178"/>
  <c r="H8" i="178"/>
  <c r="O7" i="178"/>
  <c r="N7" i="178"/>
  <c r="O6" i="178"/>
  <c r="N6" i="178"/>
  <c r="H6" i="178"/>
  <c r="O5" i="178"/>
  <c r="N5" i="178"/>
  <c r="H5" i="178"/>
  <c r="O4" i="178"/>
  <c r="N4" i="178"/>
  <c r="H4" i="178"/>
  <c r="O3" i="178"/>
  <c r="N3" i="178"/>
  <c r="H3" i="178"/>
  <c r="O2" i="178"/>
  <c r="O229" i="178" s="1"/>
  <c r="B230" i="178" s="1"/>
  <c r="B235" i="178" s="1"/>
  <c r="B241" i="178" s="1"/>
  <c r="B254" i="178" s="1"/>
  <c r="N2" i="178"/>
  <c r="N229" i="178" s="1"/>
  <c r="H2" i="178"/>
  <c r="H229" i="178" s="1"/>
  <c r="B269" i="177"/>
  <c r="B260" i="177"/>
  <c r="B259" i="177"/>
  <c r="B273" i="177" s="1"/>
  <c r="B252" i="177"/>
  <c r="B253" i="177" s="1"/>
  <c r="B250" i="177"/>
  <c r="B249" i="177"/>
  <c r="B248" i="177"/>
  <c r="B251" i="177" s="1"/>
  <c r="B244" i="177"/>
  <c r="B242" i="177"/>
  <c r="B245" i="177" s="1"/>
  <c r="B238" i="177"/>
  <c r="B237" i="177"/>
  <c r="B236" i="177"/>
  <c r="B240" i="177" s="1"/>
  <c r="B233" i="177"/>
  <c r="B231" i="177"/>
  <c r="P229" i="177"/>
  <c r="K229" i="177"/>
  <c r="I229" i="177"/>
  <c r="N228" i="177"/>
  <c r="N227" i="177"/>
  <c r="N226" i="177"/>
  <c r="N225" i="177"/>
  <c r="N224" i="177"/>
  <c r="N223" i="177"/>
  <c r="N222" i="177"/>
  <c r="N221" i="177"/>
  <c r="N220" i="177"/>
  <c r="O219" i="177"/>
  <c r="N219" i="177"/>
  <c r="H219" i="177"/>
  <c r="O218" i="177"/>
  <c r="N218" i="177"/>
  <c r="H218" i="177"/>
  <c r="O217" i="177"/>
  <c r="N217" i="177"/>
  <c r="H217" i="177"/>
  <c r="O216" i="177"/>
  <c r="N216" i="177"/>
  <c r="H216" i="177"/>
  <c r="O215" i="177"/>
  <c r="N215" i="177"/>
  <c r="H215" i="177"/>
  <c r="O214" i="177"/>
  <c r="N214" i="177"/>
  <c r="O213" i="177"/>
  <c r="N213" i="177"/>
  <c r="H213" i="177"/>
  <c r="O212" i="177"/>
  <c r="N212" i="177"/>
  <c r="H212" i="177"/>
  <c r="O211" i="177"/>
  <c r="N211" i="177"/>
  <c r="H211" i="177"/>
  <c r="O210" i="177"/>
  <c r="N210" i="177"/>
  <c r="H210" i="177"/>
  <c r="O209" i="177"/>
  <c r="N209" i="177"/>
  <c r="H209" i="177"/>
  <c r="O208" i="177"/>
  <c r="N208" i="177"/>
  <c r="H208" i="177"/>
  <c r="O207" i="177"/>
  <c r="N207" i="177"/>
  <c r="H207" i="177"/>
  <c r="O206" i="177"/>
  <c r="N206" i="177"/>
  <c r="H206" i="177"/>
  <c r="O205" i="177"/>
  <c r="N205" i="177"/>
  <c r="H205" i="177"/>
  <c r="O204" i="177"/>
  <c r="N204" i="177"/>
  <c r="H204" i="177"/>
  <c r="O203" i="177"/>
  <c r="N203" i="177"/>
  <c r="H203" i="177"/>
  <c r="O202" i="177"/>
  <c r="N202" i="177"/>
  <c r="H202" i="177"/>
  <c r="O201" i="177"/>
  <c r="N201" i="177"/>
  <c r="H201" i="177"/>
  <c r="O200" i="177"/>
  <c r="N200" i="177"/>
  <c r="H200" i="177"/>
  <c r="O199" i="177"/>
  <c r="N199" i="177"/>
  <c r="H199" i="177"/>
  <c r="O198" i="177"/>
  <c r="N198" i="177"/>
  <c r="H198" i="177"/>
  <c r="O197" i="177"/>
  <c r="N197" i="177"/>
  <c r="H197" i="177"/>
  <c r="O196" i="177"/>
  <c r="N196" i="177"/>
  <c r="H196" i="177"/>
  <c r="O195" i="177"/>
  <c r="N195" i="177"/>
  <c r="H195" i="177"/>
  <c r="O194" i="177"/>
  <c r="N194" i="177"/>
  <c r="H194" i="177"/>
  <c r="O193" i="177"/>
  <c r="N193" i="177"/>
  <c r="H193" i="177"/>
  <c r="O192" i="177"/>
  <c r="N192" i="177"/>
  <c r="O191" i="177"/>
  <c r="N191" i="177"/>
  <c r="H191" i="177"/>
  <c r="O190" i="177"/>
  <c r="N190" i="177"/>
  <c r="H190" i="177"/>
  <c r="O189" i="177"/>
  <c r="N189" i="177"/>
  <c r="H189" i="177"/>
  <c r="O188" i="177"/>
  <c r="N188" i="177"/>
  <c r="H188" i="177"/>
  <c r="O187" i="177"/>
  <c r="N187" i="177"/>
  <c r="H187" i="177"/>
  <c r="O186" i="177"/>
  <c r="N186" i="177"/>
  <c r="H186" i="177"/>
  <c r="O185" i="177"/>
  <c r="N185" i="177"/>
  <c r="H185" i="177"/>
  <c r="O184" i="177"/>
  <c r="N184" i="177"/>
  <c r="O183" i="177"/>
  <c r="N183" i="177"/>
  <c r="O182" i="177"/>
  <c r="N182" i="177"/>
  <c r="O181" i="177"/>
  <c r="N181" i="177"/>
  <c r="H181" i="177"/>
  <c r="O180" i="177"/>
  <c r="N180" i="177"/>
  <c r="H180" i="177"/>
  <c r="O179" i="177"/>
  <c r="N179" i="177"/>
  <c r="H179" i="177"/>
  <c r="O178" i="177"/>
  <c r="N178" i="177"/>
  <c r="H178" i="177"/>
  <c r="O177" i="177"/>
  <c r="N177" i="177"/>
  <c r="H177" i="177"/>
  <c r="O176" i="177"/>
  <c r="N176" i="177"/>
  <c r="H176" i="177"/>
  <c r="O175" i="177"/>
  <c r="N175" i="177"/>
  <c r="H175" i="177"/>
  <c r="O174" i="177"/>
  <c r="N174" i="177"/>
  <c r="H174" i="177"/>
  <c r="O173" i="177"/>
  <c r="N173" i="177"/>
  <c r="H173" i="177"/>
  <c r="O172" i="177"/>
  <c r="N172" i="177"/>
  <c r="H172" i="177"/>
  <c r="O171" i="177"/>
  <c r="N171" i="177"/>
  <c r="H171" i="177"/>
  <c r="O170" i="177"/>
  <c r="N170" i="177"/>
  <c r="H170" i="177"/>
  <c r="O169" i="177"/>
  <c r="N169" i="177"/>
  <c r="H169" i="177"/>
  <c r="O168" i="177"/>
  <c r="N168" i="177"/>
  <c r="O167" i="177"/>
  <c r="N167" i="177"/>
  <c r="H167" i="177"/>
  <c r="O166" i="177"/>
  <c r="N166" i="177"/>
  <c r="H166" i="177"/>
  <c r="O165" i="177"/>
  <c r="N165" i="177"/>
  <c r="H165" i="177"/>
  <c r="O164" i="177"/>
  <c r="N164" i="177"/>
  <c r="H164" i="177"/>
  <c r="O163" i="177"/>
  <c r="N163" i="177"/>
  <c r="H163" i="177"/>
  <c r="O162" i="177"/>
  <c r="N162" i="177"/>
  <c r="H162" i="177"/>
  <c r="O161" i="177"/>
  <c r="N161" i="177"/>
  <c r="H161" i="177"/>
  <c r="N160" i="177"/>
  <c r="H160" i="177"/>
  <c r="O159" i="177"/>
  <c r="N159" i="177"/>
  <c r="N158" i="177"/>
  <c r="O157" i="177"/>
  <c r="N157" i="177"/>
  <c r="H157" i="177"/>
  <c r="O156" i="177"/>
  <c r="N156" i="177"/>
  <c r="H156" i="177"/>
  <c r="O155" i="177"/>
  <c r="N155" i="177"/>
  <c r="H155" i="177"/>
  <c r="O154" i="177"/>
  <c r="N154" i="177"/>
  <c r="H154" i="177"/>
  <c r="O153" i="177"/>
  <c r="N153" i="177"/>
  <c r="H153" i="177"/>
  <c r="O152" i="177"/>
  <c r="N152" i="177"/>
  <c r="H152" i="177"/>
  <c r="O151" i="177"/>
  <c r="N151" i="177"/>
  <c r="H151" i="177"/>
  <c r="O150" i="177"/>
  <c r="N150" i="177"/>
  <c r="H150" i="177"/>
  <c r="O149" i="177"/>
  <c r="N149" i="177"/>
  <c r="H149" i="177"/>
  <c r="O148" i="177"/>
  <c r="N148" i="177"/>
  <c r="H148" i="177"/>
  <c r="O147" i="177"/>
  <c r="N147" i="177"/>
  <c r="H147" i="177"/>
  <c r="O146" i="177"/>
  <c r="N146" i="177"/>
  <c r="H146" i="177"/>
  <c r="O145" i="177"/>
  <c r="N145" i="177"/>
  <c r="H145" i="177"/>
  <c r="O144" i="177"/>
  <c r="N144" i="177"/>
  <c r="H144" i="177"/>
  <c r="O143" i="177"/>
  <c r="N143" i="177"/>
  <c r="H143" i="177"/>
  <c r="O142" i="177"/>
  <c r="N142" i="177"/>
  <c r="H142" i="177"/>
  <c r="O141" i="177"/>
  <c r="N141" i="177"/>
  <c r="H141" i="177"/>
  <c r="O140" i="177"/>
  <c r="N140" i="177"/>
  <c r="H140" i="177"/>
  <c r="O139" i="177"/>
  <c r="N139" i="177"/>
  <c r="H139" i="177"/>
  <c r="O138" i="177"/>
  <c r="N138" i="177"/>
  <c r="H138" i="177"/>
  <c r="O137" i="177"/>
  <c r="N137" i="177"/>
  <c r="H137" i="177"/>
  <c r="O136" i="177"/>
  <c r="N136" i="177"/>
  <c r="H136" i="177"/>
  <c r="O135" i="177"/>
  <c r="N135" i="177"/>
  <c r="H135" i="177"/>
  <c r="O134" i="177"/>
  <c r="N134" i="177"/>
  <c r="H134" i="177"/>
  <c r="O133" i="177"/>
  <c r="N133" i="177"/>
  <c r="H133" i="177"/>
  <c r="O132" i="177"/>
  <c r="N132" i="177"/>
  <c r="H132" i="177"/>
  <c r="O131" i="177"/>
  <c r="N131" i="177"/>
  <c r="H131" i="177"/>
  <c r="O130" i="177"/>
  <c r="N130" i="177"/>
  <c r="H130" i="177"/>
  <c r="O129" i="177"/>
  <c r="N129" i="177"/>
  <c r="H129" i="177"/>
  <c r="O128" i="177"/>
  <c r="N128" i="177"/>
  <c r="O127" i="177"/>
  <c r="N127" i="177"/>
  <c r="H127" i="177"/>
  <c r="O126" i="177"/>
  <c r="N126" i="177"/>
  <c r="H126" i="177"/>
  <c r="O125" i="177"/>
  <c r="N125" i="177"/>
  <c r="H125" i="177"/>
  <c r="O124" i="177"/>
  <c r="N124" i="177"/>
  <c r="H124" i="177"/>
  <c r="O123" i="177"/>
  <c r="N123" i="177"/>
  <c r="H123" i="177"/>
  <c r="O122" i="177"/>
  <c r="N122" i="177"/>
  <c r="H122" i="177"/>
  <c r="O121" i="177"/>
  <c r="N121" i="177"/>
  <c r="H121" i="177"/>
  <c r="O120" i="177"/>
  <c r="N120" i="177"/>
  <c r="H120" i="177"/>
  <c r="O119" i="177"/>
  <c r="N119" i="177"/>
  <c r="H119" i="177"/>
  <c r="O118" i="177"/>
  <c r="N118" i="177"/>
  <c r="H118" i="177"/>
  <c r="O117" i="177"/>
  <c r="N117" i="177"/>
  <c r="H117" i="177"/>
  <c r="O116" i="177"/>
  <c r="N116" i="177"/>
  <c r="H116" i="177"/>
  <c r="O115" i="177"/>
  <c r="N115" i="177"/>
  <c r="H115" i="177"/>
  <c r="O114" i="177"/>
  <c r="N114" i="177"/>
  <c r="H114" i="177"/>
  <c r="O113" i="177"/>
  <c r="N113" i="177"/>
  <c r="H113" i="177"/>
  <c r="O112" i="177"/>
  <c r="N112" i="177"/>
  <c r="H112" i="177"/>
  <c r="O111" i="177"/>
  <c r="N111" i="177"/>
  <c r="H111" i="177"/>
  <c r="O110" i="177"/>
  <c r="N110" i="177"/>
  <c r="H110" i="177"/>
  <c r="O109" i="177"/>
  <c r="N109" i="177"/>
  <c r="H109" i="177"/>
  <c r="O108" i="177"/>
  <c r="N108" i="177"/>
  <c r="H108" i="177"/>
  <c r="O107" i="177"/>
  <c r="N107" i="177"/>
  <c r="H107" i="177"/>
  <c r="O106" i="177"/>
  <c r="N106" i="177"/>
  <c r="H106" i="177"/>
  <c r="O105" i="177"/>
  <c r="N105" i="177"/>
  <c r="H105" i="177"/>
  <c r="O104" i="177"/>
  <c r="N104" i="177"/>
  <c r="H104" i="177"/>
  <c r="O103" i="177"/>
  <c r="N103" i="177"/>
  <c r="H103" i="177"/>
  <c r="O102" i="177"/>
  <c r="N102" i="177"/>
  <c r="H102" i="177"/>
  <c r="O101" i="177"/>
  <c r="N101" i="177"/>
  <c r="H101" i="177"/>
  <c r="O100" i="177"/>
  <c r="N100" i="177"/>
  <c r="H100" i="177"/>
  <c r="O99" i="177"/>
  <c r="N99" i="177"/>
  <c r="H99" i="177"/>
  <c r="O98" i="177"/>
  <c r="N98" i="177"/>
  <c r="H98" i="177"/>
  <c r="O97" i="177"/>
  <c r="N97" i="177"/>
  <c r="H97" i="177"/>
  <c r="O96" i="177"/>
  <c r="N96" i="177"/>
  <c r="H96" i="177"/>
  <c r="O95" i="177"/>
  <c r="N95" i="177"/>
  <c r="H95" i="177"/>
  <c r="O94" i="177"/>
  <c r="N94" i="177"/>
  <c r="H94" i="177"/>
  <c r="O93" i="177"/>
  <c r="N93" i="177"/>
  <c r="H93" i="177"/>
  <c r="N92" i="177"/>
  <c r="H92" i="177"/>
  <c r="N91" i="177"/>
  <c r="H91" i="177"/>
  <c r="N90" i="177"/>
  <c r="H90" i="177"/>
  <c r="O89" i="177"/>
  <c r="N89" i="177"/>
  <c r="H89" i="177"/>
  <c r="O88" i="177"/>
  <c r="N88" i="177"/>
  <c r="H88" i="177"/>
  <c r="O87" i="177"/>
  <c r="N87" i="177"/>
  <c r="H87" i="177"/>
  <c r="O86" i="177"/>
  <c r="N86" i="177"/>
  <c r="H86" i="177"/>
  <c r="O85" i="177"/>
  <c r="N85" i="177"/>
  <c r="H85" i="177"/>
  <c r="O84" i="177"/>
  <c r="N84" i="177"/>
  <c r="H84" i="177"/>
  <c r="O83" i="177"/>
  <c r="N83" i="177"/>
  <c r="H83" i="177"/>
  <c r="O82" i="177"/>
  <c r="N82" i="177"/>
  <c r="O81" i="177"/>
  <c r="N81" i="177"/>
  <c r="O80" i="177"/>
  <c r="N80" i="177"/>
  <c r="H80" i="177"/>
  <c r="O79" i="177"/>
  <c r="N79" i="177"/>
  <c r="H79" i="177"/>
  <c r="O78" i="177"/>
  <c r="N78" i="177"/>
  <c r="O77" i="177"/>
  <c r="N77" i="177"/>
  <c r="H77" i="177"/>
  <c r="O76" i="177"/>
  <c r="N76" i="177"/>
  <c r="H76" i="177"/>
  <c r="O75" i="177"/>
  <c r="N75" i="177"/>
  <c r="H75" i="177"/>
  <c r="O74" i="177"/>
  <c r="N74" i="177"/>
  <c r="H74" i="177"/>
  <c r="O73" i="177"/>
  <c r="N73" i="177"/>
  <c r="H73" i="177"/>
  <c r="O72" i="177"/>
  <c r="N72" i="177"/>
  <c r="H72" i="177"/>
  <c r="O71" i="177"/>
  <c r="N71" i="177"/>
  <c r="H71" i="177"/>
  <c r="O70" i="177"/>
  <c r="N70" i="177"/>
  <c r="H70" i="177"/>
  <c r="T69" i="177"/>
  <c r="T96" i="177" s="1"/>
  <c r="O69" i="177"/>
  <c r="N69" i="177"/>
  <c r="H69" i="177"/>
  <c r="O68" i="177"/>
  <c r="N68" i="177"/>
  <c r="H68" i="177"/>
  <c r="O67" i="177"/>
  <c r="N67" i="177"/>
  <c r="H67" i="177"/>
  <c r="O66" i="177"/>
  <c r="N66" i="177"/>
  <c r="H66" i="177"/>
  <c r="O65" i="177"/>
  <c r="N65" i="177"/>
  <c r="H65" i="177"/>
  <c r="O64" i="177"/>
  <c r="N64" i="177"/>
  <c r="H64" i="177"/>
  <c r="O63" i="177"/>
  <c r="N63" i="177"/>
  <c r="H63" i="177"/>
  <c r="O62" i="177"/>
  <c r="N62" i="177"/>
  <c r="H62" i="177"/>
  <c r="O61" i="177"/>
  <c r="N61" i="177"/>
  <c r="H61" i="177"/>
  <c r="O60" i="177"/>
  <c r="N60" i="177"/>
  <c r="H60" i="177"/>
  <c r="O59" i="177"/>
  <c r="N59" i="177"/>
  <c r="H59" i="177"/>
  <c r="O58" i="177"/>
  <c r="N58" i="177"/>
  <c r="H58" i="177"/>
  <c r="O57" i="177"/>
  <c r="N57" i="177"/>
  <c r="H57" i="177"/>
  <c r="O56" i="177"/>
  <c r="N56" i="177"/>
  <c r="H56" i="177"/>
  <c r="O55" i="177"/>
  <c r="N55" i="177"/>
  <c r="O54" i="177"/>
  <c r="N54" i="177"/>
  <c r="H54" i="177"/>
  <c r="O53" i="177"/>
  <c r="N53" i="177"/>
  <c r="H53" i="177"/>
  <c r="O52" i="177"/>
  <c r="N52" i="177"/>
  <c r="O51" i="177"/>
  <c r="N51" i="177"/>
  <c r="O50" i="177"/>
  <c r="N50" i="177"/>
  <c r="H50" i="177"/>
  <c r="O49" i="177"/>
  <c r="N49" i="177"/>
  <c r="H49" i="177"/>
  <c r="O48" i="177"/>
  <c r="N48" i="177"/>
  <c r="H48" i="177"/>
  <c r="O47" i="177"/>
  <c r="N47" i="177"/>
  <c r="H47" i="177"/>
  <c r="O46" i="177"/>
  <c r="N46" i="177"/>
  <c r="H46" i="177"/>
  <c r="O45" i="177"/>
  <c r="N45" i="177"/>
  <c r="H45" i="177"/>
  <c r="O44" i="177"/>
  <c r="N44" i="177"/>
  <c r="H44" i="177"/>
  <c r="O43" i="177"/>
  <c r="N43" i="177"/>
  <c r="H43" i="177"/>
  <c r="O42" i="177"/>
  <c r="N42" i="177"/>
  <c r="H42" i="177"/>
  <c r="O41" i="177"/>
  <c r="N41" i="177"/>
  <c r="H41" i="177"/>
  <c r="O40" i="177"/>
  <c r="N40" i="177"/>
  <c r="H40" i="177"/>
  <c r="O39" i="177"/>
  <c r="N39" i="177"/>
  <c r="H39" i="177"/>
  <c r="O38" i="177"/>
  <c r="N38" i="177"/>
  <c r="H38" i="177"/>
  <c r="O37" i="177"/>
  <c r="N37" i="177"/>
  <c r="H37" i="177"/>
  <c r="O36" i="177"/>
  <c r="N36" i="177"/>
  <c r="H36" i="177"/>
  <c r="O35" i="177"/>
  <c r="N35" i="177"/>
  <c r="H35" i="177"/>
  <c r="N34" i="177"/>
  <c r="H34" i="177"/>
  <c r="O33" i="177"/>
  <c r="N33" i="177"/>
  <c r="O32" i="177"/>
  <c r="N32" i="177"/>
  <c r="O31" i="177"/>
  <c r="N31" i="177"/>
  <c r="O30" i="177"/>
  <c r="N30" i="177"/>
  <c r="H30" i="177"/>
  <c r="O29" i="177"/>
  <c r="N29" i="177"/>
  <c r="H29" i="177"/>
  <c r="O28" i="177"/>
  <c r="N28" i="177"/>
  <c r="H28" i="177"/>
  <c r="O27" i="177"/>
  <c r="N27" i="177"/>
  <c r="H27" i="177"/>
  <c r="O26" i="177"/>
  <c r="N26" i="177"/>
  <c r="H26" i="177"/>
  <c r="O25" i="177"/>
  <c r="N25" i="177"/>
  <c r="H25" i="177"/>
  <c r="O24" i="177"/>
  <c r="N24" i="177"/>
  <c r="H24" i="177"/>
  <c r="O23" i="177"/>
  <c r="N23" i="177"/>
  <c r="H23" i="177"/>
  <c r="O22" i="177"/>
  <c r="N22" i="177"/>
  <c r="H22" i="177"/>
  <c r="O21" i="177"/>
  <c r="N21" i="177"/>
  <c r="H21" i="177"/>
  <c r="O20" i="177"/>
  <c r="N20" i="177"/>
  <c r="H20" i="177"/>
  <c r="O19" i="177"/>
  <c r="N19" i="177"/>
  <c r="H19" i="177"/>
  <c r="O18" i="177"/>
  <c r="N18" i="177"/>
  <c r="N17" i="177"/>
  <c r="O16" i="177"/>
  <c r="N16" i="177"/>
  <c r="O15" i="177"/>
  <c r="N15" i="177"/>
  <c r="H15" i="177"/>
  <c r="S14" i="177"/>
  <c r="O14" i="177"/>
  <c r="N14" i="177"/>
  <c r="O13" i="177"/>
  <c r="N13" i="177"/>
  <c r="H13" i="177"/>
  <c r="O12" i="177"/>
  <c r="N12" i="177"/>
  <c r="H12" i="177"/>
  <c r="O11" i="177"/>
  <c r="N11" i="177"/>
  <c r="H11" i="177"/>
  <c r="O10" i="177"/>
  <c r="N10" i="177"/>
  <c r="O9" i="177"/>
  <c r="N9" i="177"/>
  <c r="O8" i="177"/>
  <c r="N8" i="177"/>
  <c r="H8" i="177"/>
  <c r="O7" i="177"/>
  <c r="N7" i="177"/>
  <c r="O6" i="177"/>
  <c r="N6" i="177"/>
  <c r="H6" i="177"/>
  <c r="O5" i="177"/>
  <c r="N5" i="177"/>
  <c r="H5" i="177"/>
  <c r="O4" i="177"/>
  <c r="N4" i="177"/>
  <c r="H4" i="177"/>
  <c r="O3" i="177"/>
  <c r="N3" i="177"/>
  <c r="H3" i="177"/>
  <c r="O2" i="177"/>
  <c r="O229" i="177" s="1"/>
  <c r="B230" i="177" s="1"/>
  <c r="B235" i="177" s="1"/>
  <c r="B241" i="177" s="1"/>
  <c r="B254" i="177" s="1"/>
  <c r="N2" i="177"/>
  <c r="N229" i="177" s="1"/>
  <c r="H2" i="177"/>
  <c r="H229" i="177" s="1"/>
  <c r="B269" i="176"/>
  <c r="B260" i="176"/>
  <c r="B259" i="176"/>
  <c r="B273" i="176" s="1"/>
  <c r="B252" i="176"/>
  <c r="B253" i="176" s="1"/>
  <c r="B250" i="176"/>
  <c r="B249" i="176"/>
  <c r="B248" i="176"/>
  <c r="B251" i="176" s="1"/>
  <c r="B244" i="176"/>
  <c r="B242" i="176"/>
  <c r="B245" i="176" s="1"/>
  <c r="B238" i="176"/>
  <c r="B237" i="176"/>
  <c r="B236" i="176"/>
  <c r="B240" i="176" s="1"/>
  <c r="B233" i="176"/>
  <c r="B231" i="176"/>
  <c r="P229" i="176"/>
  <c r="K229" i="176"/>
  <c r="I229" i="176"/>
  <c r="N228" i="176"/>
  <c r="N227" i="176"/>
  <c r="N226" i="176"/>
  <c r="N225" i="176"/>
  <c r="N224" i="176"/>
  <c r="N223" i="176"/>
  <c r="N222" i="176"/>
  <c r="N221" i="176"/>
  <c r="N220" i="176"/>
  <c r="O219" i="176"/>
  <c r="N219" i="176"/>
  <c r="H219" i="176"/>
  <c r="O218" i="176"/>
  <c r="N218" i="176"/>
  <c r="H218" i="176"/>
  <c r="O217" i="176"/>
  <c r="N217" i="176"/>
  <c r="H217" i="176"/>
  <c r="O216" i="176"/>
  <c r="N216" i="176"/>
  <c r="H216" i="176"/>
  <c r="O215" i="176"/>
  <c r="N215" i="176"/>
  <c r="H215" i="176"/>
  <c r="O214" i="176"/>
  <c r="N214" i="176"/>
  <c r="O213" i="176"/>
  <c r="N213" i="176"/>
  <c r="H213" i="176"/>
  <c r="O212" i="176"/>
  <c r="N212" i="176"/>
  <c r="H212" i="176"/>
  <c r="O211" i="176"/>
  <c r="N211" i="176"/>
  <c r="H211" i="176"/>
  <c r="O210" i="176"/>
  <c r="N210" i="176"/>
  <c r="H210" i="176"/>
  <c r="O209" i="176"/>
  <c r="N209" i="176"/>
  <c r="H209" i="176"/>
  <c r="O208" i="176"/>
  <c r="N208" i="176"/>
  <c r="H208" i="176"/>
  <c r="O207" i="176"/>
  <c r="N207" i="176"/>
  <c r="H207" i="176"/>
  <c r="O206" i="176"/>
  <c r="N206" i="176"/>
  <c r="H206" i="176"/>
  <c r="O205" i="176"/>
  <c r="N205" i="176"/>
  <c r="H205" i="176"/>
  <c r="O204" i="176"/>
  <c r="N204" i="176"/>
  <c r="H204" i="176"/>
  <c r="O203" i="176"/>
  <c r="N203" i="176"/>
  <c r="H203" i="176"/>
  <c r="O202" i="176"/>
  <c r="N202" i="176"/>
  <c r="H202" i="176"/>
  <c r="O201" i="176"/>
  <c r="N201" i="176"/>
  <c r="H201" i="176"/>
  <c r="O200" i="176"/>
  <c r="N200" i="176"/>
  <c r="H200" i="176"/>
  <c r="O199" i="176"/>
  <c r="N199" i="176"/>
  <c r="H199" i="176"/>
  <c r="O198" i="176"/>
  <c r="N198" i="176"/>
  <c r="H198" i="176"/>
  <c r="O197" i="176"/>
  <c r="N197" i="176"/>
  <c r="H197" i="176"/>
  <c r="O196" i="176"/>
  <c r="N196" i="176"/>
  <c r="H196" i="176"/>
  <c r="O195" i="176"/>
  <c r="N195" i="176"/>
  <c r="H195" i="176"/>
  <c r="O194" i="176"/>
  <c r="N194" i="176"/>
  <c r="H194" i="176"/>
  <c r="O193" i="176"/>
  <c r="N193" i="176"/>
  <c r="H193" i="176"/>
  <c r="O192" i="176"/>
  <c r="N192" i="176"/>
  <c r="O191" i="176"/>
  <c r="N191" i="176"/>
  <c r="H191" i="176"/>
  <c r="O190" i="176"/>
  <c r="N190" i="176"/>
  <c r="H190" i="176"/>
  <c r="O189" i="176"/>
  <c r="N189" i="176"/>
  <c r="H189" i="176"/>
  <c r="O188" i="176"/>
  <c r="N188" i="176"/>
  <c r="H188" i="176"/>
  <c r="O187" i="176"/>
  <c r="N187" i="176"/>
  <c r="H187" i="176"/>
  <c r="O186" i="176"/>
  <c r="N186" i="176"/>
  <c r="H186" i="176"/>
  <c r="O185" i="176"/>
  <c r="N185" i="176"/>
  <c r="H185" i="176"/>
  <c r="O184" i="176"/>
  <c r="N184" i="176"/>
  <c r="O183" i="176"/>
  <c r="N183" i="176"/>
  <c r="O182" i="176"/>
  <c r="N182" i="176"/>
  <c r="O181" i="176"/>
  <c r="N181" i="176"/>
  <c r="H181" i="176"/>
  <c r="O180" i="176"/>
  <c r="N180" i="176"/>
  <c r="H180" i="176"/>
  <c r="O179" i="176"/>
  <c r="N179" i="176"/>
  <c r="H179" i="176"/>
  <c r="O178" i="176"/>
  <c r="N178" i="176"/>
  <c r="H178" i="176"/>
  <c r="O177" i="176"/>
  <c r="N177" i="176"/>
  <c r="H177" i="176"/>
  <c r="O176" i="176"/>
  <c r="N176" i="176"/>
  <c r="H176" i="176"/>
  <c r="O175" i="176"/>
  <c r="N175" i="176"/>
  <c r="H175" i="176"/>
  <c r="O174" i="176"/>
  <c r="N174" i="176"/>
  <c r="H174" i="176"/>
  <c r="O173" i="176"/>
  <c r="N173" i="176"/>
  <c r="H173" i="176"/>
  <c r="O172" i="176"/>
  <c r="N172" i="176"/>
  <c r="H172" i="176"/>
  <c r="O171" i="176"/>
  <c r="N171" i="176"/>
  <c r="H171" i="176"/>
  <c r="O170" i="176"/>
  <c r="N170" i="176"/>
  <c r="H170" i="176"/>
  <c r="O169" i="176"/>
  <c r="N169" i="176"/>
  <c r="H169" i="176"/>
  <c r="O168" i="176"/>
  <c r="N168" i="176"/>
  <c r="O167" i="176"/>
  <c r="N167" i="176"/>
  <c r="H167" i="176"/>
  <c r="O166" i="176"/>
  <c r="N166" i="176"/>
  <c r="H166" i="176"/>
  <c r="O165" i="176"/>
  <c r="N165" i="176"/>
  <c r="H165" i="176"/>
  <c r="O164" i="176"/>
  <c r="N164" i="176"/>
  <c r="H164" i="176"/>
  <c r="O163" i="176"/>
  <c r="N163" i="176"/>
  <c r="H163" i="176"/>
  <c r="O162" i="176"/>
  <c r="N162" i="176"/>
  <c r="H162" i="176"/>
  <c r="O161" i="176"/>
  <c r="N161" i="176"/>
  <c r="H161" i="176"/>
  <c r="N160" i="176"/>
  <c r="H160" i="176"/>
  <c r="O159" i="176"/>
  <c r="N159" i="176"/>
  <c r="N158" i="176"/>
  <c r="O157" i="176"/>
  <c r="N157" i="176"/>
  <c r="H157" i="176"/>
  <c r="O156" i="176"/>
  <c r="N156" i="176"/>
  <c r="H156" i="176"/>
  <c r="O155" i="176"/>
  <c r="N155" i="176"/>
  <c r="H155" i="176"/>
  <c r="O154" i="176"/>
  <c r="N154" i="176"/>
  <c r="H154" i="176"/>
  <c r="O153" i="176"/>
  <c r="N153" i="176"/>
  <c r="H153" i="176"/>
  <c r="O152" i="176"/>
  <c r="N152" i="176"/>
  <c r="H152" i="176"/>
  <c r="O151" i="176"/>
  <c r="N151" i="176"/>
  <c r="H151" i="176"/>
  <c r="O150" i="176"/>
  <c r="N150" i="176"/>
  <c r="H150" i="176"/>
  <c r="O149" i="176"/>
  <c r="N149" i="176"/>
  <c r="H149" i="176"/>
  <c r="O148" i="176"/>
  <c r="N148" i="176"/>
  <c r="H148" i="176"/>
  <c r="O147" i="176"/>
  <c r="N147" i="176"/>
  <c r="H147" i="176"/>
  <c r="O146" i="176"/>
  <c r="N146" i="176"/>
  <c r="H146" i="176"/>
  <c r="O145" i="176"/>
  <c r="N145" i="176"/>
  <c r="H145" i="176"/>
  <c r="O144" i="176"/>
  <c r="N144" i="176"/>
  <c r="H144" i="176"/>
  <c r="O143" i="176"/>
  <c r="N143" i="176"/>
  <c r="H143" i="176"/>
  <c r="O142" i="176"/>
  <c r="N142" i="176"/>
  <c r="H142" i="176"/>
  <c r="O141" i="176"/>
  <c r="N141" i="176"/>
  <c r="H141" i="176"/>
  <c r="O140" i="176"/>
  <c r="N140" i="176"/>
  <c r="H140" i="176"/>
  <c r="O139" i="176"/>
  <c r="N139" i="176"/>
  <c r="H139" i="176"/>
  <c r="O138" i="176"/>
  <c r="N138" i="176"/>
  <c r="H138" i="176"/>
  <c r="O137" i="176"/>
  <c r="N137" i="176"/>
  <c r="H137" i="176"/>
  <c r="O136" i="176"/>
  <c r="N136" i="176"/>
  <c r="H136" i="176"/>
  <c r="O135" i="176"/>
  <c r="N135" i="176"/>
  <c r="H135" i="176"/>
  <c r="O134" i="176"/>
  <c r="N134" i="176"/>
  <c r="H134" i="176"/>
  <c r="O133" i="176"/>
  <c r="N133" i="176"/>
  <c r="H133" i="176"/>
  <c r="O132" i="176"/>
  <c r="N132" i="176"/>
  <c r="H132" i="176"/>
  <c r="O131" i="176"/>
  <c r="N131" i="176"/>
  <c r="H131" i="176"/>
  <c r="O130" i="176"/>
  <c r="N130" i="176"/>
  <c r="H130" i="176"/>
  <c r="O129" i="176"/>
  <c r="N129" i="176"/>
  <c r="H129" i="176"/>
  <c r="O128" i="176"/>
  <c r="N128" i="176"/>
  <c r="O127" i="176"/>
  <c r="N127" i="176"/>
  <c r="H127" i="176"/>
  <c r="O126" i="176"/>
  <c r="N126" i="176"/>
  <c r="H126" i="176"/>
  <c r="O125" i="176"/>
  <c r="N125" i="176"/>
  <c r="H125" i="176"/>
  <c r="O124" i="176"/>
  <c r="N124" i="176"/>
  <c r="H124" i="176"/>
  <c r="O123" i="176"/>
  <c r="N123" i="176"/>
  <c r="H123" i="176"/>
  <c r="O122" i="176"/>
  <c r="N122" i="176"/>
  <c r="H122" i="176"/>
  <c r="O121" i="176"/>
  <c r="N121" i="176"/>
  <c r="H121" i="176"/>
  <c r="O120" i="176"/>
  <c r="N120" i="176"/>
  <c r="H120" i="176"/>
  <c r="O119" i="176"/>
  <c r="N119" i="176"/>
  <c r="H119" i="176"/>
  <c r="O118" i="176"/>
  <c r="N118" i="176"/>
  <c r="H118" i="176"/>
  <c r="O117" i="176"/>
  <c r="N117" i="176"/>
  <c r="H117" i="176"/>
  <c r="O116" i="176"/>
  <c r="N116" i="176"/>
  <c r="H116" i="176"/>
  <c r="O115" i="176"/>
  <c r="N115" i="176"/>
  <c r="H115" i="176"/>
  <c r="O114" i="176"/>
  <c r="N114" i="176"/>
  <c r="H114" i="176"/>
  <c r="O113" i="176"/>
  <c r="N113" i="176"/>
  <c r="H113" i="176"/>
  <c r="O112" i="176"/>
  <c r="N112" i="176"/>
  <c r="H112" i="176"/>
  <c r="O111" i="176"/>
  <c r="N111" i="176"/>
  <c r="H111" i="176"/>
  <c r="O110" i="176"/>
  <c r="N110" i="176"/>
  <c r="H110" i="176"/>
  <c r="O109" i="176"/>
  <c r="N109" i="176"/>
  <c r="H109" i="176"/>
  <c r="O108" i="176"/>
  <c r="N108" i="176"/>
  <c r="H108" i="176"/>
  <c r="O107" i="176"/>
  <c r="N107" i="176"/>
  <c r="H107" i="176"/>
  <c r="O106" i="176"/>
  <c r="N106" i="176"/>
  <c r="H106" i="176"/>
  <c r="O105" i="176"/>
  <c r="N105" i="176"/>
  <c r="H105" i="176"/>
  <c r="O104" i="176"/>
  <c r="N104" i="176"/>
  <c r="H104" i="176"/>
  <c r="O103" i="176"/>
  <c r="N103" i="176"/>
  <c r="H103" i="176"/>
  <c r="O102" i="176"/>
  <c r="N102" i="176"/>
  <c r="H102" i="176"/>
  <c r="O101" i="176"/>
  <c r="N101" i="176"/>
  <c r="H101" i="176"/>
  <c r="O100" i="176"/>
  <c r="N100" i="176"/>
  <c r="H100" i="176"/>
  <c r="O99" i="176"/>
  <c r="N99" i="176"/>
  <c r="H99" i="176"/>
  <c r="O98" i="176"/>
  <c r="N98" i="176"/>
  <c r="H98" i="176"/>
  <c r="O97" i="176"/>
  <c r="N97" i="176"/>
  <c r="H97" i="176"/>
  <c r="O96" i="176"/>
  <c r="N96" i="176"/>
  <c r="H96" i="176"/>
  <c r="O95" i="176"/>
  <c r="N95" i="176"/>
  <c r="H95" i="176"/>
  <c r="O94" i="176"/>
  <c r="N94" i="176"/>
  <c r="H94" i="176"/>
  <c r="O93" i="176"/>
  <c r="N93" i="176"/>
  <c r="H93" i="176"/>
  <c r="N92" i="176"/>
  <c r="H92" i="176"/>
  <c r="N91" i="176"/>
  <c r="H91" i="176"/>
  <c r="N90" i="176"/>
  <c r="H90" i="176"/>
  <c r="O89" i="176"/>
  <c r="N89" i="176"/>
  <c r="H89" i="176"/>
  <c r="O88" i="176"/>
  <c r="N88" i="176"/>
  <c r="H88" i="176"/>
  <c r="O87" i="176"/>
  <c r="N87" i="176"/>
  <c r="H87" i="176"/>
  <c r="O86" i="176"/>
  <c r="N86" i="176"/>
  <c r="H86" i="176"/>
  <c r="O85" i="176"/>
  <c r="N85" i="176"/>
  <c r="H85" i="176"/>
  <c r="O84" i="176"/>
  <c r="N84" i="176"/>
  <c r="H84" i="176"/>
  <c r="O83" i="176"/>
  <c r="N83" i="176"/>
  <c r="H83" i="176"/>
  <c r="O82" i="176"/>
  <c r="N82" i="176"/>
  <c r="O81" i="176"/>
  <c r="N81" i="176"/>
  <c r="O80" i="176"/>
  <c r="N80" i="176"/>
  <c r="H80" i="176"/>
  <c r="O79" i="176"/>
  <c r="N79" i="176"/>
  <c r="H79" i="176"/>
  <c r="O78" i="176"/>
  <c r="N78" i="176"/>
  <c r="O77" i="176"/>
  <c r="N77" i="176"/>
  <c r="H77" i="176"/>
  <c r="O76" i="176"/>
  <c r="N76" i="176"/>
  <c r="H76" i="176"/>
  <c r="O75" i="176"/>
  <c r="N75" i="176"/>
  <c r="H75" i="176"/>
  <c r="O74" i="176"/>
  <c r="N74" i="176"/>
  <c r="H74" i="176"/>
  <c r="O73" i="176"/>
  <c r="N73" i="176"/>
  <c r="H73" i="176"/>
  <c r="O72" i="176"/>
  <c r="N72" i="176"/>
  <c r="H72" i="176"/>
  <c r="O71" i="176"/>
  <c r="N71" i="176"/>
  <c r="H71" i="176"/>
  <c r="O70" i="176"/>
  <c r="N70" i="176"/>
  <c r="H70" i="176"/>
  <c r="T69" i="176"/>
  <c r="T96" i="176" s="1"/>
  <c r="O69" i="176"/>
  <c r="N69" i="176"/>
  <c r="H69" i="176"/>
  <c r="O68" i="176"/>
  <c r="N68" i="176"/>
  <c r="H68" i="176"/>
  <c r="O67" i="176"/>
  <c r="N67" i="176"/>
  <c r="H67" i="176"/>
  <c r="O66" i="176"/>
  <c r="N66" i="176"/>
  <c r="H66" i="176"/>
  <c r="O65" i="176"/>
  <c r="N65" i="176"/>
  <c r="H65" i="176"/>
  <c r="O64" i="176"/>
  <c r="N64" i="176"/>
  <c r="H64" i="176"/>
  <c r="O63" i="176"/>
  <c r="N63" i="176"/>
  <c r="H63" i="176"/>
  <c r="O62" i="176"/>
  <c r="N62" i="176"/>
  <c r="H62" i="176"/>
  <c r="O61" i="176"/>
  <c r="N61" i="176"/>
  <c r="H61" i="176"/>
  <c r="O60" i="176"/>
  <c r="N60" i="176"/>
  <c r="H60" i="176"/>
  <c r="O59" i="176"/>
  <c r="N59" i="176"/>
  <c r="H59" i="176"/>
  <c r="O58" i="176"/>
  <c r="N58" i="176"/>
  <c r="H58" i="176"/>
  <c r="O57" i="176"/>
  <c r="N57" i="176"/>
  <c r="H57" i="176"/>
  <c r="O56" i="176"/>
  <c r="N56" i="176"/>
  <c r="H56" i="176"/>
  <c r="O55" i="176"/>
  <c r="N55" i="176"/>
  <c r="O54" i="176"/>
  <c r="N54" i="176"/>
  <c r="H54" i="176"/>
  <c r="O53" i="176"/>
  <c r="N53" i="176"/>
  <c r="H53" i="176"/>
  <c r="O52" i="176"/>
  <c r="N52" i="176"/>
  <c r="O51" i="176"/>
  <c r="N51" i="176"/>
  <c r="O50" i="176"/>
  <c r="N50" i="176"/>
  <c r="H50" i="176"/>
  <c r="O49" i="176"/>
  <c r="N49" i="176"/>
  <c r="H49" i="176"/>
  <c r="O48" i="176"/>
  <c r="N48" i="176"/>
  <c r="H48" i="176"/>
  <c r="O47" i="176"/>
  <c r="N47" i="176"/>
  <c r="H47" i="176"/>
  <c r="O46" i="176"/>
  <c r="N46" i="176"/>
  <c r="H46" i="176"/>
  <c r="O45" i="176"/>
  <c r="N45" i="176"/>
  <c r="H45" i="176"/>
  <c r="O44" i="176"/>
  <c r="N44" i="176"/>
  <c r="H44" i="176"/>
  <c r="O43" i="176"/>
  <c r="N43" i="176"/>
  <c r="H43" i="176"/>
  <c r="O42" i="176"/>
  <c r="N42" i="176"/>
  <c r="H42" i="176"/>
  <c r="O41" i="176"/>
  <c r="N41" i="176"/>
  <c r="H41" i="176"/>
  <c r="O40" i="176"/>
  <c r="N40" i="176"/>
  <c r="H40" i="176"/>
  <c r="O39" i="176"/>
  <c r="N39" i="176"/>
  <c r="H39" i="176"/>
  <c r="O38" i="176"/>
  <c r="N38" i="176"/>
  <c r="H38" i="176"/>
  <c r="O37" i="176"/>
  <c r="N37" i="176"/>
  <c r="H37" i="176"/>
  <c r="O36" i="176"/>
  <c r="N36" i="176"/>
  <c r="H36" i="176"/>
  <c r="O35" i="176"/>
  <c r="N35" i="176"/>
  <c r="H35" i="176"/>
  <c r="N34" i="176"/>
  <c r="H34" i="176"/>
  <c r="O33" i="176"/>
  <c r="N33" i="176"/>
  <c r="O32" i="176"/>
  <c r="N32" i="176"/>
  <c r="O31" i="176"/>
  <c r="N31" i="176"/>
  <c r="O30" i="176"/>
  <c r="N30" i="176"/>
  <c r="H30" i="176"/>
  <c r="O29" i="176"/>
  <c r="N29" i="176"/>
  <c r="H29" i="176"/>
  <c r="O28" i="176"/>
  <c r="N28" i="176"/>
  <c r="H28" i="176"/>
  <c r="O27" i="176"/>
  <c r="N27" i="176"/>
  <c r="H27" i="176"/>
  <c r="O26" i="176"/>
  <c r="N26" i="176"/>
  <c r="H26" i="176"/>
  <c r="O25" i="176"/>
  <c r="N25" i="176"/>
  <c r="H25" i="176"/>
  <c r="O24" i="176"/>
  <c r="N24" i="176"/>
  <c r="H24" i="176"/>
  <c r="O23" i="176"/>
  <c r="N23" i="176"/>
  <c r="H23" i="176"/>
  <c r="O22" i="176"/>
  <c r="N22" i="176"/>
  <c r="H22" i="176"/>
  <c r="O21" i="176"/>
  <c r="N21" i="176"/>
  <c r="H21" i="176"/>
  <c r="O20" i="176"/>
  <c r="N20" i="176"/>
  <c r="H20" i="176"/>
  <c r="O19" i="176"/>
  <c r="N19" i="176"/>
  <c r="H19" i="176"/>
  <c r="O18" i="176"/>
  <c r="N18" i="176"/>
  <c r="N17" i="176"/>
  <c r="O16" i="176"/>
  <c r="N16" i="176"/>
  <c r="O15" i="176"/>
  <c r="N15" i="176"/>
  <c r="H15" i="176"/>
  <c r="S14" i="176"/>
  <c r="O14" i="176"/>
  <c r="N14" i="176"/>
  <c r="O13" i="176"/>
  <c r="N13" i="176"/>
  <c r="H13" i="176"/>
  <c r="O12" i="176"/>
  <c r="N12" i="176"/>
  <c r="H12" i="176"/>
  <c r="O11" i="176"/>
  <c r="N11" i="176"/>
  <c r="H11" i="176"/>
  <c r="O10" i="176"/>
  <c r="N10" i="176"/>
  <c r="O9" i="176"/>
  <c r="N9" i="176"/>
  <c r="O8" i="176"/>
  <c r="N8" i="176"/>
  <c r="H8" i="176"/>
  <c r="O7" i="176"/>
  <c r="N7" i="176"/>
  <c r="O6" i="176"/>
  <c r="N6" i="176"/>
  <c r="H6" i="176"/>
  <c r="O5" i="176"/>
  <c r="N5" i="176"/>
  <c r="H5" i="176"/>
  <c r="O4" i="176"/>
  <c r="N4" i="176"/>
  <c r="H4" i="176"/>
  <c r="O3" i="176"/>
  <c r="N3" i="176"/>
  <c r="H3" i="176"/>
  <c r="O2" i="176"/>
  <c r="O229" i="176" s="1"/>
  <c r="B230" i="176" s="1"/>
  <c r="B235" i="176" s="1"/>
  <c r="B241" i="176" s="1"/>
  <c r="B254" i="176" s="1"/>
  <c r="N2" i="176"/>
  <c r="N229" i="176" s="1"/>
  <c r="H2" i="176"/>
  <c r="H229" i="176" s="1"/>
  <c r="B269" i="175"/>
  <c r="B260" i="175"/>
  <c r="B259" i="175"/>
  <c r="B273" i="175" s="1"/>
  <c r="B252" i="175"/>
  <c r="B253" i="175" s="1"/>
  <c r="B250" i="175"/>
  <c r="B249" i="175"/>
  <c r="B248" i="175"/>
  <c r="B251" i="175" s="1"/>
  <c r="B244" i="175"/>
  <c r="B242" i="175"/>
  <c r="B245" i="175" s="1"/>
  <c r="B238" i="175"/>
  <c r="B237" i="175"/>
  <c r="B236" i="175"/>
  <c r="B240" i="175" s="1"/>
  <c r="B233" i="175"/>
  <c r="B231" i="175"/>
  <c r="P229" i="175"/>
  <c r="K229" i="175"/>
  <c r="I229" i="175"/>
  <c r="N228" i="175"/>
  <c r="N227" i="175"/>
  <c r="N226" i="175"/>
  <c r="N225" i="175"/>
  <c r="N224" i="175"/>
  <c r="N223" i="175"/>
  <c r="N222" i="175"/>
  <c r="N221" i="175"/>
  <c r="N220" i="175"/>
  <c r="O219" i="175"/>
  <c r="N219" i="175"/>
  <c r="H219" i="175"/>
  <c r="O218" i="175"/>
  <c r="N218" i="175"/>
  <c r="H218" i="175"/>
  <c r="O217" i="175"/>
  <c r="N217" i="175"/>
  <c r="H217" i="175"/>
  <c r="O216" i="175"/>
  <c r="N216" i="175"/>
  <c r="H216" i="175"/>
  <c r="O215" i="175"/>
  <c r="N215" i="175"/>
  <c r="H215" i="175"/>
  <c r="O214" i="175"/>
  <c r="N214" i="175"/>
  <c r="O213" i="175"/>
  <c r="N213" i="175"/>
  <c r="H213" i="175"/>
  <c r="O212" i="175"/>
  <c r="N212" i="175"/>
  <c r="H212" i="175"/>
  <c r="O211" i="175"/>
  <c r="N211" i="175"/>
  <c r="H211" i="175"/>
  <c r="O210" i="175"/>
  <c r="N210" i="175"/>
  <c r="H210" i="175"/>
  <c r="O209" i="175"/>
  <c r="N209" i="175"/>
  <c r="H209" i="175"/>
  <c r="O208" i="175"/>
  <c r="N208" i="175"/>
  <c r="H208" i="175"/>
  <c r="O207" i="175"/>
  <c r="N207" i="175"/>
  <c r="H207" i="175"/>
  <c r="O206" i="175"/>
  <c r="N206" i="175"/>
  <c r="H206" i="175"/>
  <c r="O205" i="175"/>
  <c r="N205" i="175"/>
  <c r="H205" i="175"/>
  <c r="O204" i="175"/>
  <c r="N204" i="175"/>
  <c r="H204" i="175"/>
  <c r="O203" i="175"/>
  <c r="N203" i="175"/>
  <c r="H203" i="175"/>
  <c r="O202" i="175"/>
  <c r="N202" i="175"/>
  <c r="H202" i="175"/>
  <c r="O201" i="175"/>
  <c r="N201" i="175"/>
  <c r="H201" i="175"/>
  <c r="O200" i="175"/>
  <c r="N200" i="175"/>
  <c r="H200" i="175"/>
  <c r="O199" i="175"/>
  <c r="N199" i="175"/>
  <c r="H199" i="175"/>
  <c r="O198" i="175"/>
  <c r="N198" i="175"/>
  <c r="H198" i="175"/>
  <c r="O197" i="175"/>
  <c r="N197" i="175"/>
  <c r="H197" i="175"/>
  <c r="O196" i="175"/>
  <c r="N196" i="175"/>
  <c r="H196" i="175"/>
  <c r="O195" i="175"/>
  <c r="N195" i="175"/>
  <c r="H195" i="175"/>
  <c r="O194" i="175"/>
  <c r="N194" i="175"/>
  <c r="H194" i="175"/>
  <c r="O193" i="175"/>
  <c r="N193" i="175"/>
  <c r="H193" i="175"/>
  <c r="O192" i="175"/>
  <c r="N192" i="175"/>
  <c r="O191" i="175"/>
  <c r="N191" i="175"/>
  <c r="H191" i="175"/>
  <c r="O190" i="175"/>
  <c r="N190" i="175"/>
  <c r="H190" i="175"/>
  <c r="O189" i="175"/>
  <c r="N189" i="175"/>
  <c r="H189" i="175"/>
  <c r="O188" i="175"/>
  <c r="N188" i="175"/>
  <c r="H188" i="175"/>
  <c r="O187" i="175"/>
  <c r="N187" i="175"/>
  <c r="H187" i="175"/>
  <c r="O186" i="175"/>
  <c r="N186" i="175"/>
  <c r="H186" i="175"/>
  <c r="O185" i="175"/>
  <c r="N185" i="175"/>
  <c r="H185" i="175"/>
  <c r="O184" i="175"/>
  <c r="N184" i="175"/>
  <c r="O183" i="175"/>
  <c r="N183" i="175"/>
  <c r="O182" i="175"/>
  <c r="N182" i="175"/>
  <c r="O181" i="175"/>
  <c r="N181" i="175"/>
  <c r="H181" i="175"/>
  <c r="O180" i="175"/>
  <c r="N180" i="175"/>
  <c r="H180" i="175"/>
  <c r="O179" i="175"/>
  <c r="N179" i="175"/>
  <c r="H179" i="175"/>
  <c r="O178" i="175"/>
  <c r="N178" i="175"/>
  <c r="H178" i="175"/>
  <c r="O177" i="175"/>
  <c r="N177" i="175"/>
  <c r="H177" i="175"/>
  <c r="O176" i="175"/>
  <c r="N176" i="175"/>
  <c r="H176" i="175"/>
  <c r="O175" i="175"/>
  <c r="N175" i="175"/>
  <c r="H175" i="175"/>
  <c r="O174" i="175"/>
  <c r="N174" i="175"/>
  <c r="H174" i="175"/>
  <c r="O173" i="175"/>
  <c r="N173" i="175"/>
  <c r="H173" i="175"/>
  <c r="O172" i="175"/>
  <c r="N172" i="175"/>
  <c r="H172" i="175"/>
  <c r="O171" i="175"/>
  <c r="N171" i="175"/>
  <c r="H171" i="175"/>
  <c r="O170" i="175"/>
  <c r="N170" i="175"/>
  <c r="H170" i="175"/>
  <c r="O169" i="175"/>
  <c r="N169" i="175"/>
  <c r="H169" i="175"/>
  <c r="O168" i="175"/>
  <c r="N168" i="175"/>
  <c r="O167" i="175"/>
  <c r="N167" i="175"/>
  <c r="H167" i="175"/>
  <c r="O166" i="175"/>
  <c r="N166" i="175"/>
  <c r="H166" i="175"/>
  <c r="O165" i="175"/>
  <c r="N165" i="175"/>
  <c r="H165" i="175"/>
  <c r="O164" i="175"/>
  <c r="N164" i="175"/>
  <c r="H164" i="175"/>
  <c r="O163" i="175"/>
  <c r="N163" i="175"/>
  <c r="H163" i="175"/>
  <c r="O162" i="175"/>
  <c r="N162" i="175"/>
  <c r="H162" i="175"/>
  <c r="O161" i="175"/>
  <c r="N161" i="175"/>
  <c r="H161" i="175"/>
  <c r="N160" i="175"/>
  <c r="H160" i="175"/>
  <c r="O159" i="175"/>
  <c r="N159" i="175"/>
  <c r="N158" i="175"/>
  <c r="O157" i="175"/>
  <c r="N157" i="175"/>
  <c r="H157" i="175"/>
  <c r="O156" i="175"/>
  <c r="N156" i="175"/>
  <c r="H156" i="175"/>
  <c r="O155" i="175"/>
  <c r="N155" i="175"/>
  <c r="H155" i="175"/>
  <c r="O154" i="175"/>
  <c r="N154" i="175"/>
  <c r="H154" i="175"/>
  <c r="O153" i="175"/>
  <c r="N153" i="175"/>
  <c r="H153" i="175"/>
  <c r="O152" i="175"/>
  <c r="N152" i="175"/>
  <c r="H152" i="175"/>
  <c r="O151" i="175"/>
  <c r="N151" i="175"/>
  <c r="H151" i="175"/>
  <c r="O150" i="175"/>
  <c r="N150" i="175"/>
  <c r="H150" i="175"/>
  <c r="O149" i="175"/>
  <c r="N149" i="175"/>
  <c r="H149" i="175"/>
  <c r="O148" i="175"/>
  <c r="N148" i="175"/>
  <c r="H148" i="175"/>
  <c r="O147" i="175"/>
  <c r="N147" i="175"/>
  <c r="H147" i="175"/>
  <c r="O146" i="175"/>
  <c r="N146" i="175"/>
  <c r="H146" i="175"/>
  <c r="O145" i="175"/>
  <c r="N145" i="175"/>
  <c r="H145" i="175"/>
  <c r="O144" i="175"/>
  <c r="N144" i="175"/>
  <c r="H144" i="175"/>
  <c r="O143" i="175"/>
  <c r="N143" i="175"/>
  <c r="H143" i="175"/>
  <c r="O142" i="175"/>
  <c r="N142" i="175"/>
  <c r="H142" i="175"/>
  <c r="O141" i="175"/>
  <c r="N141" i="175"/>
  <c r="H141" i="175"/>
  <c r="O140" i="175"/>
  <c r="N140" i="175"/>
  <c r="H140" i="175"/>
  <c r="O139" i="175"/>
  <c r="N139" i="175"/>
  <c r="H139" i="175"/>
  <c r="O138" i="175"/>
  <c r="N138" i="175"/>
  <c r="H138" i="175"/>
  <c r="O137" i="175"/>
  <c r="N137" i="175"/>
  <c r="H137" i="175"/>
  <c r="O136" i="175"/>
  <c r="N136" i="175"/>
  <c r="H136" i="175"/>
  <c r="O135" i="175"/>
  <c r="N135" i="175"/>
  <c r="H135" i="175"/>
  <c r="O134" i="175"/>
  <c r="N134" i="175"/>
  <c r="H134" i="175"/>
  <c r="O133" i="175"/>
  <c r="N133" i="175"/>
  <c r="H133" i="175"/>
  <c r="O132" i="175"/>
  <c r="N132" i="175"/>
  <c r="H132" i="175"/>
  <c r="O131" i="175"/>
  <c r="N131" i="175"/>
  <c r="H131" i="175"/>
  <c r="O130" i="175"/>
  <c r="N130" i="175"/>
  <c r="H130" i="175"/>
  <c r="O129" i="175"/>
  <c r="N129" i="175"/>
  <c r="H129" i="175"/>
  <c r="O128" i="175"/>
  <c r="N128" i="175"/>
  <c r="H128" i="175"/>
  <c r="O127" i="175"/>
  <c r="N127" i="175"/>
  <c r="H127" i="175"/>
  <c r="O126" i="175"/>
  <c r="N126" i="175"/>
  <c r="H126" i="175"/>
  <c r="O125" i="175"/>
  <c r="N125" i="175"/>
  <c r="H125" i="175"/>
  <c r="O124" i="175"/>
  <c r="N124" i="175"/>
  <c r="H124" i="175"/>
  <c r="O123" i="175"/>
  <c r="N123" i="175"/>
  <c r="H123" i="175"/>
  <c r="O122" i="175"/>
  <c r="N122" i="175"/>
  <c r="H122" i="175"/>
  <c r="O121" i="175"/>
  <c r="N121" i="175"/>
  <c r="H121" i="175"/>
  <c r="O120" i="175"/>
  <c r="N120" i="175"/>
  <c r="H120" i="175"/>
  <c r="O119" i="175"/>
  <c r="N119" i="175"/>
  <c r="H119" i="175"/>
  <c r="O118" i="175"/>
  <c r="N118" i="175"/>
  <c r="H118" i="175"/>
  <c r="O117" i="175"/>
  <c r="N117" i="175"/>
  <c r="H117" i="175"/>
  <c r="O116" i="175"/>
  <c r="N116" i="175"/>
  <c r="H116" i="175"/>
  <c r="O115" i="175"/>
  <c r="N115" i="175"/>
  <c r="H115" i="175"/>
  <c r="O114" i="175"/>
  <c r="N114" i="175"/>
  <c r="H114" i="175"/>
  <c r="O113" i="175"/>
  <c r="N113" i="175"/>
  <c r="H113" i="175"/>
  <c r="O112" i="175"/>
  <c r="N112" i="175"/>
  <c r="H112" i="175"/>
  <c r="O111" i="175"/>
  <c r="N111" i="175"/>
  <c r="H111" i="175"/>
  <c r="O110" i="175"/>
  <c r="N110" i="175"/>
  <c r="H110" i="175"/>
  <c r="O109" i="175"/>
  <c r="N109" i="175"/>
  <c r="H109" i="175"/>
  <c r="O108" i="175"/>
  <c r="N108" i="175"/>
  <c r="H108" i="175"/>
  <c r="O107" i="175"/>
  <c r="N107" i="175"/>
  <c r="H107" i="175"/>
  <c r="O106" i="175"/>
  <c r="N106" i="175"/>
  <c r="H106" i="175"/>
  <c r="O105" i="175"/>
  <c r="N105" i="175"/>
  <c r="H105" i="175"/>
  <c r="O104" i="175"/>
  <c r="N104" i="175"/>
  <c r="H104" i="175"/>
  <c r="O103" i="175"/>
  <c r="N103" i="175"/>
  <c r="H103" i="175"/>
  <c r="O102" i="175"/>
  <c r="N102" i="175"/>
  <c r="H102" i="175"/>
  <c r="O101" i="175"/>
  <c r="N101" i="175"/>
  <c r="H101" i="175"/>
  <c r="O100" i="175"/>
  <c r="N100" i="175"/>
  <c r="H100" i="175"/>
  <c r="O99" i="175"/>
  <c r="N99" i="175"/>
  <c r="H99" i="175"/>
  <c r="O98" i="175"/>
  <c r="N98" i="175"/>
  <c r="H98" i="175"/>
  <c r="O97" i="175"/>
  <c r="N97" i="175"/>
  <c r="H97" i="175"/>
  <c r="O96" i="175"/>
  <c r="N96" i="175"/>
  <c r="H96" i="175"/>
  <c r="O95" i="175"/>
  <c r="N95" i="175"/>
  <c r="H95" i="175"/>
  <c r="O94" i="175"/>
  <c r="N94" i="175"/>
  <c r="H94" i="175"/>
  <c r="O93" i="175"/>
  <c r="N93" i="175"/>
  <c r="H93" i="175"/>
  <c r="N92" i="175"/>
  <c r="H92" i="175"/>
  <c r="N91" i="175"/>
  <c r="H91" i="175"/>
  <c r="N90" i="175"/>
  <c r="H90" i="175"/>
  <c r="O89" i="175"/>
  <c r="N89" i="175"/>
  <c r="H89" i="175"/>
  <c r="O88" i="175"/>
  <c r="N88" i="175"/>
  <c r="H88" i="175"/>
  <c r="O87" i="175"/>
  <c r="N87" i="175"/>
  <c r="H87" i="175"/>
  <c r="O86" i="175"/>
  <c r="N86" i="175"/>
  <c r="H86" i="175"/>
  <c r="O85" i="175"/>
  <c r="N85" i="175"/>
  <c r="H85" i="175"/>
  <c r="O84" i="175"/>
  <c r="N84" i="175"/>
  <c r="H84" i="175"/>
  <c r="O83" i="175"/>
  <c r="N83" i="175"/>
  <c r="H83" i="175"/>
  <c r="O82" i="175"/>
  <c r="N82" i="175"/>
  <c r="O81" i="175"/>
  <c r="N81" i="175"/>
  <c r="O80" i="175"/>
  <c r="N80" i="175"/>
  <c r="H80" i="175"/>
  <c r="O79" i="175"/>
  <c r="N79" i="175"/>
  <c r="H79" i="175"/>
  <c r="O78" i="175"/>
  <c r="N78" i="175"/>
  <c r="O77" i="175"/>
  <c r="N77" i="175"/>
  <c r="H77" i="175"/>
  <c r="O76" i="175"/>
  <c r="N76" i="175"/>
  <c r="H76" i="175"/>
  <c r="O75" i="175"/>
  <c r="N75" i="175"/>
  <c r="H75" i="175"/>
  <c r="O74" i="175"/>
  <c r="N74" i="175"/>
  <c r="H74" i="175"/>
  <c r="O73" i="175"/>
  <c r="N73" i="175"/>
  <c r="H73" i="175"/>
  <c r="O72" i="175"/>
  <c r="N72" i="175"/>
  <c r="H72" i="175"/>
  <c r="O71" i="175"/>
  <c r="N71" i="175"/>
  <c r="H71" i="175"/>
  <c r="O70" i="175"/>
  <c r="N70" i="175"/>
  <c r="H70" i="175"/>
  <c r="T69" i="175"/>
  <c r="T96" i="175" s="1"/>
  <c r="O69" i="175"/>
  <c r="N69" i="175"/>
  <c r="H69" i="175"/>
  <c r="O68" i="175"/>
  <c r="N68" i="175"/>
  <c r="H68" i="175"/>
  <c r="O67" i="175"/>
  <c r="N67" i="175"/>
  <c r="H67" i="175"/>
  <c r="O66" i="175"/>
  <c r="N66" i="175"/>
  <c r="H66" i="175"/>
  <c r="O65" i="175"/>
  <c r="N65" i="175"/>
  <c r="H65" i="175"/>
  <c r="O64" i="175"/>
  <c r="N64" i="175"/>
  <c r="H64" i="175"/>
  <c r="O63" i="175"/>
  <c r="N63" i="175"/>
  <c r="H63" i="175"/>
  <c r="O62" i="175"/>
  <c r="N62" i="175"/>
  <c r="H62" i="175"/>
  <c r="O61" i="175"/>
  <c r="N61" i="175"/>
  <c r="H61" i="175"/>
  <c r="O60" i="175"/>
  <c r="N60" i="175"/>
  <c r="H60" i="175"/>
  <c r="O59" i="175"/>
  <c r="N59" i="175"/>
  <c r="H59" i="175"/>
  <c r="O58" i="175"/>
  <c r="N58" i="175"/>
  <c r="H58" i="175"/>
  <c r="O57" i="175"/>
  <c r="N57" i="175"/>
  <c r="H57" i="175"/>
  <c r="O56" i="175"/>
  <c r="N56" i="175"/>
  <c r="H56" i="175"/>
  <c r="O55" i="175"/>
  <c r="N55" i="175"/>
  <c r="O54" i="175"/>
  <c r="N54" i="175"/>
  <c r="H54" i="175"/>
  <c r="O53" i="175"/>
  <c r="N53" i="175"/>
  <c r="H53" i="175"/>
  <c r="O52" i="175"/>
  <c r="N52" i="175"/>
  <c r="O51" i="175"/>
  <c r="N51" i="175"/>
  <c r="O50" i="175"/>
  <c r="N50" i="175"/>
  <c r="H50" i="175"/>
  <c r="O49" i="175"/>
  <c r="N49" i="175"/>
  <c r="H49" i="175"/>
  <c r="O48" i="175"/>
  <c r="N48" i="175"/>
  <c r="H48" i="175"/>
  <c r="O47" i="175"/>
  <c r="N47" i="175"/>
  <c r="H47" i="175"/>
  <c r="O46" i="175"/>
  <c r="N46" i="175"/>
  <c r="H46" i="175"/>
  <c r="O45" i="175"/>
  <c r="N45" i="175"/>
  <c r="H45" i="175"/>
  <c r="O44" i="175"/>
  <c r="N44" i="175"/>
  <c r="H44" i="175"/>
  <c r="O43" i="175"/>
  <c r="N43" i="175"/>
  <c r="H43" i="175"/>
  <c r="O42" i="175"/>
  <c r="N42" i="175"/>
  <c r="H42" i="175"/>
  <c r="O41" i="175"/>
  <c r="N41" i="175"/>
  <c r="H41" i="175"/>
  <c r="O40" i="175"/>
  <c r="N40" i="175"/>
  <c r="H40" i="175"/>
  <c r="O39" i="175"/>
  <c r="N39" i="175"/>
  <c r="H39" i="175"/>
  <c r="O38" i="175"/>
  <c r="N38" i="175"/>
  <c r="H38" i="175"/>
  <c r="O37" i="175"/>
  <c r="N37" i="175"/>
  <c r="H37" i="175"/>
  <c r="O36" i="175"/>
  <c r="N36" i="175"/>
  <c r="H36" i="175"/>
  <c r="O35" i="175"/>
  <c r="N35" i="175"/>
  <c r="H35" i="175"/>
  <c r="N34" i="175"/>
  <c r="H34" i="175"/>
  <c r="O33" i="175"/>
  <c r="N33" i="175"/>
  <c r="O32" i="175"/>
  <c r="N32" i="175"/>
  <c r="O31" i="175"/>
  <c r="N31" i="175"/>
  <c r="O30" i="175"/>
  <c r="N30" i="175"/>
  <c r="H30" i="175"/>
  <c r="O29" i="175"/>
  <c r="N29" i="175"/>
  <c r="H29" i="175"/>
  <c r="O28" i="175"/>
  <c r="N28" i="175"/>
  <c r="H28" i="175"/>
  <c r="O27" i="175"/>
  <c r="N27" i="175"/>
  <c r="H27" i="175"/>
  <c r="O26" i="175"/>
  <c r="N26" i="175"/>
  <c r="H26" i="175"/>
  <c r="O25" i="175"/>
  <c r="N25" i="175"/>
  <c r="H25" i="175"/>
  <c r="O24" i="175"/>
  <c r="N24" i="175"/>
  <c r="H24" i="175"/>
  <c r="O23" i="175"/>
  <c r="N23" i="175"/>
  <c r="H23" i="175"/>
  <c r="O22" i="175"/>
  <c r="N22" i="175"/>
  <c r="H22" i="175"/>
  <c r="O21" i="175"/>
  <c r="N21" i="175"/>
  <c r="H21" i="175"/>
  <c r="O20" i="175"/>
  <c r="N20" i="175"/>
  <c r="H20" i="175"/>
  <c r="O19" i="175"/>
  <c r="N19" i="175"/>
  <c r="H19" i="175"/>
  <c r="O18" i="175"/>
  <c r="N18" i="175"/>
  <c r="N17" i="175"/>
  <c r="O16" i="175"/>
  <c r="N16" i="175"/>
  <c r="O15" i="175"/>
  <c r="N15" i="175"/>
  <c r="H15" i="175"/>
  <c r="S14" i="175"/>
  <c r="O14" i="175"/>
  <c r="N14" i="175"/>
  <c r="O13" i="175"/>
  <c r="N13" i="175"/>
  <c r="H13" i="175"/>
  <c r="O12" i="175"/>
  <c r="N12" i="175"/>
  <c r="H12" i="175"/>
  <c r="O11" i="175"/>
  <c r="N11" i="175"/>
  <c r="H11" i="175"/>
  <c r="O10" i="175"/>
  <c r="N10" i="175"/>
  <c r="O9" i="175"/>
  <c r="N9" i="175"/>
  <c r="O8" i="175"/>
  <c r="N8" i="175"/>
  <c r="H8" i="175"/>
  <c r="O7" i="175"/>
  <c r="N7" i="175"/>
  <c r="O6" i="175"/>
  <c r="N6" i="175"/>
  <c r="H6" i="175"/>
  <c r="O5" i="175"/>
  <c r="N5" i="175"/>
  <c r="H5" i="175"/>
  <c r="O4" i="175"/>
  <c r="N4" i="175"/>
  <c r="H4" i="175"/>
  <c r="O3" i="175"/>
  <c r="N3" i="175"/>
  <c r="H3" i="175"/>
  <c r="O2" i="175"/>
  <c r="O229" i="175" s="1"/>
  <c r="B230" i="175" s="1"/>
  <c r="B235" i="175" s="1"/>
  <c r="B241" i="175" s="1"/>
  <c r="B254" i="175" s="1"/>
  <c r="N2" i="175"/>
  <c r="N229" i="175" s="1"/>
  <c r="H2" i="175"/>
  <c r="H229" i="175" s="1"/>
  <c r="B269" i="174"/>
  <c r="B260" i="174"/>
  <c r="B259" i="174"/>
  <c r="B273" i="174" s="1"/>
  <c r="B252" i="174"/>
  <c r="B253" i="174" s="1"/>
  <c r="B250" i="174"/>
  <c r="B249" i="174"/>
  <c r="B248" i="174"/>
  <c r="B251" i="174" s="1"/>
  <c r="B244" i="174"/>
  <c r="B242" i="174"/>
  <c r="B245" i="174" s="1"/>
  <c r="B238" i="174"/>
  <c r="B237" i="174"/>
  <c r="B236" i="174"/>
  <c r="B240" i="174" s="1"/>
  <c r="B233" i="174"/>
  <c r="B231" i="174"/>
  <c r="P229" i="174"/>
  <c r="K229" i="174"/>
  <c r="I229" i="174"/>
  <c r="N228" i="174"/>
  <c r="N227" i="174"/>
  <c r="N226" i="174"/>
  <c r="N225" i="174"/>
  <c r="N224" i="174"/>
  <c r="N223" i="174"/>
  <c r="N222" i="174"/>
  <c r="N221" i="174"/>
  <c r="N220" i="174"/>
  <c r="O219" i="174"/>
  <c r="N219" i="174"/>
  <c r="H219" i="174"/>
  <c r="O218" i="174"/>
  <c r="N218" i="174"/>
  <c r="H218" i="174"/>
  <c r="O217" i="174"/>
  <c r="N217" i="174"/>
  <c r="H217" i="174"/>
  <c r="O216" i="174"/>
  <c r="N216" i="174"/>
  <c r="H216" i="174"/>
  <c r="O215" i="174"/>
  <c r="N215" i="174"/>
  <c r="H215" i="174"/>
  <c r="O214" i="174"/>
  <c r="N214" i="174"/>
  <c r="H214" i="174"/>
  <c r="O213" i="174"/>
  <c r="N213" i="174"/>
  <c r="H213" i="174"/>
  <c r="O212" i="174"/>
  <c r="N212" i="174"/>
  <c r="H212" i="174"/>
  <c r="O211" i="174"/>
  <c r="N211" i="174"/>
  <c r="H211" i="174"/>
  <c r="O210" i="174"/>
  <c r="N210" i="174"/>
  <c r="H210" i="174"/>
  <c r="O209" i="174"/>
  <c r="N209" i="174"/>
  <c r="H209" i="174"/>
  <c r="O208" i="174"/>
  <c r="N208" i="174"/>
  <c r="H208" i="174"/>
  <c r="O207" i="174"/>
  <c r="N207" i="174"/>
  <c r="H207" i="174"/>
  <c r="O206" i="174"/>
  <c r="N206" i="174"/>
  <c r="H206" i="174"/>
  <c r="O205" i="174"/>
  <c r="N205" i="174"/>
  <c r="H205" i="174"/>
  <c r="O204" i="174"/>
  <c r="N204" i="174"/>
  <c r="H204" i="174"/>
  <c r="O203" i="174"/>
  <c r="N203" i="174"/>
  <c r="H203" i="174"/>
  <c r="O202" i="174"/>
  <c r="N202" i="174"/>
  <c r="H202" i="174"/>
  <c r="O201" i="174"/>
  <c r="N201" i="174"/>
  <c r="H201" i="174"/>
  <c r="O200" i="174"/>
  <c r="N200" i="174"/>
  <c r="H200" i="174"/>
  <c r="O199" i="174"/>
  <c r="N199" i="174"/>
  <c r="H199" i="174"/>
  <c r="O198" i="174"/>
  <c r="N198" i="174"/>
  <c r="H198" i="174"/>
  <c r="O197" i="174"/>
  <c r="N197" i="174"/>
  <c r="H197" i="174"/>
  <c r="O196" i="174"/>
  <c r="N196" i="174"/>
  <c r="H196" i="174"/>
  <c r="O195" i="174"/>
  <c r="N195" i="174"/>
  <c r="H195" i="174"/>
  <c r="O194" i="174"/>
  <c r="N194" i="174"/>
  <c r="H194" i="174"/>
  <c r="O193" i="174"/>
  <c r="N193" i="174"/>
  <c r="H193" i="174"/>
  <c r="O192" i="174"/>
  <c r="N192" i="174"/>
  <c r="O191" i="174"/>
  <c r="N191" i="174"/>
  <c r="H191" i="174"/>
  <c r="O190" i="174"/>
  <c r="N190" i="174"/>
  <c r="H190" i="174"/>
  <c r="O189" i="174"/>
  <c r="N189" i="174"/>
  <c r="H189" i="174"/>
  <c r="O188" i="174"/>
  <c r="N188" i="174"/>
  <c r="H188" i="174"/>
  <c r="O187" i="174"/>
  <c r="N187" i="174"/>
  <c r="H187" i="174"/>
  <c r="O186" i="174"/>
  <c r="N186" i="174"/>
  <c r="H186" i="174"/>
  <c r="O185" i="174"/>
  <c r="N185" i="174"/>
  <c r="H185" i="174"/>
  <c r="O184" i="174"/>
  <c r="N184" i="174"/>
  <c r="O183" i="174"/>
  <c r="N183" i="174"/>
  <c r="O182" i="174"/>
  <c r="N182" i="174"/>
  <c r="O181" i="174"/>
  <c r="N181" i="174"/>
  <c r="H181" i="174"/>
  <c r="O180" i="174"/>
  <c r="N180" i="174"/>
  <c r="H180" i="174"/>
  <c r="O179" i="174"/>
  <c r="N179" i="174"/>
  <c r="H179" i="174"/>
  <c r="O178" i="174"/>
  <c r="N178" i="174"/>
  <c r="H178" i="174"/>
  <c r="O177" i="174"/>
  <c r="N177" i="174"/>
  <c r="H177" i="174"/>
  <c r="O176" i="174"/>
  <c r="N176" i="174"/>
  <c r="H176" i="174"/>
  <c r="O175" i="174"/>
  <c r="N175" i="174"/>
  <c r="H175" i="174"/>
  <c r="O174" i="174"/>
  <c r="N174" i="174"/>
  <c r="H174" i="174"/>
  <c r="O173" i="174"/>
  <c r="N173" i="174"/>
  <c r="H173" i="174"/>
  <c r="O172" i="174"/>
  <c r="N172" i="174"/>
  <c r="H172" i="174"/>
  <c r="O171" i="174"/>
  <c r="N171" i="174"/>
  <c r="H171" i="174"/>
  <c r="O170" i="174"/>
  <c r="N170" i="174"/>
  <c r="H170" i="174"/>
  <c r="O169" i="174"/>
  <c r="N169" i="174"/>
  <c r="H169" i="174"/>
  <c r="O168" i="174"/>
  <c r="N168" i="174"/>
  <c r="O167" i="174"/>
  <c r="N167" i="174"/>
  <c r="H167" i="174"/>
  <c r="O166" i="174"/>
  <c r="N166" i="174"/>
  <c r="H166" i="174"/>
  <c r="O165" i="174"/>
  <c r="N165" i="174"/>
  <c r="H165" i="174"/>
  <c r="O164" i="174"/>
  <c r="N164" i="174"/>
  <c r="H164" i="174"/>
  <c r="O163" i="174"/>
  <c r="N163" i="174"/>
  <c r="H163" i="174"/>
  <c r="O162" i="174"/>
  <c r="N162" i="174"/>
  <c r="H162" i="174"/>
  <c r="O161" i="174"/>
  <c r="N161" i="174"/>
  <c r="H161" i="174"/>
  <c r="N160" i="174"/>
  <c r="H160" i="174"/>
  <c r="O159" i="174"/>
  <c r="N159" i="174"/>
  <c r="N158" i="174"/>
  <c r="O157" i="174"/>
  <c r="N157" i="174"/>
  <c r="H157" i="174"/>
  <c r="O156" i="174"/>
  <c r="N156" i="174"/>
  <c r="H156" i="174"/>
  <c r="O155" i="174"/>
  <c r="N155" i="174"/>
  <c r="H155" i="174"/>
  <c r="O154" i="174"/>
  <c r="N154" i="174"/>
  <c r="H154" i="174"/>
  <c r="O153" i="174"/>
  <c r="N153" i="174"/>
  <c r="H153" i="174"/>
  <c r="O152" i="174"/>
  <c r="N152" i="174"/>
  <c r="H152" i="174"/>
  <c r="O151" i="174"/>
  <c r="N151" i="174"/>
  <c r="H151" i="174"/>
  <c r="O150" i="174"/>
  <c r="N150" i="174"/>
  <c r="H150" i="174"/>
  <c r="O149" i="174"/>
  <c r="N149" i="174"/>
  <c r="H149" i="174"/>
  <c r="O148" i="174"/>
  <c r="N148" i="174"/>
  <c r="H148" i="174"/>
  <c r="O147" i="174"/>
  <c r="N147" i="174"/>
  <c r="H147" i="174"/>
  <c r="O146" i="174"/>
  <c r="N146" i="174"/>
  <c r="H146" i="174"/>
  <c r="O145" i="174"/>
  <c r="N145" i="174"/>
  <c r="H145" i="174"/>
  <c r="O144" i="174"/>
  <c r="N144" i="174"/>
  <c r="H144" i="174"/>
  <c r="O143" i="174"/>
  <c r="N143" i="174"/>
  <c r="H143" i="174"/>
  <c r="O142" i="174"/>
  <c r="N142" i="174"/>
  <c r="H142" i="174"/>
  <c r="O141" i="174"/>
  <c r="N141" i="174"/>
  <c r="H141" i="174"/>
  <c r="O140" i="174"/>
  <c r="N140" i="174"/>
  <c r="H140" i="174"/>
  <c r="O139" i="174"/>
  <c r="N139" i="174"/>
  <c r="H139" i="174"/>
  <c r="O138" i="174"/>
  <c r="N138" i="174"/>
  <c r="H138" i="174"/>
  <c r="O137" i="174"/>
  <c r="N137" i="174"/>
  <c r="H137" i="174"/>
  <c r="O136" i="174"/>
  <c r="N136" i="174"/>
  <c r="H136" i="174"/>
  <c r="O135" i="174"/>
  <c r="N135" i="174"/>
  <c r="H135" i="174"/>
  <c r="O134" i="174"/>
  <c r="N134" i="174"/>
  <c r="H134" i="174"/>
  <c r="O133" i="174"/>
  <c r="N133" i="174"/>
  <c r="H133" i="174"/>
  <c r="O132" i="174"/>
  <c r="N132" i="174"/>
  <c r="H132" i="174"/>
  <c r="O131" i="174"/>
  <c r="N131" i="174"/>
  <c r="H131" i="174"/>
  <c r="O130" i="174"/>
  <c r="N130" i="174"/>
  <c r="H130" i="174"/>
  <c r="O129" i="174"/>
  <c r="N129" i="174"/>
  <c r="H129" i="174"/>
  <c r="O128" i="174"/>
  <c r="N128" i="174"/>
  <c r="H128" i="174"/>
  <c r="O127" i="174"/>
  <c r="N127" i="174"/>
  <c r="H127" i="174"/>
  <c r="O126" i="174"/>
  <c r="N126" i="174"/>
  <c r="H126" i="174"/>
  <c r="O125" i="174"/>
  <c r="N125" i="174"/>
  <c r="H125" i="174"/>
  <c r="O124" i="174"/>
  <c r="N124" i="174"/>
  <c r="H124" i="174"/>
  <c r="O123" i="174"/>
  <c r="N123" i="174"/>
  <c r="H123" i="174"/>
  <c r="O122" i="174"/>
  <c r="N122" i="174"/>
  <c r="H122" i="174"/>
  <c r="O121" i="174"/>
  <c r="N121" i="174"/>
  <c r="H121" i="174"/>
  <c r="O120" i="174"/>
  <c r="N120" i="174"/>
  <c r="H120" i="174"/>
  <c r="O119" i="174"/>
  <c r="N119" i="174"/>
  <c r="H119" i="174"/>
  <c r="O118" i="174"/>
  <c r="N118" i="174"/>
  <c r="H118" i="174"/>
  <c r="O117" i="174"/>
  <c r="N117" i="174"/>
  <c r="H117" i="174"/>
  <c r="O116" i="174"/>
  <c r="N116" i="174"/>
  <c r="H116" i="174"/>
  <c r="O115" i="174"/>
  <c r="N115" i="174"/>
  <c r="H115" i="174"/>
  <c r="O114" i="174"/>
  <c r="N114" i="174"/>
  <c r="H114" i="174"/>
  <c r="O113" i="174"/>
  <c r="N113" i="174"/>
  <c r="H113" i="174"/>
  <c r="O112" i="174"/>
  <c r="N112" i="174"/>
  <c r="H112" i="174"/>
  <c r="O111" i="174"/>
  <c r="N111" i="174"/>
  <c r="H111" i="174"/>
  <c r="O110" i="174"/>
  <c r="N110" i="174"/>
  <c r="H110" i="174"/>
  <c r="O109" i="174"/>
  <c r="N109" i="174"/>
  <c r="H109" i="174"/>
  <c r="O108" i="174"/>
  <c r="N108" i="174"/>
  <c r="H108" i="174"/>
  <c r="O107" i="174"/>
  <c r="N107" i="174"/>
  <c r="H107" i="174"/>
  <c r="O106" i="174"/>
  <c r="N106" i="174"/>
  <c r="H106" i="174"/>
  <c r="O105" i="174"/>
  <c r="N105" i="174"/>
  <c r="H105" i="174"/>
  <c r="O104" i="174"/>
  <c r="N104" i="174"/>
  <c r="H104" i="174"/>
  <c r="O103" i="174"/>
  <c r="N103" i="174"/>
  <c r="H103" i="174"/>
  <c r="O102" i="174"/>
  <c r="N102" i="174"/>
  <c r="O101" i="174"/>
  <c r="N101" i="174"/>
  <c r="H101" i="174"/>
  <c r="O100" i="174"/>
  <c r="N100" i="174"/>
  <c r="H100" i="174"/>
  <c r="O99" i="174"/>
  <c r="N99" i="174"/>
  <c r="H99" i="174"/>
  <c r="O98" i="174"/>
  <c r="N98" i="174"/>
  <c r="H98" i="174"/>
  <c r="O97" i="174"/>
  <c r="N97" i="174"/>
  <c r="H97" i="174"/>
  <c r="O96" i="174"/>
  <c r="N96" i="174"/>
  <c r="H96" i="174"/>
  <c r="O95" i="174"/>
  <c r="N95" i="174"/>
  <c r="H95" i="174"/>
  <c r="O94" i="174"/>
  <c r="N94" i="174"/>
  <c r="H94" i="174"/>
  <c r="O93" i="174"/>
  <c r="N93" i="174"/>
  <c r="H93" i="174"/>
  <c r="N92" i="174"/>
  <c r="H92" i="174"/>
  <c r="N91" i="174"/>
  <c r="H91" i="174"/>
  <c r="N90" i="174"/>
  <c r="H90" i="174"/>
  <c r="O89" i="174"/>
  <c r="N89" i="174"/>
  <c r="H89" i="174"/>
  <c r="O88" i="174"/>
  <c r="N88" i="174"/>
  <c r="H88" i="174"/>
  <c r="O87" i="174"/>
  <c r="N87" i="174"/>
  <c r="H87" i="174"/>
  <c r="O86" i="174"/>
  <c r="N86" i="174"/>
  <c r="H86" i="174"/>
  <c r="O85" i="174"/>
  <c r="N85" i="174"/>
  <c r="H85" i="174"/>
  <c r="O84" i="174"/>
  <c r="N84" i="174"/>
  <c r="H84" i="174"/>
  <c r="O83" i="174"/>
  <c r="N83" i="174"/>
  <c r="H83" i="174"/>
  <c r="O82" i="174"/>
  <c r="N82" i="174"/>
  <c r="O81" i="174"/>
  <c r="N81" i="174"/>
  <c r="O80" i="174"/>
  <c r="N80" i="174"/>
  <c r="H80" i="174"/>
  <c r="O79" i="174"/>
  <c r="N79" i="174"/>
  <c r="H79" i="174"/>
  <c r="O78" i="174"/>
  <c r="N78" i="174"/>
  <c r="O77" i="174"/>
  <c r="N77" i="174"/>
  <c r="H77" i="174"/>
  <c r="O76" i="174"/>
  <c r="N76" i="174"/>
  <c r="H76" i="174"/>
  <c r="O75" i="174"/>
  <c r="N75" i="174"/>
  <c r="H75" i="174"/>
  <c r="O74" i="174"/>
  <c r="N74" i="174"/>
  <c r="H74" i="174"/>
  <c r="O73" i="174"/>
  <c r="N73" i="174"/>
  <c r="H73" i="174"/>
  <c r="O72" i="174"/>
  <c r="N72" i="174"/>
  <c r="H72" i="174"/>
  <c r="O71" i="174"/>
  <c r="N71" i="174"/>
  <c r="H71" i="174"/>
  <c r="O70" i="174"/>
  <c r="N70" i="174"/>
  <c r="H70" i="174"/>
  <c r="T69" i="174"/>
  <c r="T96" i="174" s="1"/>
  <c r="O69" i="174"/>
  <c r="N69" i="174"/>
  <c r="H69" i="174"/>
  <c r="O68" i="174"/>
  <c r="N68" i="174"/>
  <c r="H68" i="174"/>
  <c r="O67" i="174"/>
  <c r="N67" i="174"/>
  <c r="H67" i="174"/>
  <c r="O66" i="174"/>
  <c r="N66" i="174"/>
  <c r="H66" i="174"/>
  <c r="O65" i="174"/>
  <c r="N65" i="174"/>
  <c r="H65" i="174"/>
  <c r="O64" i="174"/>
  <c r="N64" i="174"/>
  <c r="H64" i="174"/>
  <c r="O63" i="174"/>
  <c r="N63" i="174"/>
  <c r="H63" i="174"/>
  <c r="O62" i="174"/>
  <c r="N62" i="174"/>
  <c r="H62" i="174"/>
  <c r="O61" i="174"/>
  <c r="N61" i="174"/>
  <c r="H61" i="174"/>
  <c r="O60" i="174"/>
  <c r="N60" i="174"/>
  <c r="H60" i="174"/>
  <c r="O59" i="174"/>
  <c r="N59" i="174"/>
  <c r="H59" i="174"/>
  <c r="O58" i="174"/>
  <c r="N58" i="174"/>
  <c r="H58" i="174"/>
  <c r="O57" i="174"/>
  <c r="N57" i="174"/>
  <c r="H57" i="174"/>
  <c r="O56" i="174"/>
  <c r="N56" i="174"/>
  <c r="H56" i="174"/>
  <c r="O55" i="174"/>
  <c r="N55" i="174"/>
  <c r="O54" i="174"/>
  <c r="N54" i="174"/>
  <c r="H54" i="174"/>
  <c r="O53" i="174"/>
  <c r="N53" i="174"/>
  <c r="H53" i="174"/>
  <c r="O52" i="174"/>
  <c r="N52" i="174"/>
  <c r="O51" i="174"/>
  <c r="N51" i="174"/>
  <c r="O50" i="174"/>
  <c r="N50" i="174"/>
  <c r="H50" i="174"/>
  <c r="O49" i="174"/>
  <c r="N49" i="174"/>
  <c r="H49" i="174"/>
  <c r="O48" i="174"/>
  <c r="N48" i="174"/>
  <c r="H48" i="174"/>
  <c r="O47" i="174"/>
  <c r="N47" i="174"/>
  <c r="H47" i="174"/>
  <c r="O46" i="174"/>
  <c r="N46" i="174"/>
  <c r="H46" i="174"/>
  <c r="O45" i="174"/>
  <c r="N45" i="174"/>
  <c r="H45" i="174"/>
  <c r="O44" i="174"/>
  <c r="N44" i="174"/>
  <c r="H44" i="174"/>
  <c r="O43" i="174"/>
  <c r="N43" i="174"/>
  <c r="H43" i="174"/>
  <c r="O42" i="174"/>
  <c r="N42" i="174"/>
  <c r="H42" i="174"/>
  <c r="O41" i="174"/>
  <c r="N41" i="174"/>
  <c r="H41" i="174"/>
  <c r="O40" i="174"/>
  <c r="N40" i="174"/>
  <c r="H40" i="174"/>
  <c r="O39" i="174"/>
  <c r="N39" i="174"/>
  <c r="H39" i="174"/>
  <c r="O38" i="174"/>
  <c r="N38" i="174"/>
  <c r="H38" i="174"/>
  <c r="O37" i="174"/>
  <c r="N37" i="174"/>
  <c r="H37" i="174"/>
  <c r="O36" i="174"/>
  <c r="N36" i="174"/>
  <c r="H36" i="174"/>
  <c r="O35" i="174"/>
  <c r="N35" i="174"/>
  <c r="H35" i="174"/>
  <c r="N34" i="174"/>
  <c r="H34" i="174"/>
  <c r="O33" i="174"/>
  <c r="N33" i="174"/>
  <c r="O32" i="174"/>
  <c r="N32" i="174"/>
  <c r="O31" i="174"/>
  <c r="N31" i="174"/>
  <c r="O30" i="174"/>
  <c r="N30" i="174"/>
  <c r="H30" i="174"/>
  <c r="O29" i="174"/>
  <c r="N29" i="174"/>
  <c r="H29" i="174"/>
  <c r="O28" i="174"/>
  <c r="N28" i="174"/>
  <c r="H28" i="174"/>
  <c r="O27" i="174"/>
  <c r="N27" i="174"/>
  <c r="H27" i="174"/>
  <c r="O26" i="174"/>
  <c r="N26" i="174"/>
  <c r="H26" i="174"/>
  <c r="O25" i="174"/>
  <c r="N25" i="174"/>
  <c r="H25" i="174"/>
  <c r="O24" i="174"/>
  <c r="N24" i="174"/>
  <c r="H24" i="174"/>
  <c r="O23" i="174"/>
  <c r="N23" i="174"/>
  <c r="H23" i="174"/>
  <c r="O22" i="174"/>
  <c r="N22" i="174"/>
  <c r="H22" i="174"/>
  <c r="O21" i="174"/>
  <c r="N21" i="174"/>
  <c r="H21" i="174"/>
  <c r="O20" i="174"/>
  <c r="N20" i="174"/>
  <c r="H20" i="174"/>
  <c r="O19" i="174"/>
  <c r="N19" i="174"/>
  <c r="H19" i="174"/>
  <c r="O18" i="174"/>
  <c r="N18" i="174"/>
  <c r="N17" i="174"/>
  <c r="O16" i="174"/>
  <c r="N16" i="174"/>
  <c r="O15" i="174"/>
  <c r="N15" i="174"/>
  <c r="H15" i="174"/>
  <c r="S14" i="174"/>
  <c r="O14" i="174"/>
  <c r="N14" i="174"/>
  <c r="O13" i="174"/>
  <c r="N13" i="174"/>
  <c r="H13" i="174"/>
  <c r="O12" i="174"/>
  <c r="N12" i="174"/>
  <c r="H12" i="174"/>
  <c r="O11" i="174"/>
  <c r="N11" i="174"/>
  <c r="H11" i="174"/>
  <c r="O10" i="174"/>
  <c r="N10" i="174"/>
  <c r="O9" i="174"/>
  <c r="N9" i="174"/>
  <c r="O8" i="174"/>
  <c r="N8" i="174"/>
  <c r="H8" i="174"/>
  <c r="O7" i="174"/>
  <c r="N7" i="174"/>
  <c r="H7" i="174"/>
  <c r="O6" i="174"/>
  <c r="N6" i="174"/>
  <c r="H6" i="174"/>
  <c r="O5" i="174"/>
  <c r="N5" i="174"/>
  <c r="H5" i="174"/>
  <c r="O4" i="174"/>
  <c r="N4" i="174"/>
  <c r="H4" i="174"/>
  <c r="O3" i="174"/>
  <c r="N3" i="174"/>
  <c r="H3" i="174"/>
  <c r="O2" i="174"/>
  <c r="O229" i="174" s="1"/>
  <c r="B230" i="174" s="1"/>
  <c r="B235" i="174" s="1"/>
  <c r="B241" i="174" s="1"/>
  <c r="B254" i="174" s="1"/>
  <c r="N2" i="174"/>
  <c r="N229" i="174" s="1"/>
  <c r="H2" i="174"/>
  <c r="H229" i="174" s="1"/>
  <c r="B269" i="173"/>
  <c r="B260" i="173"/>
  <c r="B259" i="173"/>
  <c r="B273" i="173" s="1"/>
  <c r="B252" i="173"/>
  <c r="B253" i="173" s="1"/>
  <c r="B250" i="173"/>
  <c r="B249" i="173"/>
  <c r="B248" i="173"/>
  <c r="B251" i="173" s="1"/>
  <c r="B244" i="173"/>
  <c r="B242" i="173"/>
  <c r="B245" i="173" s="1"/>
  <c r="B238" i="173"/>
  <c r="B237" i="173"/>
  <c r="B236" i="173"/>
  <c r="B240" i="173" s="1"/>
  <c r="B233" i="173"/>
  <c r="B231" i="173"/>
  <c r="P229" i="173"/>
  <c r="K229" i="173"/>
  <c r="I229" i="173"/>
  <c r="N228" i="173"/>
  <c r="N227" i="173"/>
  <c r="N226" i="173"/>
  <c r="N225" i="173"/>
  <c r="N224" i="173"/>
  <c r="N223" i="173"/>
  <c r="N222" i="173"/>
  <c r="N221" i="173"/>
  <c r="N220" i="173"/>
  <c r="O219" i="173"/>
  <c r="N219" i="173"/>
  <c r="H219" i="173"/>
  <c r="O218" i="173"/>
  <c r="N218" i="173"/>
  <c r="H218" i="173"/>
  <c r="O217" i="173"/>
  <c r="N217" i="173"/>
  <c r="H217" i="173"/>
  <c r="O216" i="173"/>
  <c r="N216" i="173"/>
  <c r="H216" i="173"/>
  <c r="O215" i="173"/>
  <c r="N215" i="173"/>
  <c r="H215" i="173"/>
  <c r="O214" i="173"/>
  <c r="N214" i="173"/>
  <c r="H214" i="173"/>
  <c r="O213" i="173"/>
  <c r="N213" i="173"/>
  <c r="H213" i="173"/>
  <c r="O212" i="173"/>
  <c r="N212" i="173"/>
  <c r="H212" i="173"/>
  <c r="O211" i="173"/>
  <c r="N211" i="173"/>
  <c r="H211" i="173"/>
  <c r="O210" i="173"/>
  <c r="N210" i="173"/>
  <c r="H210" i="173"/>
  <c r="O209" i="173"/>
  <c r="N209" i="173"/>
  <c r="H209" i="173"/>
  <c r="O208" i="173"/>
  <c r="N208" i="173"/>
  <c r="H208" i="173"/>
  <c r="O207" i="173"/>
  <c r="N207" i="173"/>
  <c r="H207" i="173"/>
  <c r="O206" i="173"/>
  <c r="N206" i="173"/>
  <c r="H206" i="173"/>
  <c r="O205" i="173"/>
  <c r="N205" i="173"/>
  <c r="H205" i="173"/>
  <c r="O204" i="173"/>
  <c r="N204" i="173"/>
  <c r="H204" i="173"/>
  <c r="O203" i="173"/>
  <c r="N203" i="173"/>
  <c r="H203" i="173"/>
  <c r="O202" i="173"/>
  <c r="N202" i="173"/>
  <c r="H202" i="173"/>
  <c r="O201" i="173"/>
  <c r="N201" i="173"/>
  <c r="H201" i="173"/>
  <c r="O200" i="173"/>
  <c r="N200" i="173"/>
  <c r="H200" i="173"/>
  <c r="O199" i="173"/>
  <c r="N199" i="173"/>
  <c r="H199" i="173"/>
  <c r="O198" i="173"/>
  <c r="N198" i="173"/>
  <c r="H198" i="173"/>
  <c r="O197" i="173"/>
  <c r="N197" i="173"/>
  <c r="H197" i="173"/>
  <c r="O196" i="173"/>
  <c r="N196" i="173"/>
  <c r="H196" i="173"/>
  <c r="O195" i="173"/>
  <c r="N195" i="173"/>
  <c r="H195" i="173"/>
  <c r="O194" i="173"/>
  <c r="N194" i="173"/>
  <c r="H194" i="173"/>
  <c r="O193" i="173"/>
  <c r="N193" i="173"/>
  <c r="H193" i="173"/>
  <c r="O192" i="173"/>
  <c r="N192" i="173"/>
  <c r="O191" i="173"/>
  <c r="N191" i="173"/>
  <c r="H191" i="173"/>
  <c r="O190" i="173"/>
  <c r="N190" i="173"/>
  <c r="H190" i="173"/>
  <c r="O189" i="173"/>
  <c r="N189" i="173"/>
  <c r="H189" i="173"/>
  <c r="O188" i="173"/>
  <c r="N188" i="173"/>
  <c r="H188" i="173"/>
  <c r="O187" i="173"/>
  <c r="N187" i="173"/>
  <c r="H187" i="173"/>
  <c r="O186" i="173"/>
  <c r="N186" i="173"/>
  <c r="H186" i="173"/>
  <c r="O185" i="173"/>
  <c r="N185" i="173"/>
  <c r="H185" i="173"/>
  <c r="O184" i="173"/>
  <c r="N184" i="173"/>
  <c r="O183" i="173"/>
  <c r="N183" i="173"/>
  <c r="O182" i="173"/>
  <c r="N182" i="173"/>
  <c r="O181" i="173"/>
  <c r="N181" i="173"/>
  <c r="H181" i="173"/>
  <c r="O180" i="173"/>
  <c r="N180" i="173"/>
  <c r="H180" i="173"/>
  <c r="O179" i="173"/>
  <c r="N179" i="173"/>
  <c r="H179" i="173"/>
  <c r="O178" i="173"/>
  <c r="N178" i="173"/>
  <c r="H178" i="173"/>
  <c r="O177" i="173"/>
  <c r="N177" i="173"/>
  <c r="H177" i="173"/>
  <c r="O176" i="173"/>
  <c r="N176" i="173"/>
  <c r="H176" i="173"/>
  <c r="O175" i="173"/>
  <c r="N175" i="173"/>
  <c r="H175" i="173"/>
  <c r="O174" i="173"/>
  <c r="N174" i="173"/>
  <c r="H174" i="173"/>
  <c r="O173" i="173"/>
  <c r="N173" i="173"/>
  <c r="H173" i="173"/>
  <c r="O172" i="173"/>
  <c r="N172" i="173"/>
  <c r="H172" i="173"/>
  <c r="O171" i="173"/>
  <c r="N171" i="173"/>
  <c r="H171" i="173"/>
  <c r="O170" i="173"/>
  <c r="N170" i="173"/>
  <c r="H170" i="173"/>
  <c r="O169" i="173"/>
  <c r="N169" i="173"/>
  <c r="H169" i="173"/>
  <c r="O168" i="173"/>
  <c r="N168" i="173"/>
  <c r="O167" i="173"/>
  <c r="N167" i="173"/>
  <c r="H167" i="173"/>
  <c r="O166" i="173"/>
  <c r="N166" i="173"/>
  <c r="H166" i="173"/>
  <c r="O165" i="173"/>
  <c r="N165" i="173"/>
  <c r="H165" i="173"/>
  <c r="O164" i="173"/>
  <c r="N164" i="173"/>
  <c r="H164" i="173"/>
  <c r="O163" i="173"/>
  <c r="N163" i="173"/>
  <c r="H163" i="173"/>
  <c r="O162" i="173"/>
  <c r="N162" i="173"/>
  <c r="H162" i="173"/>
  <c r="O161" i="173"/>
  <c r="N161" i="173"/>
  <c r="H161" i="173"/>
  <c r="N160" i="173"/>
  <c r="H160" i="173"/>
  <c r="O159" i="173"/>
  <c r="N159" i="173"/>
  <c r="N158" i="173"/>
  <c r="O157" i="173"/>
  <c r="N157" i="173"/>
  <c r="H157" i="173"/>
  <c r="O156" i="173"/>
  <c r="N156" i="173"/>
  <c r="H156" i="173"/>
  <c r="O155" i="173"/>
  <c r="N155" i="173"/>
  <c r="H155" i="173"/>
  <c r="O154" i="173"/>
  <c r="N154" i="173"/>
  <c r="H154" i="173"/>
  <c r="O153" i="173"/>
  <c r="N153" i="173"/>
  <c r="H153" i="173"/>
  <c r="O152" i="173"/>
  <c r="N152" i="173"/>
  <c r="H152" i="173"/>
  <c r="O151" i="173"/>
  <c r="N151" i="173"/>
  <c r="H151" i="173"/>
  <c r="O150" i="173"/>
  <c r="N150" i="173"/>
  <c r="H150" i="173"/>
  <c r="O149" i="173"/>
  <c r="N149" i="173"/>
  <c r="H149" i="173"/>
  <c r="O148" i="173"/>
  <c r="N148" i="173"/>
  <c r="H148" i="173"/>
  <c r="O147" i="173"/>
  <c r="N147" i="173"/>
  <c r="H147" i="173"/>
  <c r="O146" i="173"/>
  <c r="N146" i="173"/>
  <c r="H146" i="173"/>
  <c r="O145" i="173"/>
  <c r="N145" i="173"/>
  <c r="H145" i="173"/>
  <c r="O144" i="173"/>
  <c r="N144" i="173"/>
  <c r="H144" i="173"/>
  <c r="O143" i="173"/>
  <c r="N143" i="173"/>
  <c r="H143" i="173"/>
  <c r="O142" i="173"/>
  <c r="N142" i="173"/>
  <c r="H142" i="173"/>
  <c r="O141" i="173"/>
  <c r="N141" i="173"/>
  <c r="H141" i="173"/>
  <c r="O140" i="173"/>
  <c r="N140" i="173"/>
  <c r="H140" i="173"/>
  <c r="O139" i="173"/>
  <c r="N139" i="173"/>
  <c r="H139" i="173"/>
  <c r="O138" i="173"/>
  <c r="N138" i="173"/>
  <c r="H138" i="173"/>
  <c r="O137" i="173"/>
  <c r="N137" i="173"/>
  <c r="H137" i="173"/>
  <c r="O136" i="173"/>
  <c r="N136" i="173"/>
  <c r="H136" i="173"/>
  <c r="O135" i="173"/>
  <c r="N135" i="173"/>
  <c r="H135" i="173"/>
  <c r="O134" i="173"/>
  <c r="N134" i="173"/>
  <c r="H134" i="173"/>
  <c r="O133" i="173"/>
  <c r="N133" i="173"/>
  <c r="H133" i="173"/>
  <c r="O132" i="173"/>
  <c r="N132" i="173"/>
  <c r="H132" i="173"/>
  <c r="O131" i="173"/>
  <c r="N131" i="173"/>
  <c r="H131" i="173"/>
  <c r="O130" i="173"/>
  <c r="N130" i="173"/>
  <c r="H130" i="173"/>
  <c r="O129" i="173"/>
  <c r="N129" i="173"/>
  <c r="H129" i="173"/>
  <c r="O128" i="173"/>
  <c r="N128" i="173"/>
  <c r="H128" i="173"/>
  <c r="O127" i="173"/>
  <c r="N127" i="173"/>
  <c r="H127" i="173"/>
  <c r="O126" i="173"/>
  <c r="N126" i="173"/>
  <c r="H126" i="173"/>
  <c r="O125" i="173"/>
  <c r="N125" i="173"/>
  <c r="H125" i="173"/>
  <c r="O124" i="173"/>
  <c r="N124" i="173"/>
  <c r="H124" i="173"/>
  <c r="O123" i="173"/>
  <c r="N123" i="173"/>
  <c r="H123" i="173"/>
  <c r="O122" i="173"/>
  <c r="N122" i="173"/>
  <c r="H122" i="173"/>
  <c r="O121" i="173"/>
  <c r="N121" i="173"/>
  <c r="H121" i="173"/>
  <c r="O120" i="173"/>
  <c r="N120" i="173"/>
  <c r="H120" i="173"/>
  <c r="O119" i="173"/>
  <c r="N119" i="173"/>
  <c r="H119" i="173"/>
  <c r="O118" i="173"/>
  <c r="N118" i="173"/>
  <c r="H118" i="173"/>
  <c r="O117" i="173"/>
  <c r="N117" i="173"/>
  <c r="H117" i="173"/>
  <c r="O116" i="173"/>
  <c r="N116" i="173"/>
  <c r="H116" i="173"/>
  <c r="O115" i="173"/>
  <c r="N115" i="173"/>
  <c r="H115" i="173"/>
  <c r="O114" i="173"/>
  <c r="N114" i="173"/>
  <c r="H114" i="173"/>
  <c r="O113" i="173"/>
  <c r="N113" i="173"/>
  <c r="H113" i="173"/>
  <c r="O112" i="173"/>
  <c r="N112" i="173"/>
  <c r="H112" i="173"/>
  <c r="O111" i="173"/>
  <c r="N111" i="173"/>
  <c r="H111" i="173"/>
  <c r="O110" i="173"/>
  <c r="N110" i="173"/>
  <c r="H110" i="173"/>
  <c r="O109" i="173"/>
  <c r="N109" i="173"/>
  <c r="H109" i="173"/>
  <c r="O108" i="173"/>
  <c r="N108" i="173"/>
  <c r="H108" i="173"/>
  <c r="O107" i="173"/>
  <c r="N107" i="173"/>
  <c r="H107" i="173"/>
  <c r="O106" i="173"/>
  <c r="N106" i="173"/>
  <c r="H106" i="173"/>
  <c r="O105" i="173"/>
  <c r="N105" i="173"/>
  <c r="H105" i="173"/>
  <c r="O104" i="173"/>
  <c r="N104" i="173"/>
  <c r="H104" i="173"/>
  <c r="O103" i="173"/>
  <c r="N103" i="173"/>
  <c r="H103" i="173"/>
  <c r="O102" i="173"/>
  <c r="N102" i="173"/>
  <c r="H102" i="173"/>
  <c r="O101" i="173"/>
  <c r="N101" i="173"/>
  <c r="H101" i="173"/>
  <c r="O100" i="173"/>
  <c r="N100" i="173"/>
  <c r="H100" i="173"/>
  <c r="O99" i="173"/>
  <c r="N99" i="173"/>
  <c r="H99" i="173"/>
  <c r="O98" i="173"/>
  <c r="N98" i="173"/>
  <c r="H98" i="173"/>
  <c r="O97" i="173"/>
  <c r="N97" i="173"/>
  <c r="H97" i="173"/>
  <c r="O96" i="173"/>
  <c r="N96" i="173"/>
  <c r="H96" i="173"/>
  <c r="O95" i="173"/>
  <c r="N95" i="173"/>
  <c r="H95" i="173"/>
  <c r="O94" i="173"/>
  <c r="N94" i="173"/>
  <c r="H94" i="173"/>
  <c r="O93" i="173"/>
  <c r="N93" i="173"/>
  <c r="H93" i="173"/>
  <c r="N92" i="173"/>
  <c r="H92" i="173"/>
  <c r="N91" i="173"/>
  <c r="H91" i="173"/>
  <c r="N90" i="173"/>
  <c r="H90" i="173"/>
  <c r="O89" i="173"/>
  <c r="N89" i="173"/>
  <c r="H89" i="173"/>
  <c r="O88" i="173"/>
  <c r="N88" i="173"/>
  <c r="H88" i="173"/>
  <c r="O87" i="173"/>
  <c r="N87" i="173"/>
  <c r="H87" i="173"/>
  <c r="O86" i="173"/>
  <c r="N86" i="173"/>
  <c r="H86" i="173"/>
  <c r="O85" i="173"/>
  <c r="N85" i="173"/>
  <c r="H85" i="173"/>
  <c r="O84" i="173"/>
  <c r="N84" i="173"/>
  <c r="H84" i="173"/>
  <c r="O83" i="173"/>
  <c r="N83" i="173"/>
  <c r="H83" i="173"/>
  <c r="O82" i="173"/>
  <c r="N82" i="173"/>
  <c r="O81" i="173"/>
  <c r="N81" i="173"/>
  <c r="O80" i="173"/>
  <c r="N80" i="173"/>
  <c r="H80" i="173"/>
  <c r="O79" i="173"/>
  <c r="N79" i="173"/>
  <c r="H79" i="173"/>
  <c r="O78" i="173"/>
  <c r="N78" i="173"/>
  <c r="O77" i="173"/>
  <c r="N77" i="173"/>
  <c r="H77" i="173"/>
  <c r="O76" i="173"/>
  <c r="N76" i="173"/>
  <c r="H76" i="173"/>
  <c r="O75" i="173"/>
  <c r="N75" i="173"/>
  <c r="H75" i="173"/>
  <c r="O74" i="173"/>
  <c r="N74" i="173"/>
  <c r="H74" i="173"/>
  <c r="O73" i="173"/>
  <c r="N73" i="173"/>
  <c r="H73" i="173"/>
  <c r="O72" i="173"/>
  <c r="N72" i="173"/>
  <c r="H72" i="173"/>
  <c r="O71" i="173"/>
  <c r="N71" i="173"/>
  <c r="H71" i="173"/>
  <c r="O70" i="173"/>
  <c r="N70" i="173"/>
  <c r="H70" i="173"/>
  <c r="T69" i="173"/>
  <c r="T96" i="173" s="1"/>
  <c r="O69" i="173"/>
  <c r="N69" i="173"/>
  <c r="H69" i="173"/>
  <c r="O68" i="173"/>
  <c r="N68" i="173"/>
  <c r="H68" i="173"/>
  <c r="O67" i="173"/>
  <c r="N67" i="173"/>
  <c r="H67" i="173"/>
  <c r="O66" i="173"/>
  <c r="N66" i="173"/>
  <c r="H66" i="173"/>
  <c r="O65" i="173"/>
  <c r="N65" i="173"/>
  <c r="H65" i="173"/>
  <c r="O64" i="173"/>
  <c r="N64" i="173"/>
  <c r="H64" i="173"/>
  <c r="O63" i="173"/>
  <c r="N63" i="173"/>
  <c r="H63" i="173"/>
  <c r="O62" i="173"/>
  <c r="N62" i="173"/>
  <c r="H62" i="173"/>
  <c r="O61" i="173"/>
  <c r="N61" i="173"/>
  <c r="H61" i="173"/>
  <c r="O60" i="173"/>
  <c r="N60" i="173"/>
  <c r="H60" i="173"/>
  <c r="O59" i="173"/>
  <c r="N59" i="173"/>
  <c r="H59" i="173"/>
  <c r="O58" i="173"/>
  <c r="N58" i="173"/>
  <c r="H58" i="173"/>
  <c r="O57" i="173"/>
  <c r="N57" i="173"/>
  <c r="H57" i="173"/>
  <c r="O56" i="173"/>
  <c r="N56" i="173"/>
  <c r="H56" i="173"/>
  <c r="O55" i="173"/>
  <c r="N55" i="173"/>
  <c r="O54" i="173"/>
  <c r="N54" i="173"/>
  <c r="H54" i="173"/>
  <c r="O53" i="173"/>
  <c r="N53" i="173"/>
  <c r="H53" i="173"/>
  <c r="O52" i="173"/>
  <c r="N52" i="173"/>
  <c r="O51" i="173"/>
  <c r="N51" i="173"/>
  <c r="O50" i="173"/>
  <c r="N50" i="173"/>
  <c r="H50" i="173"/>
  <c r="O49" i="173"/>
  <c r="N49" i="173"/>
  <c r="H49" i="173"/>
  <c r="O48" i="173"/>
  <c r="N48" i="173"/>
  <c r="H48" i="173"/>
  <c r="O47" i="173"/>
  <c r="N47" i="173"/>
  <c r="H47" i="173"/>
  <c r="O46" i="173"/>
  <c r="N46" i="173"/>
  <c r="H46" i="173"/>
  <c r="O45" i="173"/>
  <c r="N45" i="173"/>
  <c r="H45" i="173"/>
  <c r="O44" i="173"/>
  <c r="N44" i="173"/>
  <c r="H44" i="173"/>
  <c r="O43" i="173"/>
  <c r="N43" i="173"/>
  <c r="H43" i="173"/>
  <c r="O42" i="173"/>
  <c r="N42" i="173"/>
  <c r="H42" i="173"/>
  <c r="O41" i="173"/>
  <c r="N41" i="173"/>
  <c r="H41" i="173"/>
  <c r="O40" i="173"/>
  <c r="N40" i="173"/>
  <c r="H40" i="173"/>
  <c r="O39" i="173"/>
  <c r="N39" i="173"/>
  <c r="H39" i="173"/>
  <c r="O38" i="173"/>
  <c r="N38" i="173"/>
  <c r="H38" i="173"/>
  <c r="O37" i="173"/>
  <c r="N37" i="173"/>
  <c r="H37" i="173"/>
  <c r="O36" i="173"/>
  <c r="N36" i="173"/>
  <c r="H36" i="173"/>
  <c r="O35" i="173"/>
  <c r="N35" i="173"/>
  <c r="H35" i="173"/>
  <c r="N34" i="173"/>
  <c r="H34" i="173"/>
  <c r="O33" i="173"/>
  <c r="N33" i="173"/>
  <c r="O32" i="173"/>
  <c r="N32" i="173"/>
  <c r="O31" i="173"/>
  <c r="N31" i="173"/>
  <c r="O30" i="173"/>
  <c r="N30" i="173"/>
  <c r="H30" i="173"/>
  <c r="O29" i="173"/>
  <c r="N29" i="173"/>
  <c r="H29" i="173"/>
  <c r="O28" i="173"/>
  <c r="N28" i="173"/>
  <c r="H28" i="173"/>
  <c r="O27" i="173"/>
  <c r="N27" i="173"/>
  <c r="H27" i="173"/>
  <c r="O26" i="173"/>
  <c r="N26" i="173"/>
  <c r="H26" i="173"/>
  <c r="O25" i="173"/>
  <c r="N25" i="173"/>
  <c r="H25" i="173"/>
  <c r="O24" i="173"/>
  <c r="N24" i="173"/>
  <c r="H24" i="173"/>
  <c r="O23" i="173"/>
  <c r="N23" i="173"/>
  <c r="H23" i="173"/>
  <c r="O22" i="173"/>
  <c r="N22" i="173"/>
  <c r="H22" i="173"/>
  <c r="O21" i="173"/>
  <c r="N21" i="173"/>
  <c r="H21" i="173"/>
  <c r="O20" i="173"/>
  <c r="N20" i="173"/>
  <c r="H20" i="173"/>
  <c r="O19" i="173"/>
  <c r="N19" i="173"/>
  <c r="H19" i="173"/>
  <c r="O18" i="173"/>
  <c r="N18" i="173"/>
  <c r="N17" i="173"/>
  <c r="O16" i="173"/>
  <c r="N16" i="173"/>
  <c r="O15" i="173"/>
  <c r="N15" i="173"/>
  <c r="H15" i="173"/>
  <c r="S14" i="173"/>
  <c r="O14" i="173"/>
  <c r="N14" i="173"/>
  <c r="O13" i="173"/>
  <c r="N13" i="173"/>
  <c r="H13" i="173"/>
  <c r="O12" i="173"/>
  <c r="N12" i="173"/>
  <c r="H12" i="173"/>
  <c r="O11" i="173"/>
  <c r="N11" i="173"/>
  <c r="H11" i="173"/>
  <c r="O10" i="173"/>
  <c r="N10" i="173"/>
  <c r="O9" i="173"/>
  <c r="N9" i="173"/>
  <c r="O8" i="173"/>
  <c r="N8" i="173"/>
  <c r="H8" i="173"/>
  <c r="O7" i="173"/>
  <c r="N7" i="173"/>
  <c r="H7" i="173"/>
  <c r="O6" i="173"/>
  <c r="N6" i="173"/>
  <c r="H6" i="173"/>
  <c r="O5" i="173"/>
  <c r="N5" i="173"/>
  <c r="H5" i="173"/>
  <c r="O4" i="173"/>
  <c r="N4" i="173"/>
  <c r="H4" i="173"/>
  <c r="O3" i="173"/>
  <c r="N3" i="173"/>
  <c r="H3" i="173"/>
  <c r="O2" i="173"/>
  <c r="O229" i="173" s="1"/>
  <c r="B230" i="173" s="1"/>
  <c r="B235" i="173" s="1"/>
  <c r="B241" i="173" s="1"/>
  <c r="B254" i="173" s="1"/>
  <c r="N2" i="173"/>
  <c r="N229" i="173" s="1"/>
  <c r="H2" i="173"/>
  <c r="H229" i="173" s="1"/>
  <c r="H36" i="172"/>
  <c r="H35" i="163"/>
  <c r="B252" i="172"/>
  <c r="B250" i="172"/>
  <c r="B249" i="172"/>
  <c r="B242" i="172"/>
  <c r="B238" i="172"/>
  <c r="B237" i="172"/>
  <c r="B236" i="172"/>
  <c r="B233" i="172"/>
  <c r="B231" i="172"/>
  <c r="B269" i="172"/>
  <c r="B260" i="172"/>
  <c r="B259" i="172"/>
  <c r="B273" i="172" s="1"/>
  <c r="B253" i="172"/>
  <c r="B248" i="172"/>
  <c r="B251" i="172" s="1"/>
  <c r="B244" i="172"/>
  <c r="B245" i="172"/>
  <c r="B240" i="172"/>
  <c r="P229" i="172"/>
  <c r="K229" i="172"/>
  <c r="I229" i="172"/>
  <c r="N228" i="172"/>
  <c r="N227" i="172"/>
  <c r="N226" i="172"/>
  <c r="N225" i="172"/>
  <c r="N224" i="172"/>
  <c r="N223" i="172"/>
  <c r="N222" i="172"/>
  <c r="N221" i="172"/>
  <c r="N220" i="172"/>
  <c r="O219" i="172"/>
  <c r="N219" i="172"/>
  <c r="H219" i="172"/>
  <c r="O218" i="172"/>
  <c r="N218" i="172"/>
  <c r="H218" i="172"/>
  <c r="O217" i="172"/>
  <c r="N217" i="172"/>
  <c r="H217" i="172"/>
  <c r="O216" i="172"/>
  <c r="N216" i="172"/>
  <c r="H216" i="172"/>
  <c r="O215" i="172"/>
  <c r="N215" i="172"/>
  <c r="H215" i="172"/>
  <c r="O214" i="172"/>
  <c r="N214" i="172"/>
  <c r="H214" i="172"/>
  <c r="O213" i="172"/>
  <c r="N213" i="172"/>
  <c r="H213" i="172"/>
  <c r="O212" i="172"/>
  <c r="N212" i="172"/>
  <c r="H212" i="172"/>
  <c r="O211" i="172"/>
  <c r="N211" i="172"/>
  <c r="H211" i="172"/>
  <c r="O210" i="172"/>
  <c r="N210" i="172"/>
  <c r="H210" i="172"/>
  <c r="O209" i="172"/>
  <c r="N209" i="172"/>
  <c r="H209" i="172"/>
  <c r="O208" i="172"/>
  <c r="N208" i="172"/>
  <c r="H208" i="172"/>
  <c r="O207" i="172"/>
  <c r="N207" i="172"/>
  <c r="H207" i="172"/>
  <c r="O206" i="172"/>
  <c r="N206" i="172"/>
  <c r="H206" i="172"/>
  <c r="O205" i="172"/>
  <c r="N205" i="172"/>
  <c r="H205" i="172"/>
  <c r="O204" i="172"/>
  <c r="N204" i="172"/>
  <c r="H204" i="172"/>
  <c r="O203" i="172"/>
  <c r="N203" i="172"/>
  <c r="H203" i="172"/>
  <c r="O202" i="172"/>
  <c r="N202" i="172"/>
  <c r="H202" i="172"/>
  <c r="O201" i="172"/>
  <c r="N201" i="172"/>
  <c r="H201" i="172"/>
  <c r="O200" i="172"/>
  <c r="N200" i="172"/>
  <c r="H200" i="172"/>
  <c r="O199" i="172"/>
  <c r="N199" i="172"/>
  <c r="H199" i="172"/>
  <c r="O198" i="172"/>
  <c r="N198" i="172"/>
  <c r="H198" i="172"/>
  <c r="O197" i="172"/>
  <c r="N197" i="172"/>
  <c r="H197" i="172"/>
  <c r="O196" i="172"/>
  <c r="N196" i="172"/>
  <c r="H196" i="172"/>
  <c r="O195" i="172"/>
  <c r="N195" i="172"/>
  <c r="H195" i="172"/>
  <c r="O194" i="172"/>
  <c r="N194" i="172"/>
  <c r="H194" i="172"/>
  <c r="O193" i="172"/>
  <c r="N193" i="172"/>
  <c r="H193" i="172"/>
  <c r="O192" i="172"/>
  <c r="N192" i="172"/>
  <c r="O191" i="172"/>
  <c r="N191" i="172"/>
  <c r="H191" i="172"/>
  <c r="O190" i="172"/>
  <c r="N190" i="172"/>
  <c r="H190" i="172"/>
  <c r="O189" i="172"/>
  <c r="N189" i="172"/>
  <c r="H189" i="172"/>
  <c r="O188" i="172"/>
  <c r="N188" i="172"/>
  <c r="H188" i="172"/>
  <c r="O187" i="172"/>
  <c r="N187" i="172"/>
  <c r="H187" i="172"/>
  <c r="O186" i="172"/>
  <c r="N186" i="172"/>
  <c r="H186" i="172"/>
  <c r="O185" i="172"/>
  <c r="N185" i="172"/>
  <c r="H185" i="172"/>
  <c r="O184" i="172"/>
  <c r="N184" i="172"/>
  <c r="O183" i="172"/>
  <c r="N183" i="172"/>
  <c r="O182" i="172"/>
  <c r="N182" i="172"/>
  <c r="O181" i="172"/>
  <c r="N181" i="172"/>
  <c r="H181" i="172"/>
  <c r="O180" i="172"/>
  <c r="N180" i="172"/>
  <c r="H180" i="172"/>
  <c r="O179" i="172"/>
  <c r="N179" i="172"/>
  <c r="H179" i="172"/>
  <c r="O178" i="172"/>
  <c r="N178" i="172"/>
  <c r="H178" i="172"/>
  <c r="O177" i="172"/>
  <c r="N177" i="172"/>
  <c r="H177" i="172"/>
  <c r="O176" i="172"/>
  <c r="N176" i="172"/>
  <c r="H176" i="172"/>
  <c r="O175" i="172"/>
  <c r="N175" i="172"/>
  <c r="H175" i="172"/>
  <c r="O174" i="172"/>
  <c r="N174" i="172"/>
  <c r="H174" i="172"/>
  <c r="O173" i="172"/>
  <c r="N173" i="172"/>
  <c r="H173" i="172"/>
  <c r="O172" i="172"/>
  <c r="N172" i="172"/>
  <c r="H172" i="172"/>
  <c r="O171" i="172"/>
  <c r="N171" i="172"/>
  <c r="H171" i="172"/>
  <c r="O170" i="172"/>
  <c r="N170" i="172"/>
  <c r="H170" i="172"/>
  <c r="O169" i="172"/>
  <c r="N169" i="172"/>
  <c r="H169" i="172"/>
  <c r="O168" i="172"/>
  <c r="N168" i="172"/>
  <c r="O167" i="172"/>
  <c r="N167" i="172"/>
  <c r="H167" i="172"/>
  <c r="O166" i="172"/>
  <c r="N166" i="172"/>
  <c r="H166" i="172"/>
  <c r="O165" i="172"/>
  <c r="N165" i="172"/>
  <c r="H165" i="172"/>
  <c r="O164" i="172"/>
  <c r="N164" i="172"/>
  <c r="H164" i="172"/>
  <c r="O163" i="172"/>
  <c r="N163" i="172"/>
  <c r="H163" i="172"/>
  <c r="O162" i="172"/>
  <c r="N162" i="172"/>
  <c r="H162" i="172"/>
  <c r="O161" i="172"/>
  <c r="N161" i="172"/>
  <c r="H161" i="172"/>
  <c r="N160" i="172"/>
  <c r="H160" i="172"/>
  <c r="O159" i="172"/>
  <c r="N159" i="172"/>
  <c r="N158" i="172"/>
  <c r="O157" i="172"/>
  <c r="N157" i="172"/>
  <c r="H157" i="172"/>
  <c r="O156" i="172"/>
  <c r="N156" i="172"/>
  <c r="H156" i="172"/>
  <c r="O155" i="172"/>
  <c r="N155" i="172"/>
  <c r="H155" i="172"/>
  <c r="O154" i="172"/>
  <c r="N154" i="172"/>
  <c r="H154" i="172"/>
  <c r="O153" i="172"/>
  <c r="N153" i="172"/>
  <c r="H153" i="172"/>
  <c r="O152" i="172"/>
  <c r="N152" i="172"/>
  <c r="H152" i="172"/>
  <c r="O151" i="172"/>
  <c r="N151" i="172"/>
  <c r="H151" i="172"/>
  <c r="O150" i="172"/>
  <c r="N150" i="172"/>
  <c r="H150" i="172"/>
  <c r="O149" i="172"/>
  <c r="N149" i="172"/>
  <c r="H149" i="172"/>
  <c r="O148" i="172"/>
  <c r="N148" i="172"/>
  <c r="H148" i="172"/>
  <c r="O147" i="172"/>
  <c r="N147" i="172"/>
  <c r="H147" i="172"/>
  <c r="O146" i="172"/>
  <c r="N146" i="172"/>
  <c r="H146" i="172"/>
  <c r="O145" i="172"/>
  <c r="N145" i="172"/>
  <c r="H145" i="172"/>
  <c r="O144" i="172"/>
  <c r="N144" i="172"/>
  <c r="H144" i="172"/>
  <c r="O143" i="172"/>
  <c r="N143" i="172"/>
  <c r="H143" i="172"/>
  <c r="O142" i="172"/>
  <c r="N142" i="172"/>
  <c r="H142" i="172"/>
  <c r="O141" i="172"/>
  <c r="N141" i="172"/>
  <c r="H141" i="172"/>
  <c r="O140" i="172"/>
  <c r="N140" i="172"/>
  <c r="H140" i="172"/>
  <c r="O139" i="172"/>
  <c r="N139" i="172"/>
  <c r="H139" i="172"/>
  <c r="O138" i="172"/>
  <c r="N138" i="172"/>
  <c r="H138" i="172"/>
  <c r="O137" i="172"/>
  <c r="N137" i="172"/>
  <c r="H137" i="172"/>
  <c r="O136" i="172"/>
  <c r="N136" i="172"/>
  <c r="H136" i="172"/>
  <c r="O135" i="172"/>
  <c r="N135" i="172"/>
  <c r="H135" i="172"/>
  <c r="O134" i="172"/>
  <c r="N134" i="172"/>
  <c r="H134" i="172"/>
  <c r="O133" i="172"/>
  <c r="N133" i="172"/>
  <c r="H133" i="172"/>
  <c r="O132" i="172"/>
  <c r="N132" i="172"/>
  <c r="H132" i="172"/>
  <c r="O131" i="172"/>
  <c r="N131" i="172"/>
  <c r="H131" i="172"/>
  <c r="O130" i="172"/>
  <c r="N130" i="172"/>
  <c r="H130" i="172"/>
  <c r="O129" i="172"/>
  <c r="N129" i="172"/>
  <c r="H129" i="172"/>
  <c r="O128" i="172"/>
  <c r="N128" i="172"/>
  <c r="H128" i="172"/>
  <c r="O127" i="172"/>
  <c r="N127" i="172"/>
  <c r="H127" i="172"/>
  <c r="O126" i="172"/>
  <c r="N126" i="172"/>
  <c r="H126" i="172"/>
  <c r="O125" i="172"/>
  <c r="N125" i="172"/>
  <c r="H125" i="172"/>
  <c r="O124" i="172"/>
  <c r="N124" i="172"/>
  <c r="H124" i="172"/>
  <c r="O123" i="172"/>
  <c r="N123" i="172"/>
  <c r="H123" i="172"/>
  <c r="O122" i="172"/>
  <c r="N122" i="172"/>
  <c r="H122" i="172"/>
  <c r="O121" i="172"/>
  <c r="N121" i="172"/>
  <c r="H121" i="172"/>
  <c r="O120" i="172"/>
  <c r="N120" i="172"/>
  <c r="H120" i="172"/>
  <c r="O119" i="172"/>
  <c r="N119" i="172"/>
  <c r="H119" i="172"/>
  <c r="O118" i="172"/>
  <c r="N118" i="172"/>
  <c r="H118" i="172"/>
  <c r="O117" i="172"/>
  <c r="N117" i="172"/>
  <c r="H117" i="172"/>
  <c r="O116" i="172"/>
  <c r="N116" i="172"/>
  <c r="H116" i="172"/>
  <c r="O115" i="172"/>
  <c r="N115" i="172"/>
  <c r="H115" i="172"/>
  <c r="O114" i="172"/>
  <c r="N114" i="172"/>
  <c r="H114" i="172"/>
  <c r="O113" i="172"/>
  <c r="N113" i="172"/>
  <c r="H113" i="172"/>
  <c r="O112" i="172"/>
  <c r="N112" i="172"/>
  <c r="H112" i="172"/>
  <c r="O111" i="172"/>
  <c r="N111" i="172"/>
  <c r="H111" i="172"/>
  <c r="O110" i="172"/>
  <c r="N110" i="172"/>
  <c r="H110" i="172"/>
  <c r="O109" i="172"/>
  <c r="N109" i="172"/>
  <c r="H109" i="172"/>
  <c r="O108" i="172"/>
  <c r="N108" i="172"/>
  <c r="H108" i="172"/>
  <c r="O107" i="172"/>
  <c r="N107" i="172"/>
  <c r="H107" i="172"/>
  <c r="O106" i="172"/>
  <c r="N106" i="172"/>
  <c r="H106" i="172"/>
  <c r="O105" i="172"/>
  <c r="N105" i="172"/>
  <c r="H105" i="172"/>
  <c r="O104" i="172"/>
  <c r="N104" i="172"/>
  <c r="H104" i="172"/>
  <c r="O103" i="172"/>
  <c r="N103" i="172"/>
  <c r="H103" i="172"/>
  <c r="O102" i="172"/>
  <c r="N102" i="172"/>
  <c r="H102" i="172"/>
  <c r="O101" i="172"/>
  <c r="N101" i="172"/>
  <c r="H101" i="172"/>
  <c r="O100" i="172"/>
  <c r="N100" i="172"/>
  <c r="H100" i="172"/>
  <c r="O99" i="172"/>
  <c r="N99" i="172"/>
  <c r="H99" i="172"/>
  <c r="O98" i="172"/>
  <c r="N98" i="172"/>
  <c r="H98" i="172"/>
  <c r="O97" i="172"/>
  <c r="N97" i="172"/>
  <c r="H97" i="172"/>
  <c r="O96" i="172"/>
  <c r="N96" i="172"/>
  <c r="H96" i="172"/>
  <c r="O95" i="172"/>
  <c r="N95" i="172"/>
  <c r="H95" i="172"/>
  <c r="O94" i="172"/>
  <c r="N94" i="172"/>
  <c r="H94" i="172"/>
  <c r="O93" i="172"/>
  <c r="N93" i="172"/>
  <c r="H93" i="172"/>
  <c r="N92" i="172"/>
  <c r="H92" i="172"/>
  <c r="N91" i="172"/>
  <c r="H91" i="172"/>
  <c r="N90" i="172"/>
  <c r="H90" i="172"/>
  <c r="O89" i="172"/>
  <c r="N89" i="172"/>
  <c r="H89" i="172"/>
  <c r="O88" i="172"/>
  <c r="N88" i="172"/>
  <c r="H88" i="172"/>
  <c r="O87" i="172"/>
  <c r="N87" i="172"/>
  <c r="H87" i="172"/>
  <c r="O86" i="172"/>
  <c r="N86" i="172"/>
  <c r="H86" i="172"/>
  <c r="O85" i="172"/>
  <c r="N85" i="172"/>
  <c r="H85" i="172"/>
  <c r="O84" i="172"/>
  <c r="N84" i="172"/>
  <c r="H84" i="172"/>
  <c r="O83" i="172"/>
  <c r="N83" i="172"/>
  <c r="H83" i="172"/>
  <c r="O82" i="172"/>
  <c r="N82" i="172"/>
  <c r="O81" i="172"/>
  <c r="N81" i="172"/>
  <c r="O80" i="172"/>
  <c r="N80" i="172"/>
  <c r="H80" i="172"/>
  <c r="O79" i="172"/>
  <c r="N79" i="172"/>
  <c r="H79" i="172"/>
  <c r="O78" i="172"/>
  <c r="N78" i="172"/>
  <c r="O77" i="172"/>
  <c r="N77" i="172"/>
  <c r="H77" i="172"/>
  <c r="O76" i="172"/>
  <c r="N76" i="172"/>
  <c r="H76" i="172"/>
  <c r="O75" i="172"/>
  <c r="N75" i="172"/>
  <c r="H75" i="172"/>
  <c r="O74" i="172"/>
  <c r="N74" i="172"/>
  <c r="H74" i="172"/>
  <c r="O73" i="172"/>
  <c r="N73" i="172"/>
  <c r="H73" i="172"/>
  <c r="O72" i="172"/>
  <c r="N72" i="172"/>
  <c r="H72" i="172"/>
  <c r="O71" i="172"/>
  <c r="N71" i="172"/>
  <c r="H71" i="172"/>
  <c r="O70" i="172"/>
  <c r="N70" i="172"/>
  <c r="H70" i="172"/>
  <c r="T69" i="172"/>
  <c r="T96" i="172" s="1"/>
  <c r="O69" i="172"/>
  <c r="N69" i="172"/>
  <c r="H69" i="172"/>
  <c r="O68" i="172"/>
  <c r="N68" i="172"/>
  <c r="H68" i="172"/>
  <c r="O67" i="172"/>
  <c r="N67" i="172"/>
  <c r="H67" i="172"/>
  <c r="O66" i="172"/>
  <c r="N66" i="172"/>
  <c r="H66" i="172"/>
  <c r="O65" i="172"/>
  <c r="N65" i="172"/>
  <c r="H65" i="172"/>
  <c r="O64" i="172"/>
  <c r="N64" i="172"/>
  <c r="H64" i="172"/>
  <c r="O63" i="172"/>
  <c r="N63" i="172"/>
  <c r="H63" i="172"/>
  <c r="O62" i="172"/>
  <c r="N62" i="172"/>
  <c r="H62" i="172"/>
  <c r="O61" i="172"/>
  <c r="N61" i="172"/>
  <c r="H61" i="172"/>
  <c r="O60" i="172"/>
  <c r="N60" i="172"/>
  <c r="H60" i="172"/>
  <c r="O59" i="172"/>
  <c r="N59" i="172"/>
  <c r="H59" i="172"/>
  <c r="O58" i="172"/>
  <c r="N58" i="172"/>
  <c r="H58" i="172"/>
  <c r="O57" i="172"/>
  <c r="N57" i="172"/>
  <c r="H57" i="172"/>
  <c r="O56" i="172"/>
  <c r="N56" i="172"/>
  <c r="H56" i="172"/>
  <c r="O55" i="172"/>
  <c r="N55" i="172"/>
  <c r="O54" i="172"/>
  <c r="N54" i="172"/>
  <c r="H54" i="172"/>
  <c r="O53" i="172"/>
  <c r="N53" i="172"/>
  <c r="H53" i="172"/>
  <c r="O52" i="172"/>
  <c r="N52" i="172"/>
  <c r="O51" i="172"/>
  <c r="N51" i="172"/>
  <c r="O50" i="172"/>
  <c r="N50" i="172"/>
  <c r="H50" i="172"/>
  <c r="O49" i="172"/>
  <c r="N49" i="172"/>
  <c r="H49" i="172"/>
  <c r="O48" i="172"/>
  <c r="N48" i="172"/>
  <c r="H48" i="172"/>
  <c r="O47" i="172"/>
  <c r="N47" i="172"/>
  <c r="H47" i="172"/>
  <c r="O46" i="172"/>
  <c r="N46" i="172"/>
  <c r="H46" i="172"/>
  <c r="O45" i="172"/>
  <c r="N45" i="172"/>
  <c r="H45" i="172"/>
  <c r="O44" i="172"/>
  <c r="N44" i="172"/>
  <c r="H44" i="172"/>
  <c r="O43" i="172"/>
  <c r="N43" i="172"/>
  <c r="H43" i="172"/>
  <c r="O42" i="172"/>
  <c r="N42" i="172"/>
  <c r="H42" i="172"/>
  <c r="O41" i="172"/>
  <c r="N41" i="172"/>
  <c r="H41" i="172"/>
  <c r="O40" i="172"/>
  <c r="N40" i="172"/>
  <c r="H40" i="172"/>
  <c r="O39" i="172"/>
  <c r="N39" i="172"/>
  <c r="H39" i="172"/>
  <c r="O38" i="172"/>
  <c r="N38" i="172"/>
  <c r="H38" i="172"/>
  <c r="O37" i="172"/>
  <c r="N37" i="172"/>
  <c r="H37" i="172"/>
  <c r="O36" i="172"/>
  <c r="N36" i="172"/>
  <c r="O35" i="172"/>
  <c r="N35" i="172"/>
  <c r="H35" i="172"/>
  <c r="N34" i="172"/>
  <c r="H34" i="172"/>
  <c r="O33" i="172"/>
  <c r="N33" i="172"/>
  <c r="O32" i="172"/>
  <c r="N32" i="172"/>
  <c r="O31" i="172"/>
  <c r="N31" i="172"/>
  <c r="O30" i="172"/>
  <c r="N30" i="172"/>
  <c r="H30" i="172"/>
  <c r="O29" i="172"/>
  <c r="N29" i="172"/>
  <c r="H29" i="172"/>
  <c r="O28" i="172"/>
  <c r="N28" i="172"/>
  <c r="H28" i="172"/>
  <c r="O27" i="172"/>
  <c r="N27" i="172"/>
  <c r="H27" i="172"/>
  <c r="O26" i="172"/>
  <c r="N26" i="172"/>
  <c r="H26" i="172"/>
  <c r="O25" i="172"/>
  <c r="N25" i="172"/>
  <c r="H25" i="172"/>
  <c r="O24" i="172"/>
  <c r="N24" i="172"/>
  <c r="H24" i="172"/>
  <c r="O23" i="172"/>
  <c r="N23" i="172"/>
  <c r="H23" i="172"/>
  <c r="O22" i="172"/>
  <c r="N22" i="172"/>
  <c r="H22" i="172"/>
  <c r="O21" i="172"/>
  <c r="N21" i="172"/>
  <c r="H21" i="172"/>
  <c r="O20" i="172"/>
  <c r="N20" i="172"/>
  <c r="H20" i="172"/>
  <c r="O19" i="172"/>
  <c r="N19" i="172"/>
  <c r="H19" i="172"/>
  <c r="O18" i="172"/>
  <c r="N18" i="172"/>
  <c r="N17" i="172"/>
  <c r="O16" i="172"/>
  <c r="N16" i="172"/>
  <c r="O15" i="172"/>
  <c r="N15" i="172"/>
  <c r="H15" i="172"/>
  <c r="S14" i="172"/>
  <c r="O14" i="172"/>
  <c r="N14" i="172"/>
  <c r="O13" i="172"/>
  <c r="N13" i="172"/>
  <c r="H13" i="172"/>
  <c r="O12" i="172"/>
  <c r="N12" i="172"/>
  <c r="H12" i="172"/>
  <c r="O11" i="172"/>
  <c r="N11" i="172"/>
  <c r="H11" i="172"/>
  <c r="O10" i="172"/>
  <c r="N10" i="172"/>
  <c r="O9" i="172"/>
  <c r="N9" i="172"/>
  <c r="O8" i="172"/>
  <c r="N8" i="172"/>
  <c r="H8" i="172"/>
  <c r="O7" i="172"/>
  <c r="N7" i="172"/>
  <c r="H7" i="172"/>
  <c r="O6" i="172"/>
  <c r="N6" i="172"/>
  <c r="H6" i="172"/>
  <c r="O5" i="172"/>
  <c r="N5" i="172"/>
  <c r="H5" i="172"/>
  <c r="O4" i="172"/>
  <c r="N4" i="172"/>
  <c r="H4" i="172"/>
  <c r="O3" i="172"/>
  <c r="N3" i="172"/>
  <c r="H3" i="172"/>
  <c r="O2" i="172"/>
  <c r="O229" i="172" s="1"/>
  <c r="B230" i="172" s="1"/>
  <c r="B235" i="172" s="1"/>
  <c r="B241" i="172" s="1"/>
  <c r="B254" i="172" s="1"/>
  <c r="N2" i="172"/>
  <c r="N229" i="172" s="1"/>
  <c r="H2" i="172"/>
  <c r="H229" i="172" s="1"/>
  <c r="B269" i="171"/>
  <c r="B260" i="171"/>
  <c r="B259" i="171"/>
  <c r="B273" i="171" s="1"/>
  <c r="B252" i="171"/>
  <c r="B253" i="171" s="1"/>
  <c r="B250" i="171"/>
  <c r="B249" i="171"/>
  <c r="B248" i="171"/>
  <c r="B251" i="171" s="1"/>
  <c r="B244" i="171"/>
  <c r="B242" i="171"/>
  <c r="B245" i="171" s="1"/>
  <c r="B238" i="171"/>
  <c r="B237" i="171"/>
  <c r="B236" i="171"/>
  <c r="B240" i="171" s="1"/>
  <c r="B233" i="171"/>
  <c r="B231" i="171"/>
  <c r="P229" i="171"/>
  <c r="K229" i="171"/>
  <c r="I229" i="171"/>
  <c r="N228" i="171"/>
  <c r="N227" i="171"/>
  <c r="N226" i="171"/>
  <c r="N225" i="171"/>
  <c r="N224" i="171"/>
  <c r="N223" i="171"/>
  <c r="N222" i="171"/>
  <c r="N221" i="171"/>
  <c r="N220" i="171"/>
  <c r="O219" i="171"/>
  <c r="N219" i="171"/>
  <c r="H219" i="171"/>
  <c r="O218" i="171"/>
  <c r="N218" i="171"/>
  <c r="H218" i="171"/>
  <c r="O217" i="171"/>
  <c r="N217" i="171"/>
  <c r="H217" i="171"/>
  <c r="O216" i="171"/>
  <c r="N216" i="171"/>
  <c r="H216" i="171"/>
  <c r="O215" i="171"/>
  <c r="N215" i="171"/>
  <c r="H215" i="171"/>
  <c r="O214" i="171"/>
  <c r="N214" i="171"/>
  <c r="H214" i="171"/>
  <c r="O213" i="171"/>
  <c r="N213" i="171"/>
  <c r="H213" i="171"/>
  <c r="O212" i="171"/>
  <c r="N212" i="171"/>
  <c r="H212" i="171"/>
  <c r="O211" i="171"/>
  <c r="N211" i="171"/>
  <c r="H211" i="171"/>
  <c r="O210" i="171"/>
  <c r="N210" i="171"/>
  <c r="H210" i="171"/>
  <c r="O209" i="171"/>
  <c r="N209" i="171"/>
  <c r="H209" i="171"/>
  <c r="O208" i="171"/>
  <c r="N208" i="171"/>
  <c r="H208" i="171"/>
  <c r="O207" i="171"/>
  <c r="N207" i="171"/>
  <c r="H207" i="171"/>
  <c r="O206" i="171"/>
  <c r="N206" i="171"/>
  <c r="H206" i="171"/>
  <c r="O205" i="171"/>
  <c r="N205" i="171"/>
  <c r="H205" i="171"/>
  <c r="O204" i="171"/>
  <c r="N204" i="171"/>
  <c r="H204" i="171"/>
  <c r="O203" i="171"/>
  <c r="N203" i="171"/>
  <c r="H203" i="171"/>
  <c r="O202" i="171"/>
  <c r="N202" i="171"/>
  <c r="H202" i="171"/>
  <c r="O201" i="171"/>
  <c r="N201" i="171"/>
  <c r="H201" i="171"/>
  <c r="O200" i="171"/>
  <c r="N200" i="171"/>
  <c r="H200" i="171"/>
  <c r="O199" i="171"/>
  <c r="N199" i="171"/>
  <c r="H199" i="171"/>
  <c r="O198" i="171"/>
  <c r="N198" i="171"/>
  <c r="H198" i="171"/>
  <c r="O197" i="171"/>
  <c r="N197" i="171"/>
  <c r="H197" i="171"/>
  <c r="O196" i="171"/>
  <c r="N196" i="171"/>
  <c r="H196" i="171"/>
  <c r="O195" i="171"/>
  <c r="N195" i="171"/>
  <c r="H195" i="171"/>
  <c r="O194" i="171"/>
  <c r="N194" i="171"/>
  <c r="H194" i="171"/>
  <c r="O193" i="171"/>
  <c r="N193" i="171"/>
  <c r="H193" i="171"/>
  <c r="O192" i="171"/>
  <c r="N192" i="171"/>
  <c r="O191" i="171"/>
  <c r="N191" i="171"/>
  <c r="H191" i="171"/>
  <c r="O190" i="171"/>
  <c r="N190" i="171"/>
  <c r="H190" i="171"/>
  <c r="O189" i="171"/>
  <c r="N189" i="171"/>
  <c r="H189" i="171"/>
  <c r="O188" i="171"/>
  <c r="N188" i="171"/>
  <c r="H188" i="171"/>
  <c r="O187" i="171"/>
  <c r="N187" i="171"/>
  <c r="H187" i="171"/>
  <c r="O186" i="171"/>
  <c r="N186" i="171"/>
  <c r="H186" i="171"/>
  <c r="O185" i="171"/>
  <c r="N185" i="171"/>
  <c r="H185" i="171"/>
  <c r="O184" i="171"/>
  <c r="N184" i="171"/>
  <c r="O183" i="171"/>
  <c r="N183" i="171"/>
  <c r="O182" i="171"/>
  <c r="N182" i="171"/>
  <c r="O181" i="171"/>
  <c r="N181" i="171"/>
  <c r="H181" i="171"/>
  <c r="O180" i="171"/>
  <c r="N180" i="171"/>
  <c r="H180" i="171"/>
  <c r="O179" i="171"/>
  <c r="N179" i="171"/>
  <c r="H179" i="171"/>
  <c r="O178" i="171"/>
  <c r="N178" i="171"/>
  <c r="H178" i="171"/>
  <c r="O177" i="171"/>
  <c r="N177" i="171"/>
  <c r="H177" i="171"/>
  <c r="O176" i="171"/>
  <c r="N176" i="171"/>
  <c r="H176" i="171"/>
  <c r="O175" i="171"/>
  <c r="N175" i="171"/>
  <c r="H175" i="171"/>
  <c r="O174" i="171"/>
  <c r="N174" i="171"/>
  <c r="H174" i="171"/>
  <c r="O173" i="171"/>
  <c r="N173" i="171"/>
  <c r="H173" i="171"/>
  <c r="O172" i="171"/>
  <c r="N172" i="171"/>
  <c r="H172" i="171"/>
  <c r="O171" i="171"/>
  <c r="N171" i="171"/>
  <c r="H171" i="171"/>
  <c r="O170" i="171"/>
  <c r="N170" i="171"/>
  <c r="H170" i="171"/>
  <c r="O169" i="171"/>
  <c r="N169" i="171"/>
  <c r="H169" i="171"/>
  <c r="O168" i="171"/>
  <c r="N168" i="171"/>
  <c r="O167" i="171"/>
  <c r="N167" i="171"/>
  <c r="H167" i="171"/>
  <c r="O166" i="171"/>
  <c r="N166" i="171"/>
  <c r="H166" i="171"/>
  <c r="O165" i="171"/>
  <c r="N165" i="171"/>
  <c r="H165" i="171"/>
  <c r="O164" i="171"/>
  <c r="N164" i="171"/>
  <c r="H164" i="171"/>
  <c r="O163" i="171"/>
  <c r="N163" i="171"/>
  <c r="H163" i="171"/>
  <c r="O162" i="171"/>
  <c r="N162" i="171"/>
  <c r="H162" i="171"/>
  <c r="O161" i="171"/>
  <c r="N161" i="171"/>
  <c r="H161" i="171"/>
  <c r="N160" i="171"/>
  <c r="H160" i="171"/>
  <c r="O159" i="171"/>
  <c r="N159" i="171"/>
  <c r="N158" i="171"/>
  <c r="O157" i="171"/>
  <c r="N157" i="171"/>
  <c r="H157" i="171"/>
  <c r="O156" i="171"/>
  <c r="N156" i="171"/>
  <c r="H156" i="171"/>
  <c r="O155" i="171"/>
  <c r="N155" i="171"/>
  <c r="H155" i="171"/>
  <c r="O154" i="171"/>
  <c r="N154" i="171"/>
  <c r="H154" i="171"/>
  <c r="O153" i="171"/>
  <c r="N153" i="171"/>
  <c r="H153" i="171"/>
  <c r="O152" i="171"/>
  <c r="N152" i="171"/>
  <c r="H152" i="171"/>
  <c r="O151" i="171"/>
  <c r="N151" i="171"/>
  <c r="H151" i="171"/>
  <c r="O150" i="171"/>
  <c r="N150" i="171"/>
  <c r="H150" i="171"/>
  <c r="O149" i="171"/>
  <c r="N149" i="171"/>
  <c r="H149" i="171"/>
  <c r="O148" i="171"/>
  <c r="N148" i="171"/>
  <c r="H148" i="171"/>
  <c r="O147" i="171"/>
  <c r="N147" i="171"/>
  <c r="H147" i="171"/>
  <c r="O146" i="171"/>
  <c r="N146" i="171"/>
  <c r="H146" i="171"/>
  <c r="O145" i="171"/>
  <c r="N145" i="171"/>
  <c r="H145" i="171"/>
  <c r="O144" i="171"/>
  <c r="N144" i="171"/>
  <c r="H144" i="171"/>
  <c r="O143" i="171"/>
  <c r="N143" i="171"/>
  <c r="H143" i="171"/>
  <c r="O142" i="171"/>
  <c r="N142" i="171"/>
  <c r="H142" i="171"/>
  <c r="O141" i="171"/>
  <c r="N141" i="171"/>
  <c r="H141" i="171"/>
  <c r="O140" i="171"/>
  <c r="N140" i="171"/>
  <c r="H140" i="171"/>
  <c r="O139" i="171"/>
  <c r="N139" i="171"/>
  <c r="H139" i="171"/>
  <c r="O138" i="171"/>
  <c r="N138" i="171"/>
  <c r="H138" i="171"/>
  <c r="O137" i="171"/>
  <c r="N137" i="171"/>
  <c r="H137" i="171"/>
  <c r="O136" i="171"/>
  <c r="N136" i="171"/>
  <c r="H136" i="171"/>
  <c r="O135" i="171"/>
  <c r="N135" i="171"/>
  <c r="H135" i="171"/>
  <c r="O134" i="171"/>
  <c r="N134" i="171"/>
  <c r="H134" i="171"/>
  <c r="O133" i="171"/>
  <c r="N133" i="171"/>
  <c r="H133" i="171"/>
  <c r="O132" i="171"/>
  <c r="N132" i="171"/>
  <c r="H132" i="171"/>
  <c r="O131" i="171"/>
  <c r="N131" i="171"/>
  <c r="H131" i="171"/>
  <c r="O130" i="171"/>
  <c r="N130" i="171"/>
  <c r="H130" i="171"/>
  <c r="O129" i="171"/>
  <c r="N129" i="171"/>
  <c r="H129" i="171"/>
  <c r="O128" i="171"/>
  <c r="N128" i="171"/>
  <c r="H128" i="171"/>
  <c r="O127" i="171"/>
  <c r="N127" i="171"/>
  <c r="H127" i="171"/>
  <c r="O126" i="171"/>
  <c r="N126" i="171"/>
  <c r="H126" i="171"/>
  <c r="O125" i="171"/>
  <c r="N125" i="171"/>
  <c r="H125" i="171"/>
  <c r="O124" i="171"/>
  <c r="N124" i="171"/>
  <c r="H124" i="171"/>
  <c r="O123" i="171"/>
  <c r="N123" i="171"/>
  <c r="H123" i="171"/>
  <c r="O122" i="171"/>
  <c r="N122" i="171"/>
  <c r="H122" i="171"/>
  <c r="O121" i="171"/>
  <c r="N121" i="171"/>
  <c r="H121" i="171"/>
  <c r="O120" i="171"/>
  <c r="N120" i="171"/>
  <c r="H120" i="171"/>
  <c r="O119" i="171"/>
  <c r="N119" i="171"/>
  <c r="H119" i="171"/>
  <c r="O118" i="171"/>
  <c r="N118" i="171"/>
  <c r="H118" i="171"/>
  <c r="O117" i="171"/>
  <c r="N117" i="171"/>
  <c r="H117" i="171"/>
  <c r="O116" i="171"/>
  <c r="N116" i="171"/>
  <c r="H116" i="171"/>
  <c r="O115" i="171"/>
  <c r="N115" i="171"/>
  <c r="H115" i="171"/>
  <c r="O114" i="171"/>
  <c r="N114" i="171"/>
  <c r="H114" i="171"/>
  <c r="O113" i="171"/>
  <c r="N113" i="171"/>
  <c r="H113" i="171"/>
  <c r="O112" i="171"/>
  <c r="N112" i="171"/>
  <c r="H112" i="171"/>
  <c r="O111" i="171"/>
  <c r="N111" i="171"/>
  <c r="H111" i="171"/>
  <c r="O110" i="171"/>
  <c r="N110" i="171"/>
  <c r="H110" i="171"/>
  <c r="O109" i="171"/>
  <c r="N109" i="171"/>
  <c r="H109" i="171"/>
  <c r="O108" i="171"/>
  <c r="N108" i="171"/>
  <c r="H108" i="171"/>
  <c r="O107" i="171"/>
  <c r="N107" i="171"/>
  <c r="H107" i="171"/>
  <c r="O106" i="171"/>
  <c r="N106" i="171"/>
  <c r="H106" i="171"/>
  <c r="O105" i="171"/>
  <c r="N105" i="171"/>
  <c r="H105" i="171"/>
  <c r="O104" i="171"/>
  <c r="N104" i="171"/>
  <c r="H104" i="171"/>
  <c r="O103" i="171"/>
  <c r="N103" i="171"/>
  <c r="H103" i="171"/>
  <c r="O102" i="171"/>
  <c r="N102" i="171"/>
  <c r="H102" i="171"/>
  <c r="O101" i="171"/>
  <c r="N101" i="171"/>
  <c r="H101" i="171"/>
  <c r="O100" i="171"/>
  <c r="N100" i="171"/>
  <c r="H100" i="171"/>
  <c r="O99" i="171"/>
  <c r="N99" i="171"/>
  <c r="H99" i="171"/>
  <c r="O98" i="171"/>
  <c r="N98" i="171"/>
  <c r="H98" i="171"/>
  <c r="O97" i="171"/>
  <c r="N97" i="171"/>
  <c r="H97" i="171"/>
  <c r="O96" i="171"/>
  <c r="N96" i="171"/>
  <c r="H96" i="171"/>
  <c r="O95" i="171"/>
  <c r="N95" i="171"/>
  <c r="H95" i="171"/>
  <c r="O94" i="171"/>
  <c r="N94" i="171"/>
  <c r="H94" i="171"/>
  <c r="O93" i="171"/>
  <c r="N93" i="171"/>
  <c r="H93" i="171"/>
  <c r="N92" i="171"/>
  <c r="H92" i="171"/>
  <c r="N91" i="171"/>
  <c r="H91" i="171"/>
  <c r="N90" i="171"/>
  <c r="H90" i="171"/>
  <c r="O89" i="171"/>
  <c r="N89" i="171"/>
  <c r="H89" i="171"/>
  <c r="O88" i="171"/>
  <c r="N88" i="171"/>
  <c r="H88" i="171"/>
  <c r="O87" i="171"/>
  <c r="N87" i="171"/>
  <c r="H87" i="171"/>
  <c r="O86" i="171"/>
  <c r="N86" i="171"/>
  <c r="H86" i="171"/>
  <c r="O85" i="171"/>
  <c r="N85" i="171"/>
  <c r="H85" i="171"/>
  <c r="O84" i="171"/>
  <c r="N84" i="171"/>
  <c r="H84" i="171"/>
  <c r="O83" i="171"/>
  <c r="N83" i="171"/>
  <c r="H83" i="171"/>
  <c r="O82" i="171"/>
  <c r="N82" i="171"/>
  <c r="O81" i="171"/>
  <c r="N81" i="171"/>
  <c r="O80" i="171"/>
  <c r="N80" i="171"/>
  <c r="H80" i="171"/>
  <c r="O79" i="171"/>
  <c r="N79" i="171"/>
  <c r="H79" i="171"/>
  <c r="O78" i="171"/>
  <c r="N78" i="171"/>
  <c r="O77" i="171"/>
  <c r="N77" i="171"/>
  <c r="H77" i="171"/>
  <c r="O76" i="171"/>
  <c r="N76" i="171"/>
  <c r="H76" i="171"/>
  <c r="O75" i="171"/>
  <c r="N75" i="171"/>
  <c r="H75" i="171"/>
  <c r="O74" i="171"/>
  <c r="N74" i="171"/>
  <c r="H74" i="171"/>
  <c r="O73" i="171"/>
  <c r="N73" i="171"/>
  <c r="H73" i="171"/>
  <c r="O72" i="171"/>
  <c r="N72" i="171"/>
  <c r="H72" i="171"/>
  <c r="O71" i="171"/>
  <c r="N71" i="171"/>
  <c r="H71" i="171"/>
  <c r="O70" i="171"/>
  <c r="N70" i="171"/>
  <c r="H70" i="171"/>
  <c r="T69" i="171"/>
  <c r="T96" i="171" s="1"/>
  <c r="O69" i="171"/>
  <c r="N69" i="171"/>
  <c r="H69" i="171"/>
  <c r="O68" i="171"/>
  <c r="N68" i="171"/>
  <c r="H68" i="171"/>
  <c r="O67" i="171"/>
  <c r="N67" i="171"/>
  <c r="H67" i="171"/>
  <c r="O66" i="171"/>
  <c r="N66" i="171"/>
  <c r="H66" i="171"/>
  <c r="O65" i="171"/>
  <c r="N65" i="171"/>
  <c r="H65" i="171"/>
  <c r="O64" i="171"/>
  <c r="N64" i="171"/>
  <c r="H64" i="171"/>
  <c r="O63" i="171"/>
  <c r="N63" i="171"/>
  <c r="H63" i="171"/>
  <c r="O62" i="171"/>
  <c r="N62" i="171"/>
  <c r="H62" i="171"/>
  <c r="O61" i="171"/>
  <c r="N61" i="171"/>
  <c r="H61" i="171"/>
  <c r="O60" i="171"/>
  <c r="N60" i="171"/>
  <c r="H60" i="171"/>
  <c r="O59" i="171"/>
  <c r="N59" i="171"/>
  <c r="H59" i="171"/>
  <c r="O58" i="171"/>
  <c r="N58" i="171"/>
  <c r="H58" i="171"/>
  <c r="O57" i="171"/>
  <c r="N57" i="171"/>
  <c r="H57" i="171"/>
  <c r="O56" i="171"/>
  <c r="N56" i="171"/>
  <c r="H56" i="171"/>
  <c r="O55" i="171"/>
  <c r="N55" i="171"/>
  <c r="O54" i="171"/>
  <c r="N54" i="171"/>
  <c r="H54" i="171"/>
  <c r="O53" i="171"/>
  <c r="N53" i="171"/>
  <c r="H53" i="171"/>
  <c r="O52" i="171"/>
  <c r="N52" i="171"/>
  <c r="O51" i="171"/>
  <c r="N51" i="171"/>
  <c r="O50" i="171"/>
  <c r="N50" i="171"/>
  <c r="H50" i="171"/>
  <c r="O49" i="171"/>
  <c r="N49" i="171"/>
  <c r="H49" i="171"/>
  <c r="O48" i="171"/>
  <c r="N48" i="171"/>
  <c r="H48" i="171"/>
  <c r="O47" i="171"/>
  <c r="N47" i="171"/>
  <c r="H47" i="171"/>
  <c r="O46" i="171"/>
  <c r="N46" i="171"/>
  <c r="H46" i="171"/>
  <c r="O45" i="171"/>
  <c r="N45" i="171"/>
  <c r="H45" i="171"/>
  <c r="O44" i="171"/>
  <c r="N44" i="171"/>
  <c r="H44" i="171"/>
  <c r="O43" i="171"/>
  <c r="N43" i="171"/>
  <c r="H43" i="171"/>
  <c r="O42" i="171"/>
  <c r="N42" i="171"/>
  <c r="H42" i="171"/>
  <c r="O41" i="171"/>
  <c r="N41" i="171"/>
  <c r="H41" i="171"/>
  <c r="O40" i="171"/>
  <c r="N40" i="171"/>
  <c r="H40" i="171"/>
  <c r="O39" i="171"/>
  <c r="N39" i="171"/>
  <c r="H39" i="171"/>
  <c r="O38" i="171"/>
  <c r="N38" i="171"/>
  <c r="H38" i="171"/>
  <c r="O37" i="171"/>
  <c r="N37" i="171"/>
  <c r="H37" i="171"/>
  <c r="O36" i="171"/>
  <c r="N36" i="171"/>
  <c r="O35" i="171"/>
  <c r="N35" i="171"/>
  <c r="H35" i="171"/>
  <c r="N34" i="171"/>
  <c r="H34" i="171"/>
  <c r="O33" i="171"/>
  <c r="N33" i="171"/>
  <c r="O32" i="171"/>
  <c r="N32" i="171"/>
  <c r="O31" i="171"/>
  <c r="N31" i="171"/>
  <c r="O30" i="171"/>
  <c r="N30" i="171"/>
  <c r="H30" i="171"/>
  <c r="O29" i="171"/>
  <c r="N29" i="171"/>
  <c r="H29" i="171"/>
  <c r="O28" i="171"/>
  <c r="N28" i="171"/>
  <c r="H28" i="171"/>
  <c r="O27" i="171"/>
  <c r="N27" i="171"/>
  <c r="H27" i="171"/>
  <c r="O26" i="171"/>
  <c r="N26" i="171"/>
  <c r="H26" i="171"/>
  <c r="O25" i="171"/>
  <c r="N25" i="171"/>
  <c r="H25" i="171"/>
  <c r="O24" i="171"/>
  <c r="N24" i="171"/>
  <c r="H24" i="171"/>
  <c r="O23" i="171"/>
  <c r="N23" i="171"/>
  <c r="H23" i="171"/>
  <c r="O22" i="171"/>
  <c r="N22" i="171"/>
  <c r="H22" i="171"/>
  <c r="O21" i="171"/>
  <c r="N21" i="171"/>
  <c r="H21" i="171"/>
  <c r="O20" i="171"/>
  <c r="N20" i="171"/>
  <c r="H20" i="171"/>
  <c r="O19" i="171"/>
  <c r="N19" i="171"/>
  <c r="H19" i="171"/>
  <c r="O18" i="171"/>
  <c r="N18" i="171"/>
  <c r="N17" i="171"/>
  <c r="O16" i="171"/>
  <c r="N16" i="171"/>
  <c r="O15" i="171"/>
  <c r="N15" i="171"/>
  <c r="H15" i="171"/>
  <c r="S14" i="171"/>
  <c r="O14" i="171"/>
  <c r="N14" i="171"/>
  <c r="O13" i="171"/>
  <c r="N13" i="171"/>
  <c r="H13" i="171"/>
  <c r="O12" i="171"/>
  <c r="N12" i="171"/>
  <c r="H12" i="171"/>
  <c r="O11" i="171"/>
  <c r="N11" i="171"/>
  <c r="H11" i="171"/>
  <c r="O10" i="171"/>
  <c r="N10" i="171"/>
  <c r="O9" i="171"/>
  <c r="N9" i="171"/>
  <c r="O8" i="171"/>
  <c r="N8" i="171"/>
  <c r="H8" i="171"/>
  <c r="O7" i="171"/>
  <c r="N7" i="171"/>
  <c r="H7" i="171"/>
  <c r="O6" i="171"/>
  <c r="N6" i="171"/>
  <c r="H6" i="171"/>
  <c r="O5" i="171"/>
  <c r="N5" i="171"/>
  <c r="H5" i="171"/>
  <c r="O4" i="171"/>
  <c r="N4" i="171"/>
  <c r="H4" i="171"/>
  <c r="O3" i="171"/>
  <c r="N3" i="171"/>
  <c r="H3" i="171"/>
  <c r="O2" i="171"/>
  <c r="O229" i="171" s="1"/>
  <c r="B230" i="171" s="1"/>
  <c r="B235" i="171" s="1"/>
  <c r="B241" i="171" s="1"/>
  <c r="B254" i="171" s="1"/>
  <c r="N2" i="171"/>
  <c r="N229" i="171" s="1"/>
  <c r="H2" i="171"/>
  <c r="H229" i="171" s="1"/>
  <c r="B268" i="170"/>
  <c r="B259" i="170"/>
  <c r="B258" i="170"/>
  <c r="B272" i="170" s="1"/>
  <c r="B251" i="170"/>
  <c r="B252" i="170" s="1"/>
  <c r="B249" i="170"/>
  <c r="B248" i="170"/>
  <c r="B247" i="170"/>
  <c r="B250" i="170" s="1"/>
  <c r="B243" i="170"/>
  <c r="B241" i="170"/>
  <c r="B244" i="170" s="1"/>
  <c r="B237" i="170"/>
  <c r="B236" i="170"/>
  <c r="B235" i="170"/>
  <c r="B239" i="170" s="1"/>
  <c r="B232" i="170"/>
  <c r="B230" i="170"/>
  <c r="P228" i="170"/>
  <c r="K228" i="170"/>
  <c r="I228" i="170"/>
  <c r="N227" i="170"/>
  <c r="N226" i="170"/>
  <c r="N225" i="170"/>
  <c r="N224" i="170"/>
  <c r="N223" i="170"/>
  <c r="N222" i="170"/>
  <c r="N221" i="170"/>
  <c r="N220" i="170"/>
  <c r="N219" i="170"/>
  <c r="O218" i="170"/>
  <c r="N218" i="170"/>
  <c r="H218" i="170"/>
  <c r="O217" i="170"/>
  <c r="N217" i="170"/>
  <c r="H217" i="170"/>
  <c r="O216" i="170"/>
  <c r="N216" i="170"/>
  <c r="H216" i="170"/>
  <c r="O215" i="170"/>
  <c r="N215" i="170"/>
  <c r="H215" i="170"/>
  <c r="O214" i="170"/>
  <c r="N214" i="170"/>
  <c r="H214" i="170"/>
  <c r="O213" i="170"/>
  <c r="N213" i="170"/>
  <c r="H213" i="170"/>
  <c r="O212" i="170"/>
  <c r="N212" i="170"/>
  <c r="H212" i="170"/>
  <c r="O211" i="170"/>
  <c r="N211" i="170"/>
  <c r="H211" i="170"/>
  <c r="O210" i="170"/>
  <c r="N210" i="170"/>
  <c r="H210" i="170"/>
  <c r="O209" i="170"/>
  <c r="N209" i="170"/>
  <c r="H209" i="170"/>
  <c r="O208" i="170"/>
  <c r="N208" i="170"/>
  <c r="H208" i="170"/>
  <c r="O207" i="170"/>
  <c r="N207" i="170"/>
  <c r="H207" i="170"/>
  <c r="O206" i="170"/>
  <c r="N206" i="170"/>
  <c r="H206" i="170"/>
  <c r="O205" i="170"/>
  <c r="N205" i="170"/>
  <c r="H205" i="170"/>
  <c r="O204" i="170"/>
  <c r="N204" i="170"/>
  <c r="H204" i="170"/>
  <c r="O203" i="170"/>
  <c r="N203" i="170"/>
  <c r="H203" i="170"/>
  <c r="O202" i="170"/>
  <c r="N202" i="170"/>
  <c r="H202" i="170"/>
  <c r="O201" i="170"/>
  <c r="N201" i="170"/>
  <c r="H201" i="170"/>
  <c r="O200" i="170"/>
  <c r="N200" i="170"/>
  <c r="H200" i="170"/>
  <c r="O199" i="170"/>
  <c r="N199" i="170"/>
  <c r="H199" i="170"/>
  <c r="O198" i="170"/>
  <c r="N198" i="170"/>
  <c r="H198" i="170"/>
  <c r="O197" i="170"/>
  <c r="N197" i="170"/>
  <c r="H197" i="170"/>
  <c r="O196" i="170"/>
  <c r="N196" i="170"/>
  <c r="H196" i="170"/>
  <c r="O195" i="170"/>
  <c r="N195" i="170"/>
  <c r="H195" i="170"/>
  <c r="O194" i="170"/>
  <c r="N194" i="170"/>
  <c r="H194" i="170"/>
  <c r="O193" i="170"/>
  <c r="N193" i="170"/>
  <c r="H193" i="170"/>
  <c r="O192" i="170"/>
  <c r="N192" i="170"/>
  <c r="H192" i="170"/>
  <c r="O191" i="170"/>
  <c r="N191" i="170"/>
  <c r="O190" i="170"/>
  <c r="N190" i="170"/>
  <c r="H190" i="170"/>
  <c r="O189" i="170"/>
  <c r="N189" i="170"/>
  <c r="H189" i="170"/>
  <c r="O188" i="170"/>
  <c r="N188" i="170"/>
  <c r="H188" i="170"/>
  <c r="O187" i="170"/>
  <c r="N187" i="170"/>
  <c r="H187" i="170"/>
  <c r="O186" i="170"/>
  <c r="N186" i="170"/>
  <c r="H186" i="170"/>
  <c r="O185" i="170"/>
  <c r="N185" i="170"/>
  <c r="H185" i="170"/>
  <c r="O184" i="170"/>
  <c r="N184" i="170"/>
  <c r="H184" i="170"/>
  <c r="O183" i="170"/>
  <c r="N183" i="170"/>
  <c r="O182" i="170"/>
  <c r="N182" i="170"/>
  <c r="O181" i="170"/>
  <c r="N181" i="170"/>
  <c r="O180" i="170"/>
  <c r="N180" i="170"/>
  <c r="H180" i="170"/>
  <c r="O179" i="170"/>
  <c r="N179" i="170"/>
  <c r="H179" i="170"/>
  <c r="O178" i="170"/>
  <c r="N178" i="170"/>
  <c r="H178" i="170"/>
  <c r="O177" i="170"/>
  <c r="N177" i="170"/>
  <c r="H177" i="170"/>
  <c r="O176" i="170"/>
  <c r="N176" i="170"/>
  <c r="H176" i="170"/>
  <c r="O175" i="170"/>
  <c r="N175" i="170"/>
  <c r="H175" i="170"/>
  <c r="O174" i="170"/>
  <c r="N174" i="170"/>
  <c r="H174" i="170"/>
  <c r="O173" i="170"/>
  <c r="N173" i="170"/>
  <c r="H173" i="170"/>
  <c r="O172" i="170"/>
  <c r="N172" i="170"/>
  <c r="H172" i="170"/>
  <c r="O171" i="170"/>
  <c r="N171" i="170"/>
  <c r="H171" i="170"/>
  <c r="O170" i="170"/>
  <c r="N170" i="170"/>
  <c r="H170" i="170"/>
  <c r="O169" i="170"/>
  <c r="N169" i="170"/>
  <c r="H169" i="170"/>
  <c r="O168" i="170"/>
  <c r="N168" i="170"/>
  <c r="H168" i="170"/>
  <c r="O167" i="170"/>
  <c r="N167" i="170"/>
  <c r="O166" i="170"/>
  <c r="N166" i="170"/>
  <c r="H166" i="170"/>
  <c r="O165" i="170"/>
  <c r="N165" i="170"/>
  <c r="H165" i="170"/>
  <c r="O164" i="170"/>
  <c r="N164" i="170"/>
  <c r="H164" i="170"/>
  <c r="O163" i="170"/>
  <c r="N163" i="170"/>
  <c r="H163" i="170"/>
  <c r="O162" i="170"/>
  <c r="N162" i="170"/>
  <c r="H162" i="170"/>
  <c r="O161" i="170"/>
  <c r="N161" i="170"/>
  <c r="H161" i="170"/>
  <c r="N160" i="170"/>
  <c r="H160" i="170"/>
  <c r="O159" i="170"/>
  <c r="N159" i="170"/>
  <c r="N158" i="170"/>
  <c r="O157" i="170"/>
  <c r="N157" i="170"/>
  <c r="H157" i="170"/>
  <c r="O156" i="170"/>
  <c r="N156" i="170"/>
  <c r="H156" i="170"/>
  <c r="O155" i="170"/>
  <c r="N155" i="170"/>
  <c r="H155" i="170"/>
  <c r="O154" i="170"/>
  <c r="N154" i="170"/>
  <c r="H154" i="170"/>
  <c r="O153" i="170"/>
  <c r="N153" i="170"/>
  <c r="H153" i="170"/>
  <c r="O152" i="170"/>
  <c r="N152" i="170"/>
  <c r="H152" i="170"/>
  <c r="O151" i="170"/>
  <c r="N151" i="170"/>
  <c r="H151" i="170"/>
  <c r="O150" i="170"/>
  <c r="N150" i="170"/>
  <c r="H150" i="170"/>
  <c r="O149" i="170"/>
  <c r="N149" i="170"/>
  <c r="H149" i="170"/>
  <c r="O148" i="170"/>
  <c r="N148" i="170"/>
  <c r="H148" i="170"/>
  <c r="O147" i="170"/>
  <c r="N147" i="170"/>
  <c r="H147" i="170"/>
  <c r="O146" i="170"/>
  <c r="N146" i="170"/>
  <c r="H146" i="170"/>
  <c r="O145" i="170"/>
  <c r="N145" i="170"/>
  <c r="H145" i="170"/>
  <c r="O144" i="170"/>
  <c r="N144" i="170"/>
  <c r="H144" i="170"/>
  <c r="O143" i="170"/>
  <c r="N143" i="170"/>
  <c r="H143" i="170"/>
  <c r="O142" i="170"/>
  <c r="N142" i="170"/>
  <c r="H142" i="170"/>
  <c r="O141" i="170"/>
  <c r="N141" i="170"/>
  <c r="H141" i="170"/>
  <c r="O140" i="170"/>
  <c r="N140" i="170"/>
  <c r="H140" i="170"/>
  <c r="O139" i="170"/>
  <c r="N139" i="170"/>
  <c r="H139" i="170"/>
  <c r="O138" i="170"/>
  <c r="N138" i="170"/>
  <c r="H138" i="170"/>
  <c r="O137" i="170"/>
  <c r="N137" i="170"/>
  <c r="H137" i="170"/>
  <c r="O136" i="170"/>
  <c r="N136" i="170"/>
  <c r="H136" i="170"/>
  <c r="O135" i="170"/>
  <c r="N135" i="170"/>
  <c r="H135" i="170"/>
  <c r="O134" i="170"/>
  <c r="N134" i="170"/>
  <c r="H134" i="170"/>
  <c r="O133" i="170"/>
  <c r="N133" i="170"/>
  <c r="H133" i="170"/>
  <c r="O132" i="170"/>
  <c r="N132" i="170"/>
  <c r="H132" i="170"/>
  <c r="O131" i="170"/>
  <c r="N131" i="170"/>
  <c r="H131" i="170"/>
  <c r="O130" i="170"/>
  <c r="N130" i="170"/>
  <c r="H130" i="170"/>
  <c r="O129" i="170"/>
  <c r="N129" i="170"/>
  <c r="H129" i="170"/>
  <c r="O128" i="170"/>
  <c r="N128" i="170"/>
  <c r="H128" i="170"/>
  <c r="O127" i="170"/>
  <c r="N127" i="170"/>
  <c r="H127" i="170"/>
  <c r="O126" i="170"/>
  <c r="N126" i="170"/>
  <c r="H126" i="170"/>
  <c r="O125" i="170"/>
  <c r="N125" i="170"/>
  <c r="H125" i="170"/>
  <c r="O124" i="170"/>
  <c r="N124" i="170"/>
  <c r="H124" i="170"/>
  <c r="O123" i="170"/>
  <c r="N123" i="170"/>
  <c r="H123" i="170"/>
  <c r="O122" i="170"/>
  <c r="N122" i="170"/>
  <c r="H122" i="170"/>
  <c r="O121" i="170"/>
  <c r="N121" i="170"/>
  <c r="H121" i="170"/>
  <c r="O120" i="170"/>
  <c r="N120" i="170"/>
  <c r="H120" i="170"/>
  <c r="O119" i="170"/>
  <c r="N119" i="170"/>
  <c r="H119" i="170"/>
  <c r="O118" i="170"/>
  <c r="N118" i="170"/>
  <c r="H118" i="170"/>
  <c r="O117" i="170"/>
  <c r="N117" i="170"/>
  <c r="H117" i="170"/>
  <c r="O116" i="170"/>
  <c r="N116" i="170"/>
  <c r="H116" i="170"/>
  <c r="O115" i="170"/>
  <c r="N115" i="170"/>
  <c r="H115" i="170"/>
  <c r="O114" i="170"/>
  <c r="N114" i="170"/>
  <c r="H114" i="170"/>
  <c r="O113" i="170"/>
  <c r="N113" i="170"/>
  <c r="H113" i="170"/>
  <c r="O112" i="170"/>
  <c r="N112" i="170"/>
  <c r="H112" i="170"/>
  <c r="O111" i="170"/>
  <c r="N111" i="170"/>
  <c r="H111" i="170"/>
  <c r="O110" i="170"/>
  <c r="N110" i="170"/>
  <c r="H110" i="170"/>
  <c r="O109" i="170"/>
  <c r="N109" i="170"/>
  <c r="H109" i="170"/>
  <c r="O108" i="170"/>
  <c r="N108" i="170"/>
  <c r="H108" i="170"/>
  <c r="O107" i="170"/>
  <c r="N107" i="170"/>
  <c r="H107" i="170"/>
  <c r="O106" i="170"/>
  <c r="N106" i="170"/>
  <c r="H106" i="170"/>
  <c r="O105" i="170"/>
  <c r="N105" i="170"/>
  <c r="H105" i="170"/>
  <c r="O104" i="170"/>
  <c r="N104" i="170"/>
  <c r="H104" i="170"/>
  <c r="O103" i="170"/>
  <c r="N103" i="170"/>
  <c r="H103" i="170"/>
  <c r="O102" i="170"/>
  <c r="N102" i="170"/>
  <c r="H102" i="170"/>
  <c r="O101" i="170"/>
  <c r="N101" i="170"/>
  <c r="H101" i="170"/>
  <c r="O100" i="170"/>
  <c r="N100" i="170"/>
  <c r="H100" i="170"/>
  <c r="O99" i="170"/>
  <c r="N99" i="170"/>
  <c r="H99" i="170"/>
  <c r="O98" i="170"/>
  <c r="N98" i="170"/>
  <c r="H98" i="170"/>
  <c r="O97" i="170"/>
  <c r="N97" i="170"/>
  <c r="H97" i="170"/>
  <c r="O96" i="170"/>
  <c r="N96" i="170"/>
  <c r="H96" i="170"/>
  <c r="O95" i="170"/>
  <c r="N95" i="170"/>
  <c r="H95" i="170"/>
  <c r="O94" i="170"/>
  <c r="N94" i="170"/>
  <c r="H94" i="170"/>
  <c r="O93" i="170"/>
  <c r="N93" i="170"/>
  <c r="H93" i="170"/>
  <c r="N92" i="170"/>
  <c r="H92" i="170"/>
  <c r="N91" i="170"/>
  <c r="H91" i="170"/>
  <c r="N90" i="170"/>
  <c r="H90" i="170"/>
  <c r="O89" i="170"/>
  <c r="N89" i="170"/>
  <c r="H89" i="170"/>
  <c r="O88" i="170"/>
  <c r="N88" i="170"/>
  <c r="H88" i="170"/>
  <c r="O87" i="170"/>
  <c r="N87" i="170"/>
  <c r="H87" i="170"/>
  <c r="O86" i="170"/>
  <c r="N86" i="170"/>
  <c r="H86" i="170"/>
  <c r="O85" i="170"/>
  <c r="N85" i="170"/>
  <c r="H85" i="170"/>
  <c r="O84" i="170"/>
  <c r="N84" i="170"/>
  <c r="H84" i="170"/>
  <c r="O83" i="170"/>
  <c r="N83" i="170"/>
  <c r="H83" i="170"/>
  <c r="O82" i="170"/>
  <c r="N82" i="170"/>
  <c r="O81" i="170"/>
  <c r="N81" i="170"/>
  <c r="O80" i="170"/>
  <c r="N80" i="170"/>
  <c r="H80" i="170"/>
  <c r="O79" i="170"/>
  <c r="N79" i="170"/>
  <c r="H79" i="170"/>
  <c r="O78" i="170"/>
  <c r="N78" i="170"/>
  <c r="O77" i="170"/>
  <c r="N77" i="170"/>
  <c r="H77" i="170"/>
  <c r="O76" i="170"/>
  <c r="N76" i="170"/>
  <c r="H76" i="170"/>
  <c r="O75" i="170"/>
  <c r="N75" i="170"/>
  <c r="H75" i="170"/>
  <c r="O74" i="170"/>
  <c r="N74" i="170"/>
  <c r="H74" i="170"/>
  <c r="O73" i="170"/>
  <c r="N73" i="170"/>
  <c r="H73" i="170"/>
  <c r="O72" i="170"/>
  <c r="N72" i="170"/>
  <c r="H72" i="170"/>
  <c r="O71" i="170"/>
  <c r="N71" i="170"/>
  <c r="H71" i="170"/>
  <c r="O70" i="170"/>
  <c r="N70" i="170"/>
  <c r="H70" i="170"/>
  <c r="T69" i="170"/>
  <c r="T96" i="170" s="1"/>
  <c r="O69" i="170"/>
  <c r="N69" i="170"/>
  <c r="H69" i="170"/>
  <c r="O68" i="170"/>
  <c r="N68" i="170"/>
  <c r="H68" i="170"/>
  <c r="O67" i="170"/>
  <c r="N67" i="170"/>
  <c r="H67" i="170"/>
  <c r="O66" i="170"/>
  <c r="N66" i="170"/>
  <c r="H66" i="170"/>
  <c r="O65" i="170"/>
  <c r="N65" i="170"/>
  <c r="H65" i="170"/>
  <c r="O64" i="170"/>
  <c r="N64" i="170"/>
  <c r="H64" i="170"/>
  <c r="O63" i="170"/>
  <c r="N63" i="170"/>
  <c r="H63" i="170"/>
  <c r="O62" i="170"/>
  <c r="N62" i="170"/>
  <c r="H62" i="170"/>
  <c r="O61" i="170"/>
  <c r="N61" i="170"/>
  <c r="H61" i="170"/>
  <c r="O60" i="170"/>
  <c r="N60" i="170"/>
  <c r="H60" i="170"/>
  <c r="O59" i="170"/>
  <c r="N59" i="170"/>
  <c r="H59" i="170"/>
  <c r="O58" i="170"/>
  <c r="N58" i="170"/>
  <c r="H58" i="170"/>
  <c r="O57" i="170"/>
  <c r="N57" i="170"/>
  <c r="H57" i="170"/>
  <c r="O56" i="170"/>
  <c r="N56" i="170"/>
  <c r="H56" i="170"/>
  <c r="O55" i="170"/>
  <c r="N55" i="170"/>
  <c r="O54" i="170"/>
  <c r="N54" i="170"/>
  <c r="H54" i="170"/>
  <c r="O53" i="170"/>
  <c r="N53" i="170"/>
  <c r="H53" i="170"/>
  <c r="O52" i="170"/>
  <c r="N52" i="170"/>
  <c r="O51" i="170"/>
  <c r="N51" i="170"/>
  <c r="O50" i="170"/>
  <c r="N50" i="170"/>
  <c r="H50" i="170"/>
  <c r="O49" i="170"/>
  <c r="N49" i="170"/>
  <c r="H49" i="170"/>
  <c r="O48" i="170"/>
  <c r="N48" i="170"/>
  <c r="H48" i="170"/>
  <c r="O47" i="170"/>
  <c r="N47" i="170"/>
  <c r="H47" i="170"/>
  <c r="O46" i="170"/>
  <c r="N46" i="170"/>
  <c r="H46" i="170"/>
  <c r="O45" i="170"/>
  <c r="N45" i="170"/>
  <c r="H45" i="170"/>
  <c r="O44" i="170"/>
  <c r="N44" i="170"/>
  <c r="H44" i="170"/>
  <c r="O43" i="170"/>
  <c r="N43" i="170"/>
  <c r="H43" i="170"/>
  <c r="O42" i="170"/>
  <c r="N42" i="170"/>
  <c r="H42" i="170"/>
  <c r="O41" i="170"/>
  <c r="N41" i="170"/>
  <c r="H41" i="170"/>
  <c r="O40" i="170"/>
  <c r="N40" i="170"/>
  <c r="H40" i="170"/>
  <c r="O39" i="170"/>
  <c r="N39" i="170"/>
  <c r="H39" i="170"/>
  <c r="O38" i="170"/>
  <c r="N38" i="170"/>
  <c r="H38" i="170"/>
  <c r="O37" i="170"/>
  <c r="N37" i="170"/>
  <c r="H37" i="170"/>
  <c r="O36" i="170"/>
  <c r="N36" i="170"/>
  <c r="O35" i="170"/>
  <c r="N35" i="170"/>
  <c r="H35" i="170"/>
  <c r="N34" i="170"/>
  <c r="H34" i="170"/>
  <c r="O33" i="170"/>
  <c r="N33" i="170"/>
  <c r="H33" i="170"/>
  <c r="O32" i="170"/>
  <c r="N32" i="170"/>
  <c r="O31" i="170"/>
  <c r="N31" i="170"/>
  <c r="O30" i="170"/>
  <c r="N30" i="170"/>
  <c r="H30" i="170"/>
  <c r="O29" i="170"/>
  <c r="N29" i="170"/>
  <c r="H29" i="170"/>
  <c r="O28" i="170"/>
  <c r="N28" i="170"/>
  <c r="H28" i="170"/>
  <c r="O27" i="170"/>
  <c r="N27" i="170"/>
  <c r="H27" i="170"/>
  <c r="O26" i="170"/>
  <c r="N26" i="170"/>
  <c r="H26" i="170"/>
  <c r="O25" i="170"/>
  <c r="N25" i="170"/>
  <c r="H25" i="170"/>
  <c r="O24" i="170"/>
  <c r="N24" i="170"/>
  <c r="H24" i="170"/>
  <c r="O23" i="170"/>
  <c r="N23" i="170"/>
  <c r="H23" i="170"/>
  <c r="O22" i="170"/>
  <c r="N22" i="170"/>
  <c r="H22" i="170"/>
  <c r="O21" i="170"/>
  <c r="N21" i="170"/>
  <c r="H21" i="170"/>
  <c r="O20" i="170"/>
  <c r="N20" i="170"/>
  <c r="H20" i="170"/>
  <c r="O19" i="170"/>
  <c r="N19" i="170"/>
  <c r="H19" i="170"/>
  <c r="O18" i="170"/>
  <c r="N18" i="170"/>
  <c r="N17" i="170"/>
  <c r="O16" i="170"/>
  <c r="N16" i="170"/>
  <c r="O15" i="170"/>
  <c r="N15" i="170"/>
  <c r="H15" i="170"/>
  <c r="S14" i="170"/>
  <c r="O14" i="170"/>
  <c r="N14" i="170"/>
  <c r="O13" i="170"/>
  <c r="N13" i="170"/>
  <c r="H13" i="170"/>
  <c r="O12" i="170"/>
  <c r="N12" i="170"/>
  <c r="H12" i="170"/>
  <c r="O11" i="170"/>
  <c r="N11" i="170"/>
  <c r="H11" i="170"/>
  <c r="O10" i="170"/>
  <c r="N10" i="170"/>
  <c r="O9" i="170"/>
  <c r="N9" i="170"/>
  <c r="O8" i="170"/>
  <c r="N8" i="170"/>
  <c r="H8" i="170"/>
  <c r="O7" i="170"/>
  <c r="N7" i="170"/>
  <c r="H7" i="170"/>
  <c r="O6" i="170"/>
  <c r="N6" i="170"/>
  <c r="H6" i="170"/>
  <c r="O5" i="170"/>
  <c r="N5" i="170"/>
  <c r="H5" i="170"/>
  <c r="O4" i="170"/>
  <c r="N4" i="170"/>
  <c r="H4" i="170"/>
  <c r="O3" i="170"/>
  <c r="N3" i="170"/>
  <c r="H3" i="170"/>
  <c r="O2" i="170"/>
  <c r="O228" i="170" s="1"/>
  <c r="B229" i="170" s="1"/>
  <c r="B234" i="170" s="1"/>
  <c r="B240" i="170" s="1"/>
  <c r="B253" i="170" s="1"/>
  <c r="N2" i="170"/>
  <c r="N228" i="170" s="1"/>
  <c r="H2" i="170"/>
  <c r="H228" i="170" s="1"/>
  <c r="B269" i="169"/>
  <c r="B260" i="169"/>
  <c r="B259" i="169"/>
  <c r="B273" i="169" s="1"/>
  <c r="B252" i="169"/>
  <c r="B253" i="169" s="1"/>
  <c r="B250" i="169"/>
  <c r="B249" i="169"/>
  <c r="B248" i="169"/>
  <c r="B251" i="169" s="1"/>
  <c r="B244" i="169"/>
  <c r="B242" i="169"/>
  <c r="B245" i="169" s="1"/>
  <c r="B238" i="169"/>
  <c r="B237" i="169"/>
  <c r="B236" i="169"/>
  <c r="B240" i="169" s="1"/>
  <c r="B233" i="169"/>
  <c r="B231" i="169"/>
  <c r="P229" i="169"/>
  <c r="K229" i="169"/>
  <c r="I229" i="169"/>
  <c r="N228" i="169"/>
  <c r="N227" i="169"/>
  <c r="N226" i="169"/>
  <c r="N225" i="169"/>
  <c r="N224" i="169"/>
  <c r="N223" i="169"/>
  <c r="N222" i="169"/>
  <c r="N221" i="169"/>
  <c r="N220" i="169"/>
  <c r="O219" i="169"/>
  <c r="N219" i="169"/>
  <c r="H219" i="169"/>
  <c r="O218" i="169"/>
  <c r="N218" i="169"/>
  <c r="H218" i="169"/>
  <c r="O217" i="169"/>
  <c r="N217" i="169"/>
  <c r="H217" i="169"/>
  <c r="O216" i="169"/>
  <c r="N216" i="169"/>
  <c r="H216" i="169"/>
  <c r="O215" i="169"/>
  <c r="N215" i="169"/>
  <c r="H215" i="169"/>
  <c r="O214" i="169"/>
  <c r="N214" i="169"/>
  <c r="H214" i="169"/>
  <c r="O213" i="169"/>
  <c r="N213" i="169"/>
  <c r="H213" i="169"/>
  <c r="O212" i="169"/>
  <c r="N212" i="169"/>
  <c r="H212" i="169"/>
  <c r="O211" i="169"/>
  <c r="N211" i="169"/>
  <c r="H211" i="169"/>
  <c r="O210" i="169"/>
  <c r="N210" i="169"/>
  <c r="H210" i="169"/>
  <c r="O209" i="169"/>
  <c r="N209" i="169"/>
  <c r="H209" i="169"/>
  <c r="O208" i="169"/>
  <c r="N208" i="169"/>
  <c r="H208" i="169"/>
  <c r="O207" i="169"/>
  <c r="N207" i="169"/>
  <c r="H207" i="169"/>
  <c r="O206" i="169"/>
  <c r="N206" i="169"/>
  <c r="H206" i="169"/>
  <c r="O205" i="169"/>
  <c r="N205" i="169"/>
  <c r="H205" i="169"/>
  <c r="O204" i="169"/>
  <c r="N204" i="169"/>
  <c r="H204" i="169"/>
  <c r="O203" i="169"/>
  <c r="N203" i="169"/>
  <c r="H203" i="169"/>
  <c r="O202" i="169"/>
  <c r="N202" i="169"/>
  <c r="H202" i="169"/>
  <c r="O201" i="169"/>
  <c r="N201" i="169"/>
  <c r="H201" i="169"/>
  <c r="O200" i="169"/>
  <c r="N200" i="169"/>
  <c r="H200" i="169"/>
  <c r="O199" i="169"/>
  <c r="N199" i="169"/>
  <c r="H199" i="169"/>
  <c r="O198" i="169"/>
  <c r="N198" i="169"/>
  <c r="H198" i="169"/>
  <c r="O197" i="169"/>
  <c r="N197" i="169"/>
  <c r="H197" i="169"/>
  <c r="O196" i="169"/>
  <c r="N196" i="169"/>
  <c r="H196" i="169"/>
  <c r="O195" i="169"/>
  <c r="N195" i="169"/>
  <c r="H195" i="169"/>
  <c r="O194" i="169"/>
  <c r="N194" i="169"/>
  <c r="H194" i="169"/>
  <c r="O193" i="169"/>
  <c r="N193" i="169"/>
  <c r="H193" i="169"/>
  <c r="O192" i="169"/>
  <c r="N192" i="169"/>
  <c r="O191" i="169"/>
  <c r="N191" i="169"/>
  <c r="H191" i="169"/>
  <c r="O190" i="169"/>
  <c r="N190" i="169"/>
  <c r="H190" i="169"/>
  <c r="O189" i="169"/>
  <c r="N189" i="169"/>
  <c r="H189" i="169"/>
  <c r="O188" i="169"/>
  <c r="N188" i="169"/>
  <c r="H188" i="169"/>
  <c r="O187" i="169"/>
  <c r="N187" i="169"/>
  <c r="H187" i="169"/>
  <c r="O186" i="169"/>
  <c r="N186" i="169"/>
  <c r="H186" i="169"/>
  <c r="O185" i="169"/>
  <c r="N185" i="169"/>
  <c r="H185" i="169"/>
  <c r="O184" i="169"/>
  <c r="N184" i="169"/>
  <c r="O183" i="169"/>
  <c r="N183" i="169"/>
  <c r="O182" i="169"/>
  <c r="N182" i="169"/>
  <c r="O181" i="169"/>
  <c r="N181" i="169"/>
  <c r="H181" i="169"/>
  <c r="O180" i="169"/>
  <c r="N180" i="169"/>
  <c r="H180" i="169"/>
  <c r="O179" i="169"/>
  <c r="N179" i="169"/>
  <c r="H179" i="169"/>
  <c r="O178" i="169"/>
  <c r="N178" i="169"/>
  <c r="H178" i="169"/>
  <c r="O177" i="169"/>
  <c r="N177" i="169"/>
  <c r="H177" i="169"/>
  <c r="O176" i="169"/>
  <c r="N176" i="169"/>
  <c r="H176" i="169"/>
  <c r="O175" i="169"/>
  <c r="N175" i="169"/>
  <c r="H175" i="169"/>
  <c r="O174" i="169"/>
  <c r="N174" i="169"/>
  <c r="H174" i="169"/>
  <c r="O173" i="169"/>
  <c r="N173" i="169"/>
  <c r="H173" i="169"/>
  <c r="O172" i="169"/>
  <c r="N172" i="169"/>
  <c r="H172" i="169"/>
  <c r="O171" i="169"/>
  <c r="N171" i="169"/>
  <c r="H171" i="169"/>
  <c r="O170" i="169"/>
  <c r="N170" i="169"/>
  <c r="H170" i="169"/>
  <c r="O169" i="169"/>
  <c r="N169" i="169"/>
  <c r="H169" i="169"/>
  <c r="O168" i="169"/>
  <c r="N168" i="169"/>
  <c r="O167" i="169"/>
  <c r="N167" i="169"/>
  <c r="H167" i="169"/>
  <c r="O166" i="169"/>
  <c r="N166" i="169"/>
  <c r="H166" i="169"/>
  <c r="O165" i="169"/>
  <c r="N165" i="169"/>
  <c r="H165" i="169"/>
  <c r="O164" i="169"/>
  <c r="N164" i="169"/>
  <c r="H164" i="169"/>
  <c r="O163" i="169"/>
  <c r="N163" i="169"/>
  <c r="H163" i="169"/>
  <c r="O162" i="169"/>
  <c r="N162" i="169"/>
  <c r="H162" i="169"/>
  <c r="O161" i="169"/>
  <c r="N161" i="169"/>
  <c r="H161" i="169"/>
  <c r="N160" i="169"/>
  <c r="H160" i="169"/>
  <c r="O159" i="169"/>
  <c r="N159" i="169"/>
  <c r="N158" i="169"/>
  <c r="O157" i="169"/>
  <c r="N157" i="169"/>
  <c r="H157" i="169"/>
  <c r="O156" i="169"/>
  <c r="N156" i="169"/>
  <c r="H156" i="169"/>
  <c r="O155" i="169"/>
  <c r="N155" i="169"/>
  <c r="H155" i="169"/>
  <c r="O154" i="169"/>
  <c r="N154" i="169"/>
  <c r="H154" i="169"/>
  <c r="O153" i="169"/>
  <c r="N153" i="169"/>
  <c r="H153" i="169"/>
  <c r="O152" i="169"/>
  <c r="N152" i="169"/>
  <c r="H152" i="169"/>
  <c r="O151" i="169"/>
  <c r="N151" i="169"/>
  <c r="H151" i="169"/>
  <c r="O150" i="169"/>
  <c r="N150" i="169"/>
  <c r="H150" i="169"/>
  <c r="O149" i="169"/>
  <c r="N149" i="169"/>
  <c r="H149" i="169"/>
  <c r="O148" i="169"/>
  <c r="N148" i="169"/>
  <c r="H148" i="169"/>
  <c r="O147" i="169"/>
  <c r="N147" i="169"/>
  <c r="H147" i="169"/>
  <c r="O146" i="169"/>
  <c r="N146" i="169"/>
  <c r="H146" i="169"/>
  <c r="O145" i="169"/>
  <c r="N145" i="169"/>
  <c r="H145" i="169"/>
  <c r="O144" i="169"/>
  <c r="N144" i="169"/>
  <c r="H144" i="169"/>
  <c r="O143" i="169"/>
  <c r="N143" i="169"/>
  <c r="H143" i="169"/>
  <c r="O142" i="169"/>
  <c r="N142" i="169"/>
  <c r="H142" i="169"/>
  <c r="O141" i="169"/>
  <c r="N141" i="169"/>
  <c r="H141" i="169"/>
  <c r="O140" i="169"/>
  <c r="N140" i="169"/>
  <c r="H140" i="169"/>
  <c r="O139" i="169"/>
  <c r="N139" i="169"/>
  <c r="H139" i="169"/>
  <c r="O138" i="169"/>
  <c r="N138" i="169"/>
  <c r="H138" i="169"/>
  <c r="O137" i="169"/>
  <c r="N137" i="169"/>
  <c r="H137" i="169"/>
  <c r="O136" i="169"/>
  <c r="N136" i="169"/>
  <c r="H136" i="169"/>
  <c r="O135" i="169"/>
  <c r="N135" i="169"/>
  <c r="H135" i="169"/>
  <c r="O134" i="169"/>
  <c r="N134" i="169"/>
  <c r="H134" i="169"/>
  <c r="O133" i="169"/>
  <c r="N133" i="169"/>
  <c r="H133" i="169"/>
  <c r="O132" i="169"/>
  <c r="N132" i="169"/>
  <c r="H132" i="169"/>
  <c r="O131" i="169"/>
  <c r="N131" i="169"/>
  <c r="H131" i="169"/>
  <c r="O130" i="169"/>
  <c r="N130" i="169"/>
  <c r="H130" i="169"/>
  <c r="O129" i="169"/>
  <c r="N129" i="169"/>
  <c r="H129" i="169"/>
  <c r="O128" i="169"/>
  <c r="N128" i="169"/>
  <c r="H128" i="169"/>
  <c r="O127" i="169"/>
  <c r="N127" i="169"/>
  <c r="H127" i="169"/>
  <c r="O126" i="169"/>
  <c r="N126" i="169"/>
  <c r="H126" i="169"/>
  <c r="O125" i="169"/>
  <c r="N125" i="169"/>
  <c r="H125" i="169"/>
  <c r="O124" i="169"/>
  <c r="N124" i="169"/>
  <c r="H124" i="169"/>
  <c r="O123" i="169"/>
  <c r="N123" i="169"/>
  <c r="H123" i="169"/>
  <c r="O122" i="169"/>
  <c r="N122" i="169"/>
  <c r="H122" i="169"/>
  <c r="O121" i="169"/>
  <c r="N121" i="169"/>
  <c r="H121" i="169"/>
  <c r="O120" i="169"/>
  <c r="N120" i="169"/>
  <c r="H120" i="169"/>
  <c r="O119" i="169"/>
  <c r="N119" i="169"/>
  <c r="H119" i="169"/>
  <c r="O118" i="169"/>
  <c r="N118" i="169"/>
  <c r="H118" i="169"/>
  <c r="O117" i="169"/>
  <c r="N117" i="169"/>
  <c r="H117" i="169"/>
  <c r="O116" i="169"/>
  <c r="N116" i="169"/>
  <c r="H116" i="169"/>
  <c r="O115" i="169"/>
  <c r="N115" i="169"/>
  <c r="H115" i="169"/>
  <c r="O114" i="169"/>
  <c r="N114" i="169"/>
  <c r="H114" i="169"/>
  <c r="O113" i="169"/>
  <c r="N113" i="169"/>
  <c r="H113" i="169"/>
  <c r="O112" i="169"/>
  <c r="N112" i="169"/>
  <c r="H112" i="169"/>
  <c r="O111" i="169"/>
  <c r="N111" i="169"/>
  <c r="H111" i="169"/>
  <c r="O110" i="169"/>
  <c r="N110" i="169"/>
  <c r="H110" i="169"/>
  <c r="O109" i="169"/>
  <c r="N109" i="169"/>
  <c r="H109" i="169"/>
  <c r="O108" i="169"/>
  <c r="N108" i="169"/>
  <c r="H108" i="169"/>
  <c r="O107" i="169"/>
  <c r="N107" i="169"/>
  <c r="H107" i="169"/>
  <c r="O106" i="169"/>
  <c r="N106" i="169"/>
  <c r="H106" i="169"/>
  <c r="O105" i="169"/>
  <c r="N105" i="169"/>
  <c r="H105" i="169"/>
  <c r="O104" i="169"/>
  <c r="N104" i="169"/>
  <c r="H104" i="169"/>
  <c r="O103" i="169"/>
  <c r="N103" i="169"/>
  <c r="H103" i="169"/>
  <c r="O102" i="169"/>
  <c r="N102" i="169"/>
  <c r="H102" i="169"/>
  <c r="O101" i="169"/>
  <c r="N101" i="169"/>
  <c r="H101" i="169"/>
  <c r="O100" i="169"/>
  <c r="N100" i="169"/>
  <c r="H100" i="169"/>
  <c r="O99" i="169"/>
  <c r="N99" i="169"/>
  <c r="H99" i="169"/>
  <c r="O98" i="169"/>
  <c r="N98" i="169"/>
  <c r="H98" i="169"/>
  <c r="O97" i="169"/>
  <c r="N97" i="169"/>
  <c r="H97" i="169"/>
  <c r="O96" i="169"/>
  <c r="N96" i="169"/>
  <c r="H96" i="169"/>
  <c r="O95" i="169"/>
  <c r="N95" i="169"/>
  <c r="H95" i="169"/>
  <c r="O94" i="169"/>
  <c r="N94" i="169"/>
  <c r="H94" i="169"/>
  <c r="O93" i="169"/>
  <c r="N93" i="169"/>
  <c r="H93" i="169"/>
  <c r="N92" i="169"/>
  <c r="H92" i="169"/>
  <c r="N91" i="169"/>
  <c r="H91" i="169"/>
  <c r="N90" i="169"/>
  <c r="H90" i="169"/>
  <c r="O89" i="169"/>
  <c r="N89" i="169"/>
  <c r="H89" i="169"/>
  <c r="O88" i="169"/>
  <c r="N88" i="169"/>
  <c r="H88" i="169"/>
  <c r="O87" i="169"/>
  <c r="N87" i="169"/>
  <c r="H87" i="169"/>
  <c r="O86" i="169"/>
  <c r="N86" i="169"/>
  <c r="H86" i="169"/>
  <c r="O85" i="169"/>
  <c r="N85" i="169"/>
  <c r="H85" i="169"/>
  <c r="O84" i="169"/>
  <c r="N84" i="169"/>
  <c r="H84" i="169"/>
  <c r="O83" i="169"/>
  <c r="N83" i="169"/>
  <c r="H83" i="169"/>
  <c r="O82" i="169"/>
  <c r="N82" i="169"/>
  <c r="O81" i="169"/>
  <c r="N81" i="169"/>
  <c r="O80" i="169"/>
  <c r="N80" i="169"/>
  <c r="H80" i="169"/>
  <c r="O79" i="169"/>
  <c r="N79" i="169"/>
  <c r="H79" i="169"/>
  <c r="O78" i="169"/>
  <c r="N78" i="169"/>
  <c r="O77" i="169"/>
  <c r="N77" i="169"/>
  <c r="H77" i="169"/>
  <c r="O76" i="169"/>
  <c r="N76" i="169"/>
  <c r="H76" i="169"/>
  <c r="O75" i="169"/>
  <c r="N75" i="169"/>
  <c r="H75" i="169"/>
  <c r="O74" i="169"/>
  <c r="N74" i="169"/>
  <c r="H74" i="169"/>
  <c r="O73" i="169"/>
  <c r="N73" i="169"/>
  <c r="H73" i="169"/>
  <c r="O72" i="169"/>
  <c r="N72" i="169"/>
  <c r="H72" i="169"/>
  <c r="O71" i="169"/>
  <c r="N71" i="169"/>
  <c r="H71" i="169"/>
  <c r="O70" i="169"/>
  <c r="N70" i="169"/>
  <c r="H70" i="169"/>
  <c r="T69" i="169"/>
  <c r="T96" i="169" s="1"/>
  <c r="O69" i="169"/>
  <c r="N69" i="169"/>
  <c r="H69" i="169"/>
  <c r="O68" i="169"/>
  <c r="N68" i="169"/>
  <c r="H68" i="169"/>
  <c r="O67" i="169"/>
  <c r="N67" i="169"/>
  <c r="H67" i="169"/>
  <c r="O66" i="169"/>
  <c r="N66" i="169"/>
  <c r="H66" i="169"/>
  <c r="O65" i="169"/>
  <c r="N65" i="169"/>
  <c r="H65" i="169"/>
  <c r="O64" i="169"/>
  <c r="N64" i="169"/>
  <c r="H64" i="169"/>
  <c r="O63" i="169"/>
  <c r="N63" i="169"/>
  <c r="H63" i="169"/>
  <c r="O62" i="169"/>
  <c r="N62" i="169"/>
  <c r="H62" i="169"/>
  <c r="O61" i="169"/>
  <c r="N61" i="169"/>
  <c r="H61" i="169"/>
  <c r="O60" i="169"/>
  <c r="N60" i="169"/>
  <c r="H60" i="169"/>
  <c r="O59" i="169"/>
  <c r="N59" i="169"/>
  <c r="H59" i="169"/>
  <c r="O58" i="169"/>
  <c r="N58" i="169"/>
  <c r="H58" i="169"/>
  <c r="O57" i="169"/>
  <c r="N57" i="169"/>
  <c r="H57" i="169"/>
  <c r="O56" i="169"/>
  <c r="N56" i="169"/>
  <c r="H56" i="169"/>
  <c r="O55" i="169"/>
  <c r="N55" i="169"/>
  <c r="O54" i="169"/>
  <c r="N54" i="169"/>
  <c r="H54" i="169"/>
  <c r="O53" i="169"/>
  <c r="N53" i="169"/>
  <c r="H53" i="169"/>
  <c r="O52" i="169"/>
  <c r="N52" i="169"/>
  <c r="O51" i="169"/>
  <c r="N51" i="169"/>
  <c r="O50" i="169"/>
  <c r="N50" i="169"/>
  <c r="H50" i="169"/>
  <c r="O49" i="169"/>
  <c r="N49" i="169"/>
  <c r="H49" i="169"/>
  <c r="O48" i="169"/>
  <c r="N48" i="169"/>
  <c r="H48" i="169"/>
  <c r="O47" i="169"/>
  <c r="N47" i="169"/>
  <c r="H47" i="169"/>
  <c r="O46" i="169"/>
  <c r="N46" i="169"/>
  <c r="H46" i="169"/>
  <c r="O45" i="169"/>
  <c r="N45" i="169"/>
  <c r="H45" i="169"/>
  <c r="O44" i="169"/>
  <c r="N44" i="169"/>
  <c r="H44" i="169"/>
  <c r="O43" i="169"/>
  <c r="N43" i="169"/>
  <c r="H43" i="169"/>
  <c r="O42" i="169"/>
  <c r="N42" i="169"/>
  <c r="H42" i="169"/>
  <c r="O41" i="169"/>
  <c r="N41" i="169"/>
  <c r="H41" i="169"/>
  <c r="O40" i="169"/>
  <c r="N40" i="169"/>
  <c r="H40" i="169"/>
  <c r="O39" i="169"/>
  <c r="N39" i="169"/>
  <c r="H39" i="169"/>
  <c r="O38" i="169"/>
  <c r="N38" i="169"/>
  <c r="H38" i="169"/>
  <c r="O37" i="169"/>
  <c r="N37" i="169"/>
  <c r="H37" i="169"/>
  <c r="O36" i="169"/>
  <c r="N36" i="169"/>
  <c r="O35" i="169"/>
  <c r="N35" i="169"/>
  <c r="H35" i="169"/>
  <c r="N34" i="169"/>
  <c r="H34" i="169"/>
  <c r="O33" i="169"/>
  <c r="N33" i="169"/>
  <c r="H33" i="169"/>
  <c r="O32" i="169"/>
  <c r="N32" i="169"/>
  <c r="O31" i="169"/>
  <c r="N31" i="169"/>
  <c r="O30" i="169"/>
  <c r="N30" i="169"/>
  <c r="H30" i="169"/>
  <c r="O29" i="169"/>
  <c r="N29" i="169"/>
  <c r="H29" i="169"/>
  <c r="O28" i="169"/>
  <c r="N28" i="169"/>
  <c r="H28" i="169"/>
  <c r="O27" i="169"/>
  <c r="N27" i="169"/>
  <c r="H27" i="169"/>
  <c r="O26" i="169"/>
  <c r="N26" i="169"/>
  <c r="H26" i="169"/>
  <c r="O25" i="169"/>
  <c r="N25" i="169"/>
  <c r="H25" i="169"/>
  <c r="O24" i="169"/>
  <c r="N24" i="169"/>
  <c r="H24" i="169"/>
  <c r="O23" i="169"/>
  <c r="N23" i="169"/>
  <c r="H23" i="169"/>
  <c r="O22" i="169"/>
  <c r="N22" i="169"/>
  <c r="H22" i="169"/>
  <c r="O21" i="169"/>
  <c r="N21" i="169"/>
  <c r="H21" i="169"/>
  <c r="O20" i="169"/>
  <c r="N20" i="169"/>
  <c r="H20" i="169"/>
  <c r="O19" i="169"/>
  <c r="N19" i="169"/>
  <c r="H19" i="169"/>
  <c r="O18" i="169"/>
  <c r="N18" i="169"/>
  <c r="N17" i="169"/>
  <c r="O16" i="169"/>
  <c r="N16" i="169"/>
  <c r="O15" i="169"/>
  <c r="N15" i="169"/>
  <c r="H15" i="169"/>
  <c r="S14" i="169"/>
  <c r="O14" i="169"/>
  <c r="N14" i="169"/>
  <c r="O13" i="169"/>
  <c r="N13" i="169"/>
  <c r="H13" i="169"/>
  <c r="O12" i="169"/>
  <c r="N12" i="169"/>
  <c r="H12" i="169"/>
  <c r="O11" i="169"/>
  <c r="N11" i="169"/>
  <c r="H11" i="169"/>
  <c r="O10" i="169"/>
  <c r="N10" i="169"/>
  <c r="O9" i="169"/>
  <c r="N9" i="169"/>
  <c r="O8" i="169"/>
  <c r="N8" i="169"/>
  <c r="H8" i="169"/>
  <c r="O7" i="169"/>
  <c r="N7" i="169"/>
  <c r="H7" i="169"/>
  <c r="O6" i="169"/>
  <c r="N6" i="169"/>
  <c r="H6" i="169"/>
  <c r="O5" i="169"/>
  <c r="N5" i="169"/>
  <c r="H5" i="169"/>
  <c r="O4" i="169"/>
  <c r="N4" i="169"/>
  <c r="H4" i="169"/>
  <c r="O3" i="169"/>
  <c r="N3" i="169"/>
  <c r="H3" i="169"/>
  <c r="O2" i="169"/>
  <c r="O229" i="169" s="1"/>
  <c r="B230" i="169" s="1"/>
  <c r="B235" i="169" s="1"/>
  <c r="B241" i="169" s="1"/>
  <c r="B254" i="169" s="1"/>
  <c r="N2" i="169"/>
  <c r="N229" i="169" s="1"/>
  <c r="H2" i="169"/>
  <c r="H229" i="169" s="1"/>
  <c r="O28" i="168"/>
  <c r="O29" i="168"/>
  <c r="O30" i="168"/>
  <c r="O31" i="168"/>
  <c r="B269" i="168"/>
  <c r="B260" i="168"/>
  <c r="B259" i="168"/>
  <c r="B273" i="168" s="1"/>
  <c r="B252" i="168"/>
  <c r="B253" i="168" s="1"/>
  <c r="B250" i="168"/>
  <c r="B249" i="168"/>
  <c r="B248" i="168"/>
  <c r="B251" i="168" s="1"/>
  <c r="B244" i="168"/>
  <c r="B242" i="168"/>
  <c r="B245" i="168" s="1"/>
  <c r="B238" i="168"/>
  <c r="B237" i="168"/>
  <c r="B236" i="168"/>
  <c r="B240" i="168" s="1"/>
  <c r="B233" i="168"/>
  <c r="B231" i="168"/>
  <c r="P229" i="168"/>
  <c r="K229" i="168"/>
  <c r="I229" i="168"/>
  <c r="N228" i="168"/>
  <c r="N227" i="168"/>
  <c r="N226" i="168"/>
  <c r="N225" i="168"/>
  <c r="N224" i="168"/>
  <c r="N223" i="168"/>
  <c r="N222" i="168"/>
  <c r="N221" i="168"/>
  <c r="N220" i="168"/>
  <c r="O219" i="168"/>
  <c r="N219" i="168"/>
  <c r="H219" i="168"/>
  <c r="O218" i="168"/>
  <c r="N218" i="168"/>
  <c r="H218" i="168"/>
  <c r="O217" i="168"/>
  <c r="N217" i="168"/>
  <c r="H217" i="168"/>
  <c r="O216" i="168"/>
  <c r="N216" i="168"/>
  <c r="H216" i="168"/>
  <c r="O215" i="168"/>
  <c r="N215" i="168"/>
  <c r="H215" i="168"/>
  <c r="O214" i="168"/>
  <c r="N214" i="168"/>
  <c r="H214" i="168"/>
  <c r="O213" i="168"/>
  <c r="N213" i="168"/>
  <c r="H213" i="168"/>
  <c r="O212" i="168"/>
  <c r="N212" i="168"/>
  <c r="H212" i="168"/>
  <c r="O211" i="168"/>
  <c r="N211" i="168"/>
  <c r="H211" i="168"/>
  <c r="O210" i="168"/>
  <c r="N210" i="168"/>
  <c r="H210" i="168"/>
  <c r="O209" i="168"/>
  <c r="N209" i="168"/>
  <c r="H209" i="168"/>
  <c r="O208" i="168"/>
  <c r="N208" i="168"/>
  <c r="H208" i="168"/>
  <c r="O207" i="168"/>
  <c r="N207" i="168"/>
  <c r="H207" i="168"/>
  <c r="O206" i="168"/>
  <c r="N206" i="168"/>
  <c r="H206" i="168"/>
  <c r="O205" i="168"/>
  <c r="N205" i="168"/>
  <c r="H205" i="168"/>
  <c r="O204" i="168"/>
  <c r="N204" i="168"/>
  <c r="H204" i="168"/>
  <c r="O203" i="168"/>
  <c r="N203" i="168"/>
  <c r="H203" i="168"/>
  <c r="O202" i="168"/>
  <c r="N202" i="168"/>
  <c r="H202" i="168"/>
  <c r="O201" i="168"/>
  <c r="N201" i="168"/>
  <c r="H201" i="168"/>
  <c r="O200" i="168"/>
  <c r="N200" i="168"/>
  <c r="H200" i="168"/>
  <c r="O199" i="168"/>
  <c r="N199" i="168"/>
  <c r="H199" i="168"/>
  <c r="O198" i="168"/>
  <c r="N198" i="168"/>
  <c r="H198" i="168"/>
  <c r="O197" i="168"/>
  <c r="N197" i="168"/>
  <c r="H197" i="168"/>
  <c r="O196" i="168"/>
  <c r="N196" i="168"/>
  <c r="H196" i="168"/>
  <c r="O195" i="168"/>
  <c r="N195" i="168"/>
  <c r="H195" i="168"/>
  <c r="O194" i="168"/>
  <c r="N194" i="168"/>
  <c r="H194" i="168"/>
  <c r="O193" i="168"/>
  <c r="N193" i="168"/>
  <c r="H193" i="168"/>
  <c r="O192" i="168"/>
  <c r="N192" i="168"/>
  <c r="O191" i="168"/>
  <c r="N191" i="168"/>
  <c r="H191" i="168"/>
  <c r="O190" i="168"/>
  <c r="N190" i="168"/>
  <c r="H190" i="168"/>
  <c r="O189" i="168"/>
  <c r="N189" i="168"/>
  <c r="H189" i="168"/>
  <c r="O188" i="168"/>
  <c r="N188" i="168"/>
  <c r="H188" i="168"/>
  <c r="O187" i="168"/>
  <c r="N187" i="168"/>
  <c r="H187" i="168"/>
  <c r="O186" i="168"/>
  <c r="N186" i="168"/>
  <c r="H186" i="168"/>
  <c r="O185" i="168"/>
  <c r="N185" i="168"/>
  <c r="H185" i="168"/>
  <c r="O184" i="168"/>
  <c r="N184" i="168"/>
  <c r="O183" i="168"/>
  <c r="N183" i="168"/>
  <c r="O182" i="168"/>
  <c r="N182" i="168"/>
  <c r="O181" i="168"/>
  <c r="N181" i="168"/>
  <c r="H181" i="168"/>
  <c r="O180" i="168"/>
  <c r="N180" i="168"/>
  <c r="H180" i="168"/>
  <c r="O179" i="168"/>
  <c r="N179" i="168"/>
  <c r="H179" i="168"/>
  <c r="O178" i="168"/>
  <c r="N178" i="168"/>
  <c r="H178" i="168"/>
  <c r="O177" i="168"/>
  <c r="N177" i="168"/>
  <c r="H177" i="168"/>
  <c r="O176" i="168"/>
  <c r="N176" i="168"/>
  <c r="H176" i="168"/>
  <c r="O175" i="168"/>
  <c r="N175" i="168"/>
  <c r="H175" i="168"/>
  <c r="O174" i="168"/>
  <c r="N174" i="168"/>
  <c r="H174" i="168"/>
  <c r="O173" i="168"/>
  <c r="N173" i="168"/>
  <c r="H173" i="168"/>
  <c r="O172" i="168"/>
  <c r="N172" i="168"/>
  <c r="H172" i="168"/>
  <c r="O171" i="168"/>
  <c r="N171" i="168"/>
  <c r="H171" i="168"/>
  <c r="O170" i="168"/>
  <c r="N170" i="168"/>
  <c r="H170" i="168"/>
  <c r="O169" i="168"/>
  <c r="N169" i="168"/>
  <c r="H169" i="168"/>
  <c r="O168" i="168"/>
  <c r="N168" i="168"/>
  <c r="O167" i="168"/>
  <c r="N167" i="168"/>
  <c r="H167" i="168"/>
  <c r="O166" i="168"/>
  <c r="N166" i="168"/>
  <c r="H166" i="168"/>
  <c r="O165" i="168"/>
  <c r="N165" i="168"/>
  <c r="H165" i="168"/>
  <c r="O164" i="168"/>
  <c r="N164" i="168"/>
  <c r="H164" i="168"/>
  <c r="O163" i="168"/>
  <c r="N163" i="168"/>
  <c r="H163" i="168"/>
  <c r="O162" i="168"/>
  <c r="N162" i="168"/>
  <c r="H162" i="168"/>
  <c r="O161" i="168"/>
  <c r="N161" i="168"/>
  <c r="H161" i="168"/>
  <c r="N160" i="168"/>
  <c r="H160" i="168"/>
  <c r="O159" i="168"/>
  <c r="N159" i="168"/>
  <c r="N158" i="168"/>
  <c r="O157" i="168"/>
  <c r="N157" i="168"/>
  <c r="H157" i="168"/>
  <c r="O156" i="168"/>
  <c r="N156" i="168"/>
  <c r="H156" i="168"/>
  <c r="O155" i="168"/>
  <c r="N155" i="168"/>
  <c r="H155" i="168"/>
  <c r="O154" i="168"/>
  <c r="N154" i="168"/>
  <c r="H154" i="168"/>
  <c r="O153" i="168"/>
  <c r="N153" i="168"/>
  <c r="H153" i="168"/>
  <c r="O152" i="168"/>
  <c r="N152" i="168"/>
  <c r="H152" i="168"/>
  <c r="O151" i="168"/>
  <c r="N151" i="168"/>
  <c r="H151" i="168"/>
  <c r="O150" i="168"/>
  <c r="N150" i="168"/>
  <c r="H150" i="168"/>
  <c r="O149" i="168"/>
  <c r="N149" i="168"/>
  <c r="H149" i="168"/>
  <c r="O148" i="168"/>
  <c r="N148" i="168"/>
  <c r="H148" i="168"/>
  <c r="O147" i="168"/>
  <c r="N147" i="168"/>
  <c r="H147" i="168"/>
  <c r="O146" i="168"/>
  <c r="N146" i="168"/>
  <c r="H146" i="168"/>
  <c r="O145" i="168"/>
  <c r="N145" i="168"/>
  <c r="H145" i="168"/>
  <c r="O144" i="168"/>
  <c r="N144" i="168"/>
  <c r="H144" i="168"/>
  <c r="O143" i="168"/>
  <c r="N143" i="168"/>
  <c r="H143" i="168"/>
  <c r="O142" i="168"/>
  <c r="N142" i="168"/>
  <c r="H142" i="168"/>
  <c r="O141" i="168"/>
  <c r="N141" i="168"/>
  <c r="H141" i="168"/>
  <c r="O140" i="168"/>
  <c r="N140" i="168"/>
  <c r="H140" i="168"/>
  <c r="O139" i="168"/>
  <c r="N139" i="168"/>
  <c r="H139" i="168"/>
  <c r="O138" i="168"/>
  <c r="N138" i="168"/>
  <c r="H138" i="168"/>
  <c r="O137" i="168"/>
  <c r="N137" i="168"/>
  <c r="H137" i="168"/>
  <c r="O136" i="168"/>
  <c r="N136" i="168"/>
  <c r="H136" i="168"/>
  <c r="O135" i="168"/>
  <c r="N135" i="168"/>
  <c r="H135" i="168"/>
  <c r="O134" i="168"/>
  <c r="N134" i="168"/>
  <c r="H134" i="168"/>
  <c r="O133" i="168"/>
  <c r="N133" i="168"/>
  <c r="H133" i="168"/>
  <c r="O132" i="168"/>
  <c r="N132" i="168"/>
  <c r="H132" i="168"/>
  <c r="O131" i="168"/>
  <c r="N131" i="168"/>
  <c r="H131" i="168"/>
  <c r="O130" i="168"/>
  <c r="N130" i="168"/>
  <c r="H130" i="168"/>
  <c r="O129" i="168"/>
  <c r="N129" i="168"/>
  <c r="H129" i="168"/>
  <c r="O128" i="168"/>
  <c r="N128" i="168"/>
  <c r="H128" i="168"/>
  <c r="O127" i="168"/>
  <c r="N127" i="168"/>
  <c r="H127" i="168"/>
  <c r="O126" i="168"/>
  <c r="N126" i="168"/>
  <c r="H126" i="168"/>
  <c r="O125" i="168"/>
  <c r="N125" i="168"/>
  <c r="H125" i="168"/>
  <c r="O124" i="168"/>
  <c r="N124" i="168"/>
  <c r="H124" i="168"/>
  <c r="O123" i="168"/>
  <c r="N123" i="168"/>
  <c r="H123" i="168"/>
  <c r="O122" i="168"/>
  <c r="N122" i="168"/>
  <c r="H122" i="168"/>
  <c r="O121" i="168"/>
  <c r="N121" i="168"/>
  <c r="H121" i="168"/>
  <c r="O120" i="168"/>
  <c r="N120" i="168"/>
  <c r="H120" i="168"/>
  <c r="O119" i="168"/>
  <c r="N119" i="168"/>
  <c r="H119" i="168"/>
  <c r="O118" i="168"/>
  <c r="N118" i="168"/>
  <c r="H118" i="168"/>
  <c r="O117" i="168"/>
  <c r="N117" i="168"/>
  <c r="H117" i="168"/>
  <c r="O116" i="168"/>
  <c r="N116" i="168"/>
  <c r="H116" i="168"/>
  <c r="O115" i="168"/>
  <c r="N115" i="168"/>
  <c r="H115" i="168"/>
  <c r="O114" i="168"/>
  <c r="N114" i="168"/>
  <c r="H114" i="168"/>
  <c r="O113" i="168"/>
  <c r="N113" i="168"/>
  <c r="H113" i="168"/>
  <c r="O112" i="168"/>
  <c r="N112" i="168"/>
  <c r="H112" i="168"/>
  <c r="O111" i="168"/>
  <c r="N111" i="168"/>
  <c r="H111" i="168"/>
  <c r="O110" i="168"/>
  <c r="N110" i="168"/>
  <c r="H110" i="168"/>
  <c r="O109" i="168"/>
  <c r="N109" i="168"/>
  <c r="H109" i="168"/>
  <c r="O108" i="168"/>
  <c r="N108" i="168"/>
  <c r="H108" i="168"/>
  <c r="O107" i="168"/>
  <c r="N107" i="168"/>
  <c r="H107" i="168"/>
  <c r="O106" i="168"/>
  <c r="N106" i="168"/>
  <c r="H106" i="168"/>
  <c r="O105" i="168"/>
  <c r="N105" i="168"/>
  <c r="H105" i="168"/>
  <c r="O104" i="168"/>
  <c r="N104" i="168"/>
  <c r="H104" i="168"/>
  <c r="O103" i="168"/>
  <c r="N103" i="168"/>
  <c r="H103" i="168"/>
  <c r="O102" i="168"/>
  <c r="N102" i="168"/>
  <c r="H102" i="168"/>
  <c r="O101" i="168"/>
  <c r="N101" i="168"/>
  <c r="H101" i="168"/>
  <c r="O100" i="168"/>
  <c r="N100" i="168"/>
  <c r="H100" i="168"/>
  <c r="O99" i="168"/>
  <c r="N99" i="168"/>
  <c r="H99" i="168"/>
  <c r="O98" i="168"/>
  <c r="N98" i="168"/>
  <c r="H98" i="168"/>
  <c r="O97" i="168"/>
  <c r="N97" i="168"/>
  <c r="H97" i="168"/>
  <c r="O96" i="168"/>
  <c r="N96" i="168"/>
  <c r="H96" i="168"/>
  <c r="O95" i="168"/>
  <c r="N95" i="168"/>
  <c r="H95" i="168"/>
  <c r="O94" i="168"/>
  <c r="N94" i="168"/>
  <c r="H94" i="168"/>
  <c r="O93" i="168"/>
  <c r="N93" i="168"/>
  <c r="H93" i="168"/>
  <c r="N92" i="168"/>
  <c r="H92" i="168"/>
  <c r="N91" i="168"/>
  <c r="H91" i="168"/>
  <c r="N90" i="168"/>
  <c r="H90" i="168"/>
  <c r="O89" i="168"/>
  <c r="N89" i="168"/>
  <c r="H89" i="168"/>
  <c r="O88" i="168"/>
  <c r="N88" i="168"/>
  <c r="H88" i="168"/>
  <c r="O87" i="168"/>
  <c r="N87" i="168"/>
  <c r="H87" i="168"/>
  <c r="O86" i="168"/>
  <c r="N86" i="168"/>
  <c r="H86" i="168"/>
  <c r="O85" i="168"/>
  <c r="N85" i="168"/>
  <c r="H85" i="168"/>
  <c r="O84" i="168"/>
  <c r="N84" i="168"/>
  <c r="H84" i="168"/>
  <c r="O83" i="168"/>
  <c r="N83" i="168"/>
  <c r="H83" i="168"/>
  <c r="O82" i="168"/>
  <c r="N82" i="168"/>
  <c r="O81" i="168"/>
  <c r="N81" i="168"/>
  <c r="O80" i="168"/>
  <c r="N80" i="168"/>
  <c r="H80" i="168"/>
  <c r="O79" i="168"/>
  <c r="N79" i="168"/>
  <c r="H79" i="168"/>
  <c r="O78" i="168"/>
  <c r="N78" i="168"/>
  <c r="O77" i="168"/>
  <c r="N77" i="168"/>
  <c r="H77" i="168"/>
  <c r="O76" i="168"/>
  <c r="N76" i="168"/>
  <c r="H76" i="168"/>
  <c r="O75" i="168"/>
  <c r="N75" i="168"/>
  <c r="H75" i="168"/>
  <c r="O74" i="168"/>
  <c r="N74" i="168"/>
  <c r="H74" i="168"/>
  <c r="O73" i="168"/>
  <c r="N73" i="168"/>
  <c r="H73" i="168"/>
  <c r="O72" i="168"/>
  <c r="N72" i="168"/>
  <c r="H72" i="168"/>
  <c r="O71" i="168"/>
  <c r="N71" i="168"/>
  <c r="H71" i="168"/>
  <c r="O70" i="168"/>
  <c r="N70" i="168"/>
  <c r="H70" i="168"/>
  <c r="T69" i="168"/>
  <c r="T96" i="168" s="1"/>
  <c r="O69" i="168"/>
  <c r="N69" i="168"/>
  <c r="H69" i="168"/>
  <c r="O68" i="168"/>
  <c r="N68" i="168"/>
  <c r="H68" i="168"/>
  <c r="O67" i="168"/>
  <c r="N67" i="168"/>
  <c r="H67" i="168"/>
  <c r="O66" i="168"/>
  <c r="N66" i="168"/>
  <c r="H66" i="168"/>
  <c r="O65" i="168"/>
  <c r="N65" i="168"/>
  <c r="H65" i="168"/>
  <c r="O64" i="168"/>
  <c r="N64" i="168"/>
  <c r="H64" i="168"/>
  <c r="O63" i="168"/>
  <c r="N63" i="168"/>
  <c r="H63" i="168"/>
  <c r="O62" i="168"/>
  <c r="N62" i="168"/>
  <c r="H62" i="168"/>
  <c r="O61" i="168"/>
  <c r="N61" i="168"/>
  <c r="H61" i="168"/>
  <c r="O60" i="168"/>
  <c r="N60" i="168"/>
  <c r="H60" i="168"/>
  <c r="O59" i="168"/>
  <c r="N59" i="168"/>
  <c r="H59" i="168"/>
  <c r="O58" i="168"/>
  <c r="N58" i="168"/>
  <c r="H58" i="168"/>
  <c r="O57" i="168"/>
  <c r="N57" i="168"/>
  <c r="H57" i="168"/>
  <c r="O56" i="168"/>
  <c r="N56" i="168"/>
  <c r="H56" i="168"/>
  <c r="O55" i="168"/>
  <c r="N55" i="168"/>
  <c r="O54" i="168"/>
  <c r="N54" i="168"/>
  <c r="H54" i="168"/>
  <c r="O53" i="168"/>
  <c r="N53" i="168"/>
  <c r="H53" i="168"/>
  <c r="O52" i="168"/>
  <c r="N52" i="168"/>
  <c r="O51" i="168"/>
  <c r="N51" i="168"/>
  <c r="O50" i="168"/>
  <c r="N50" i="168"/>
  <c r="H50" i="168"/>
  <c r="O49" i="168"/>
  <c r="N49" i="168"/>
  <c r="H49" i="168"/>
  <c r="O48" i="168"/>
  <c r="N48" i="168"/>
  <c r="H48" i="168"/>
  <c r="O47" i="168"/>
  <c r="N47" i="168"/>
  <c r="H47" i="168"/>
  <c r="O46" i="168"/>
  <c r="N46" i="168"/>
  <c r="H46" i="168"/>
  <c r="O45" i="168"/>
  <c r="N45" i="168"/>
  <c r="H45" i="168"/>
  <c r="O44" i="168"/>
  <c r="N44" i="168"/>
  <c r="H44" i="168"/>
  <c r="O43" i="168"/>
  <c r="N43" i="168"/>
  <c r="H43" i="168"/>
  <c r="O42" i="168"/>
  <c r="N42" i="168"/>
  <c r="H42" i="168"/>
  <c r="O41" i="168"/>
  <c r="N41" i="168"/>
  <c r="H41" i="168"/>
  <c r="O40" i="168"/>
  <c r="N40" i="168"/>
  <c r="H40" i="168"/>
  <c r="O39" i="168"/>
  <c r="N39" i="168"/>
  <c r="H39" i="168"/>
  <c r="O38" i="168"/>
  <c r="N38" i="168"/>
  <c r="H38" i="168"/>
  <c r="O37" i="168"/>
  <c r="N37" i="168"/>
  <c r="H37" i="168"/>
  <c r="O36" i="168"/>
  <c r="N36" i="168"/>
  <c r="O35" i="168"/>
  <c r="N35" i="168"/>
  <c r="H35" i="168"/>
  <c r="N34" i="168"/>
  <c r="H34" i="168"/>
  <c r="O33" i="168"/>
  <c r="N33" i="168"/>
  <c r="H33" i="168"/>
  <c r="O32" i="168"/>
  <c r="N32" i="168"/>
  <c r="N31" i="168"/>
  <c r="N30" i="168"/>
  <c r="H30" i="168"/>
  <c r="N29" i="168"/>
  <c r="H29" i="168"/>
  <c r="N28" i="168"/>
  <c r="H28" i="168"/>
  <c r="O27" i="168"/>
  <c r="N27" i="168"/>
  <c r="H27" i="168"/>
  <c r="O26" i="168"/>
  <c r="N26" i="168"/>
  <c r="H26" i="168"/>
  <c r="O25" i="168"/>
  <c r="N25" i="168"/>
  <c r="H25" i="168"/>
  <c r="O24" i="168"/>
  <c r="N24" i="168"/>
  <c r="H24" i="168"/>
  <c r="O23" i="168"/>
  <c r="N23" i="168"/>
  <c r="H23" i="168"/>
  <c r="O22" i="168"/>
  <c r="N22" i="168"/>
  <c r="H22" i="168"/>
  <c r="O21" i="168"/>
  <c r="N21" i="168"/>
  <c r="H21" i="168"/>
  <c r="O20" i="168"/>
  <c r="N20" i="168"/>
  <c r="H20" i="168"/>
  <c r="O19" i="168"/>
  <c r="N19" i="168"/>
  <c r="H19" i="168"/>
  <c r="O18" i="168"/>
  <c r="N18" i="168"/>
  <c r="N17" i="168"/>
  <c r="O16" i="168"/>
  <c r="N16" i="168"/>
  <c r="O15" i="168"/>
  <c r="N15" i="168"/>
  <c r="H15" i="168"/>
  <c r="S14" i="168"/>
  <c r="O14" i="168"/>
  <c r="N14" i="168"/>
  <c r="O13" i="168"/>
  <c r="N13" i="168"/>
  <c r="H13" i="168"/>
  <c r="O12" i="168"/>
  <c r="N12" i="168"/>
  <c r="H12" i="168"/>
  <c r="O11" i="168"/>
  <c r="N11" i="168"/>
  <c r="H11" i="168"/>
  <c r="O10" i="168"/>
  <c r="N10" i="168"/>
  <c r="O9" i="168"/>
  <c r="N9" i="168"/>
  <c r="O8" i="168"/>
  <c r="N8" i="168"/>
  <c r="H8" i="168"/>
  <c r="O7" i="168"/>
  <c r="N7" i="168"/>
  <c r="H7" i="168"/>
  <c r="O6" i="168"/>
  <c r="N6" i="168"/>
  <c r="H6" i="168"/>
  <c r="O5" i="168"/>
  <c r="N5" i="168"/>
  <c r="H5" i="168"/>
  <c r="O4" i="168"/>
  <c r="N4" i="168"/>
  <c r="H4" i="168"/>
  <c r="O3" i="168"/>
  <c r="N3" i="168"/>
  <c r="H3" i="168"/>
  <c r="O2" i="168"/>
  <c r="O229" i="168" s="1"/>
  <c r="B230" i="168" s="1"/>
  <c r="B235" i="168" s="1"/>
  <c r="B241" i="168" s="1"/>
  <c r="B254" i="168" s="1"/>
  <c r="N2" i="168"/>
  <c r="N229" i="168" s="1"/>
  <c r="H2" i="168"/>
  <c r="H229" i="168" s="1"/>
  <c r="H170" i="167"/>
  <c r="H171" i="167"/>
  <c r="B269" i="167"/>
  <c r="B260" i="167"/>
  <c r="B259" i="167"/>
  <c r="B273" i="167" s="1"/>
  <c r="B252" i="167"/>
  <c r="B253" i="167" s="1"/>
  <c r="B250" i="167"/>
  <c r="B249" i="167"/>
  <c r="B248" i="167"/>
  <c r="B251" i="167" s="1"/>
  <c r="B244" i="167"/>
  <c r="B242" i="167"/>
  <c r="B245" i="167" s="1"/>
  <c r="B238" i="167"/>
  <c r="B237" i="167"/>
  <c r="B236" i="167"/>
  <c r="B240" i="167" s="1"/>
  <c r="B233" i="167"/>
  <c r="B231" i="167"/>
  <c r="P229" i="167"/>
  <c r="K229" i="167"/>
  <c r="I229" i="167"/>
  <c r="N228" i="167"/>
  <c r="N227" i="167"/>
  <c r="N226" i="167"/>
  <c r="N225" i="167"/>
  <c r="N224" i="167"/>
  <c r="N223" i="167"/>
  <c r="N222" i="167"/>
  <c r="N221" i="167"/>
  <c r="N220" i="167"/>
  <c r="O219" i="167"/>
  <c r="N219" i="167"/>
  <c r="H219" i="167"/>
  <c r="O218" i="167"/>
  <c r="N218" i="167"/>
  <c r="H218" i="167"/>
  <c r="O217" i="167"/>
  <c r="N217" i="167"/>
  <c r="H217" i="167"/>
  <c r="O216" i="167"/>
  <c r="N216" i="167"/>
  <c r="H216" i="167"/>
  <c r="O215" i="167"/>
  <c r="N215" i="167"/>
  <c r="H215" i="167"/>
  <c r="O214" i="167"/>
  <c r="N214" i="167"/>
  <c r="H214" i="167"/>
  <c r="O213" i="167"/>
  <c r="N213" i="167"/>
  <c r="H213" i="167"/>
  <c r="O212" i="167"/>
  <c r="N212" i="167"/>
  <c r="H212" i="167"/>
  <c r="O211" i="167"/>
  <c r="N211" i="167"/>
  <c r="H211" i="167"/>
  <c r="O210" i="167"/>
  <c r="N210" i="167"/>
  <c r="H210" i="167"/>
  <c r="O209" i="167"/>
  <c r="N209" i="167"/>
  <c r="H209" i="167"/>
  <c r="O208" i="167"/>
  <c r="N208" i="167"/>
  <c r="H208" i="167"/>
  <c r="O207" i="167"/>
  <c r="N207" i="167"/>
  <c r="H207" i="167"/>
  <c r="O206" i="167"/>
  <c r="N206" i="167"/>
  <c r="H206" i="167"/>
  <c r="O205" i="167"/>
  <c r="N205" i="167"/>
  <c r="H205" i="167"/>
  <c r="O204" i="167"/>
  <c r="N204" i="167"/>
  <c r="H204" i="167"/>
  <c r="O203" i="167"/>
  <c r="N203" i="167"/>
  <c r="H203" i="167"/>
  <c r="O202" i="167"/>
  <c r="N202" i="167"/>
  <c r="H202" i="167"/>
  <c r="O201" i="167"/>
  <c r="N201" i="167"/>
  <c r="H201" i="167"/>
  <c r="O200" i="167"/>
  <c r="N200" i="167"/>
  <c r="H200" i="167"/>
  <c r="O199" i="167"/>
  <c r="N199" i="167"/>
  <c r="H199" i="167"/>
  <c r="O198" i="167"/>
  <c r="N198" i="167"/>
  <c r="H198" i="167"/>
  <c r="O197" i="167"/>
  <c r="N197" i="167"/>
  <c r="H197" i="167"/>
  <c r="O196" i="167"/>
  <c r="N196" i="167"/>
  <c r="H196" i="167"/>
  <c r="O195" i="167"/>
  <c r="N195" i="167"/>
  <c r="H195" i="167"/>
  <c r="O194" i="167"/>
  <c r="N194" i="167"/>
  <c r="H194" i="167"/>
  <c r="O193" i="167"/>
  <c r="N193" i="167"/>
  <c r="H193" i="167"/>
  <c r="O192" i="167"/>
  <c r="N192" i="167"/>
  <c r="O191" i="167"/>
  <c r="N191" i="167"/>
  <c r="H191" i="167"/>
  <c r="O190" i="167"/>
  <c r="N190" i="167"/>
  <c r="H190" i="167"/>
  <c r="O189" i="167"/>
  <c r="N189" i="167"/>
  <c r="H189" i="167"/>
  <c r="O188" i="167"/>
  <c r="N188" i="167"/>
  <c r="H188" i="167"/>
  <c r="O187" i="167"/>
  <c r="N187" i="167"/>
  <c r="H187" i="167"/>
  <c r="O186" i="167"/>
  <c r="N186" i="167"/>
  <c r="H186" i="167"/>
  <c r="O185" i="167"/>
  <c r="N185" i="167"/>
  <c r="H185" i="167"/>
  <c r="O184" i="167"/>
  <c r="N184" i="167"/>
  <c r="O183" i="167"/>
  <c r="N183" i="167"/>
  <c r="O182" i="167"/>
  <c r="N182" i="167"/>
  <c r="O181" i="167"/>
  <c r="N181" i="167"/>
  <c r="H181" i="167"/>
  <c r="O180" i="167"/>
  <c r="N180" i="167"/>
  <c r="H180" i="167"/>
  <c r="O179" i="167"/>
  <c r="N179" i="167"/>
  <c r="H179" i="167"/>
  <c r="O178" i="167"/>
  <c r="N178" i="167"/>
  <c r="H178" i="167"/>
  <c r="O177" i="167"/>
  <c r="N177" i="167"/>
  <c r="H177" i="167"/>
  <c r="O176" i="167"/>
  <c r="N176" i="167"/>
  <c r="H176" i="167"/>
  <c r="O175" i="167"/>
  <c r="N175" i="167"/>
  <c r="H175" i="167"/>
  <c r="O174" i="167"/>
  <c r="N174" i="167"/>
  <c r="H174" i="167"/>
  <c r="O173" i="167"/>
  <c r="N173" i="167"/>
  <c r="H173" i="167"/>
  <c r="O172" i="167"/>
  <c r="N172" i="167"/>
  <c r="H172" i="167"/>
  <c r="O171" i="167"/>
  <c r="N171" i="167"/>
  <c r="O170" i="167"/>
  <c r="N170" i="167"/>
  <c r="O169" i="167"/>
  <c r="N169" i="167"/>
  <c r="H169" i="167"/>
  <c r="O168" i="167"/>
  <c r="N168" i="167"/>
  <c r="O167" i="167"/>
  <c r="N167" i="167"/>
  <c r="H167" i="167"/>
  <c r="O166" i="167"/>
  <c r="N166" i="167"/>
  <c r="H166" i="167"/>
  <c r="O165" i="167"/>
  <c r="N165" i="167"/>
  <c r="H165" i="167"/>
  <c r="O164" i="167"/>
  <c r="N164" i="167"/>
  <c r="H164" i="167"/>
  <c r="O163" i="167"/>
  <c r="N163" i="167"/>
  <c r="H163" i="167"/>
  <c r="O162" i="167"/>
  <c r="N162" i="167"/>
  <c r="H162" i="167"/>
  <c r="O161" i="167"/>
  <c r="N161" i="167"/>
  <c r="H161" i="167"/>
  <c r="N160" i="167"/>
  <c r="H160" i="167"/>
  <c r="O159" i="167"/>
  <c r="N159" i="167"/>
  <c r="N158" i="167"/>
  <c r="O157" i="167"/>
  <c r="N157" i="167"/>
  <c r="H157" i="167"/>
  <c r="O156" i="167"/>
  <c r="N156" i="167"/>
  <c r="H156" i="167"/>
  <c r="O155" i="167"/>
  <c r="N155" i="167"/>
  <c r="H155" i="167"/>
  <c r="O154" i="167"/>
  <c r="N154" i="167"/>
  <c r="H154" i="167"/>
  <c r="O153" i="167"/>
  <c r="N153" i="167"/>
  <c r="H153" i="167"/>
  <c r="O152" i="167"/>
  <c r="N152" i="167"/>
  <c r="H152" i="167"/>
  <c r="O151" i="167"/>
  <c r="N151" i="167"/>
  <c r="H151" i="167"/>
  <c r="O150" i="167"/>
  <c r="N150" i="167"/>
  <c r="H150" i="167"/>
  <c r="O149" i="167"/>
  <c r="N149" i="167"/>
  <c r="H149" i="167"/>
  <c r="O148" i="167"/>
  <c r="N148" i="167"/>
  <c r="H148" i="167"/>
  <c r="O147" i="167"/>
  <c r="N147" i="167"/>
  <c r="H147" i="167"/>
  <c r="O146" i="167"/>
  <c r="N146" i="167"/>
  <c r="H146" i="167"/>
  <c r="O145" i="167"/>
  <c r="N145" i="167"/>
  <c r="H145" i="167"/>
  <c r="O144" i="167"/>
  <c r="N144" i="167"/>
  <c r="H144" i="167"/>
  <c r="O143" i="167"/>
  <c r="N143" i="167"/>
  <c r="H143" i="167"/>
  <c r="O142" i="167"/>
  <c r="N142" i="167"/>
  <c r="H142" i="167"/>
  <c r="O141" i="167"/>
  <c r="N141" i="167"/>
  <c r="H141" i="167"/>
  <c r="O140" i="167"/>
  <c r="N140" i="167"/>
  <c r="H140" i="167"/>
  <c r="O139" i="167"/>
  <c r="N139" i="167"/>
  <c r="H139" i="167"/>
  <c r="O138" i="167"/>
  <c r="N138" i="167"/>
  <c r="H138" i="167"/>
  <c r="O137" i="167"/>
  <c r="N137" i="167"/>
  <c r="H137" i="167"/>
  <c r="O136" i="167"/>
  <c r="N136" i="167"/>
  <c r="H136" i="167"/>
  <c r="O135" i="167"/>
  <c r="N135" i="167"/>
  <c r="H135" i="167"/>
  <c r="O134" i="167"/>
  <c r="N134" i="167"/>
  <c r="H134" i="167"/>
  <c r="O133" i="167"/>
  <c r="N133" i="167"/>
  <c r="H133" i="167"/>
  <c r="O132" i="167"/>
  <c r="N132" i="167"/>
  <c r="H132" i="167"/>
  <c r="O131" i="167"/>
  <c r="N131" i="167"/>
  <c r="H131" i="167"/>
  <c r="O130" i="167"/>
  <c r="N130" i="167"/>
  <c r="H130" i="167"/>
  <c r="O129" i="167"/>
  <c r="N129" i="167"/>
  <c r="H129" i="167"/>
  <c r="O128" i="167"/>
  <c r="N128" i="167"/>
  <c r="H128" i="167"/>
  <c r="O127" i="167"/>
  <c r="N127" i="167"/>
  <c r="H127" i="167"/>
  <c r="O126" i="167"/>
  <c r="N126" i="167"/>
  <c r="H126" i="167"/>
  <c r="O125" i="167"/>
  <c r="N125" i="167"/>
  <c r="H125" i="167"/>
  <c r="O124" i="167"/>
  <c r="N124" i="167"/>
  <c r="H124" i="167"/>
  <c r="O123" i="167"/>
  <c r="N123" i="167"/>
  <c r="H123" i="167"/>
  <c r="O122" i="167"/>
  <c r="N122" i="167"/>
  <c r="H122" i="167"/>
  <c r="O121" i="167"/>
  <c r="N121" i="167"/>
  <c r="H121" i="167"/>
  <c r="O120" i="167"/>
  <c r="N120" i="167"/>
  <c r="H120" i="167"/>
  <c r="O119" i="167"/>
  <c r="N119" i="167"/>
  <c r="H119" i="167"/>
  <c r="O118" i="167"/>
  <c r="N118" i="167"/>
  <c r="H118" i="167"/>
  <c r="O117" i="167"/>
  <c r="N117" i="167"/>
  <c r="H117" i="167"/>
  <c r="O116" i="167"/>
  <c r="N116" i="167"/>
  <c r="H116" i="167"/>
  <c r="O115" i="167"/>
  <c r="N115" i="167"/>
  <c r="H115" i="167"/>
  <c r="O114" i="167"/>
  <c r="N114" i="167"/>
  <c r="H114" i="167"/>
  <c r="O113" i="167"/>
  <c r="N113" i="167"/>
  <c r="H113" i="167"/>
  <c r="O112" i="167"/>
  <c r="N112" i="167"/>
  <c r="H112" i="167"/>
  <c r="O111" i="167"/>
  <c r="N111" i="167"/>
  <c r="H111" i="167"/>
  <c r="O110" i="167"/>
  <c r="N110" i="167"/>
  <c r="H110" i="167"/>
  <c r="O109" i="167"/>
  <c r="N109" i="167"/>
  <c r="H109" i="167"/>
  <c r="O108" i="167"/>
  <c r="N108" i="167"/>
  <c r="H108" i="167"/>
  <c r="O107" i="167"/>
  <c r="N107" i="167"/>
  <c r="H107" i="167"/>
  <c r="O106" i="167"/>
  <c r="N106" i="167"/>
  <c r="H106" i="167"/>
  <c r="O105" i="167"/>
  <c r="N105" i="167"/>
  <c r="H105" i="167"/>
  <c r="O104" i="167"/>
  <c r="N104" i="167"/>
  <c r="H104" i="167"/>
  <c r="O103" i="167"/>
  <c r="N103" i="167"/>
  <c r="H103" i="167"/>
  <c r="O102" i="167"/>
  <c r="N102" i="167"/>
  <c r="H102" i="167"/>
  <c r="O101" i="167"/>
  <c r="N101" i="167"/>
  <c r="H101" i="167"/>
  <c r="O100" i="167"/>
  <c r="N100" i="167"/>
  <c r="H100" i="167"/>
  <c r="O99" i="167"/>
  <c r="N99" i="167"/>
  <c r="H99" i="167"/>
  <c r="O98" i="167"/>
  <c r="N98" i="167"/>
  <c r="H98" i="167"/>
  <c r="O97" i="167"/>
  <c r="N97" i="167"/>
  <c r="H97" i="167"/>
  <c r="O96" i="167"/>
  <c r="N96" i="167"/>
  <c r="H96" i="167"/>
  <c r="O95" i="167"/>
  <c r="N95" i="167"/>
  <c r="H95" i="167"/>
  <c r="O94" i="167"/>
  <c r="N94" i="167"/>
  <c r="H94" i="167"/>
  <c r="O93" i="167"/>
  <c r="N93" i="167"/>
  <c r="H93" i="167"/>
  <c r="N92" i="167"/>
  <c r="H92" i="167"/>
  <c r="N91" i="167"/>
  <c r="H91" i="167"/>
  <c r="N90" i="167"/>
  <c r="H90" i="167"/>
  <c r="O89" i="167"/>
  <c r="N89" i="167"/>
  <c r="H89" i="167"/>
  <c r="O88" i="167"/>
  <c r="N88" i="167"/>
  <c r="H88" i="167"/>
  <c r="O87" i="167"/>
  <c r="N87" i="167"/>
  <c r="H87" i="167"/>
  <c r="O86" i="167"/>
  <c r="N86" i="167"/>
  <c r="H86" i="167"/>
  <c r="O85" i="167"/>
  <c r="N85" i="167"/>
  <c r="H85" i="167"/>
  <c r="O84" i="167"/>
  <c r="N84" i="167"/>
  <c r="H84" i="167"/>
  <c r="O83" i="167"/>
  <c r="N83" i="167"/>
  <c r="H83" i="167"/>
  <c r="O82" i="167"/>
  <c r="N82" i="167"/>
  <c r="O81" i="167"/>
  <c r="N81" i="167"/>
  <c r="O80" i="167"/>
  <c r="N80" i="167"/>
  <c r="H80" i="167"/>
  <c r="O79" i="167"/>
  <c r="N79" i="167"/>
  <c r="H79" i="167"/>
  <c r="O78" i="167"/>
  <c r="N78" i="167"/>
  <c r="O77" i="167"/>
  <c r="N77" i="167"/>
  <c r="H77" i="167"/>
  <c r="O76" i="167"/>
  <c r="N76" i="167"/>
  <c r="H76" i="167"/>
  <c r="O75" i="167"/>
  <c r="N75" i="167"/>
  <c r="H75" i="167"/>
  <c r="O74" i="167"/>
  <c r="N74" i="167"/>
  <c r="H74" i="167"/>
  <c r="O73" i="167"/>
  <c r="N73" i="167"/>
  <c r="H73" i="167"/>
  <c r="O72" i="167"/>
  <c r="N72" i="167"/>
  <c r="H72" i="167"/>
  <c r="O71" i="167"/>
  <c r="N71" i="167"/>
  <c r="H71" i="167"/>
  <c r="O70" i="167"/>
  <c r="N70" i="167"/>
  <c r="H70" i="167"/>
  <c r="T69" i="167"/>
  <c r="T96" i="167" s="1"/>
  <c r="O69" i="167"/>
  <c r="N69" i="167"/>
  <c r="H69" i="167"/>
  <c r="O68" i="167"/>
  <c r="N68" i="167"/>
  <c r="H68" i="167"/>
  <c r="O67" i="167"/>
  <c r="N67" i="167"/>
  <c r="H67" i="167"/>
  <c r="O66" i="167"/>
  <c r="N66" i="167"/>
  <c r="H66" i="167"/>
  <c r="O65" i="167"/>
  <c r="N65" i="167"/>
  <c r="H65" i="167"/>
  <c r="O64" i="167"/>
  <c r="N64" i="167"/>
  <c r="H64" i="167"/>
  <c r="O63" i="167"/>
  <c r="N63" i="167"/>
  <c r="H63" i="167"/>
  <c r="O62" i="167"/>
  <c r="N62" i="167"/>
  <c r="H62" i="167"/>
  <c r="O61" i="167"/>
  <c r="N61" i="167"/>
  <c r="H61" i="167"/>
  <c r="O60" i="167"/>
  <c r="N60" i="167"/>
  <c r="H60" i="167"/>
  <c r="O59" i="167"/>
  <c r="N59" i="167"/>
  <c r="H59" i="167"/>
  <c r="O58" i="167"/>
  <c r="N58" i="167"/>
  <c r="H58" i="167"/>
  <c r="O57" i="167"/>
  <c r="N57" i="167"/>
  <c r="H57" i="167"/>
  <c r="O56" i="167"/>
  <c r="N56" i="167"/>
  <c r="H56" i="167"/>
  <c r="O55" i="167"/>
  <c r="N55" i="167"/>
  <c r="O54" i="167"/>
  <c r="N54" i="167"/>
  <c r="H54" i="167"/>
  <c r="O53" i="167"/>
  <c r="N53" i="167"/>
  <c r="H53" i="167"/>
  <c r="O52" i="167"/>
  <c r="N52" i="167"/>
  <c r="O51" i="167"/>
  <c r="N51" i="167"/>
  <c r="O50" i="167"/>
  <c r="N50" i="167"/>
  <c r="H50" i="167"/>
  <c r="O49" i="167"/>
  <c r="N49" i="167"/>
  <c r="H49" i="167"/>
  <c r="O48" i="167"/>
  <c r="N48" i="167"/>
  <c r="H48" i="167"/>
  <c r="O47" i="167"/>
  <c r="N47" i="167"/>
  <c r="H47" i="167"/>
  <c r="O46" i="167"/>
  <c r="N46" i="167"/>
  <c r="H46" i="167"/>
  <c r="O45" i="167"/>
  <c r="N45" i="167"/>
  <c r="H45" i="167"/>
  <c r="O44" i="167"/>
  <c r="N44" i="167"/>
  <c r="H44" i="167"/>
  <c r="O43" i="167"/>
  <c r="N43" i="167"/>
  <c r="H43" i="167"/>
  <c r="O42" i="167"/>
  <c r="N42" i="167"/>
  <c r="H42" i="167"/>
  <c r="O41" i="167"/>
  <c r="N41" i="167"/>
  <c r="H41" i="167"/>
  <c r="O40" i="167"/>
  <c r="N40" i="167"/>
  <c r="H40" i="167"/>
  <c r="O39" i="167"/>
  <c r="N39" i="167"/>
  <c r="H39" i="167"/>
  <c r="O38" i="167"/>
  <c r="N38" i="167"/>
  <c r="H38" i="167"/>
  <c r="O37" i="167"/>
  <c r="N37" i="167"/>
  <c r="H37" i="167"/>
  <c r="O36" i="167"/>
  <c r="N36" i="167"/>
  <c r="O35" i="167"/>
  <c r="N35" i="167"/>
  <c r="H35" i="167"/>
  <c r="N34" i="167"/>
  <c r="H34" i="167"/>
  <c r="O33" i="167"/>
  <c r="N33" i="167"/>
  <c r="H33" i="167"/>
  <c r="O32" i="167"/>
  <c r="N32" i="167"/>
  <c r="O31" i="167"/>
  <c r="N31" i="167"/>
  <c r="N30" i="167"/>
  <c r="H30" i="167"/>
  <c r="N29" i="167"/>
  <c r="H29" i="167"/>
  <c r="N28" i="167"/>
  <c r="H28" i="167"/>
  <c r="O27" i="167"/>
  <c r="N27" i="167"/>
  <c r="H27" i="167"/>
  <c r="O26" i="167"/>
  <c r="N26" i="167"/>
  <c r="H26" i="167"/>
  <c r="O25" i="167"/>
  <c r="N25" i="167"/>
  <c r="H25" i="167"/>
  <c r="O24" i="167"/>
  <c r="N24" i="167"/>
  <c r="H24" i="167"/>
  <c r="O23" i="167"/>
  <c r="N23" i="167"/>
  <c r="H23" i="167"/>
  <c r="O22" i="167"/>
  <c r="N22" i="167"/>
  <c r="H22" i="167"/>
  <c r="O21" i="167"/>
  <c r="N21" i="167"/>
  <c r="H21" i="167"/>
  <c r="O20" i="167"/>
  <c r="N20" i="167"/>
  <c r="H20" i="167"/>
  <c r="O19" i="167"/>
  <c r="N19" i="167"/>
  <c r="H19" i="167"/>
  <c r="O18" i="167"/>
  <c r="N18" i="167"/>
  <c r="N17" i="167"/>
  <c r="O16" i="167"/>
  <c r="N16" i="167"/>
  <c r="O15" i="167"/>
  <c r="N15" i="167"/>
  <c r="H15" i="167"/>
  <c r="S14" i="167"/>
  <c r="O14" i="167"/>
  <c r="N14" i="167"/>
  <c r="O13" i="167"/>
  <c r="N13" i="167"/>
  <c r="H13" i="167"/>
  <c r="O12" i="167"/>
  <c r="N12" i="167"/>
  <c r="H12" i="167"/>
  <c r="O11" i="167"/>
  <c r="N11" i="167"/>
  <c r="H11" i="167"/>
  <c r="O10" i="167"/>
  <c r="N10" i="167"/>
  <c r="O9" i="167"/>
  <c r="N9" i="167"/>
  <c r="O8" i="167"/>
  <c r="N8" i="167"/>
  <c r="H8" i="167"/>
  <c r="O7" i="167"/>
  <c r="N7" i="167"/>
  <c r="H7" i="167"/>
  <c r="O6" i="167"/>
  <c r="N6" i="167"/>
  <c r="H6" i="167"/>
  <c r="O5" i="167"/>
  <c r="N5" i="167"/>
  <c r="H5" i="167"/>
  <c r="O4" i="167"/>
  <c r="N4" i="167"/>
  <c r="H4" i="167"/>
  <c r="O3" i="167"/>
  <c r="N3" i="167"/>
  <c r="H3" i="167"/>
  <c r="O2" i="167"/>
  <c r="O229" i="167" s="1"/>
  <c r="B230" i="167" s="1"/>
  <c r="B235" i="167" s="1"/>
  <c r="B241" i="167" s="1"/>
  <c r="B254" i="167" s="1"/>
  <c r="N2" i="167"/>
  <c r="N229" i="167" s="1"/>
  <c r="H2" i="167"/>
  <c r="H229" i="167" s="1"/>
  <c r="H4" i="166"/>
  <c r="H5" i="166"/>
  <c r="B269" i="166"/>
  <c r="B260" i="166"/>
  <c r="B259" i="166"/>
  <c r="B273" i="166" s="1"/>
  <c r="B252" i="166"/>
  <c r="B253" i="166" s="1"/>
  <c r="B250" i="166"/>
  <c r="B249" i="166"/>
  <c r="B248" i="166"/>
  <c r="B251" i="166" s="1"/>
  <c r="B244" i="166"/>
  <c r="B242" i="166"/>
  <c r="B245" i="166" s="1"/>
  <c r="B238" i="166"/>
  <c r="B237" i="166"/>
  <c r="B236" i="166"/>
  <c r="B240" i="166" s="1"/>
  <c r="B233" i="166"/>
  <c r="B231" i="166"/>
  <c r="P229" i="166"/>
  <c r="K229" i="166"/>
  <c r="I229" i="166"/>
  <c r="N228" i="166"/>
  <c r="N227" i="166"/>
  <c r="N226" i="166"/>
  <c r="N225" i="166"/>
  <c r="N224" i="166"/>
  <c r="N223" i="166"/>
  <c r="N222" i="166"/>
  <c r="N221" i="166"/>
  <c r="N220" i="166"/>
  <c r="O219" i="166"/>
  <c r="N219" i="166"/>
  <c r="H219" i="166"/>
  <c r="O218" i="166"/>
  <c r="N218" i="166"/>
  <c r="H218" i="166"/>
  <c r="O217" i="166"/>
  <c r="N217" i="166"/>
  <c r="H217" i="166"/>
  <c r="O216" i="166"/>
  <c r="N216" i="166"/>
  <c r="H216" i="166"/>
  <c r="O215" i="166"/>
  <c r="N215" i="166"/>
  <c r="H215" i="166"/>
  <c r="O214" i="166"/>
  <c r="N214" i="166"/>
  <c r="H214" i="166"/>
  <c r="O213" i="166"/>
  <c r="N213" i="166"/>
  <c r="H213" i="166"/>
  <c r="O212" i="166"/>
  <c r="N212" i="166"/>
  <c r="H212" i="166"/>
  <c r="O211" i="166"/>
  <c r="N211" i="166"/>
  <c r="H211" i="166"/>
  <c r="O210" i="166"/>
  <c r="N210" i="166"/>
  <c r="H210" i="166"/>
  <c r="O209" i="166"/>
  <c r="N209" i="166"/>
  <c r="H209" i="166"/>
  <c r="O208" i="166"/>
  <c r="N208" i="166"/>
  <c r="H208" i="166"/>
  <c r="O207" i="166"/>
  <c r="N207" i="166"/>
  <c r="H207" i="166"/>
  <c r="O206" i="166"/>
  <c r="N206" i="166"/>
  <c r="H206" i="166"/>
  <c r="O205" i="166"/>
  <c r="N205" i="166"/>
  <c r="H205" i="166"/>
  <c r="O204" i="166"/>
  <c r="N204" i="166"/>
  <c r="H204" i="166"/>
  <c r="O203" i="166"/>
  <c r="N203" i="166"/>
  <c r="H203" i="166"/>
  <c r="O202" i="166"/>
  <c r="N202" i="166"/>
  <c r="H202" i="166"/>
  <c r="O201" i="166"/>
  <c r="N201" i="166"/>
  <c r="H201" i="166"/>
  <c r="O200" i="166"/>
  <c r="N200" i="166"/>
  <c r="H200" i="166"/>
  <c r="O199" i="166"/>
  <c r="N199" i="166"/>
  <c r="H199" i="166"/>
  <c r="O198" i="166"/>
  <c r="N198" i="166"/>
  <c r="H198" i="166"/>
  <c r="O197" i="166"/>
  <c r="N197" i="166"/>
  <c r="H197" i="166"/>
  <c r="O196" i="166"/>
  <c r="N196" i="166"/>
  <c r="H196" i="166"/>
  <c r="O195" i="166"/>
  <c r="N195" i="166"/>
  <c r="H195" i="166"/>
  <c r="O194" i="166"/>
  <c r="N194" i="166"/>
  <c r="H194" i="166"/>
  <c r="O193" i="166"/>
  <c r="N193" i="166"/>
  <c r="H193" i="166"/>
  <c r="O192" i="166"/>
  <c r="N192" i="166"/>
  <c r="O191" i="166"/>
  <c r="N191" i="166"/>
  <c r="H191" i="166"/>
  <c r="O190" i="166"/>
  <c r="N190" i="166"/>
  <c r="H190" i="166"/>
  <c r="O189" i="166"/>
  <c r="N189" i="166"/>
  <c r="H189" i="166"/>
  <c r="O188" i="166"/>
  <c r="N188" i="166"/>
  <c r="H188" i="166"/>
  <c r="O187" i="166"/>
  <c r="N187" i="166"/>
  <c r="H187" i="166"/>
  <c r="O186" i="166"/>
  <c r="N186" i="166"/>
  <c r="H186" i="166"/>
  <c r="O185" i="166"/>
  <c r="N185" i="166"/>
  <c r="H185" i="166"/>
  <c r="O184" i="166"/>
  <c r="N184" i="166"/>
  <c r="O183" i="166"/>
  <c r="N183" i="166"/>
  <c r="O182" i="166"/>
  <c r="N182" i="166"/>
  <c r="O181" i="166"/>
  <c r="N181" i="166"/>
  <c r="H181" i="166"/>
  <c r="O180" i="166"/>
  <c r="N180" i="166"/>
  <c r="H180" i="166"/>
  <c r="O179" i="166"/>
  <c r="N179" i="166"/>
  <c r="H179" i="166"/>
  <c r="O178" i="166"/>
  <c r="N178" i="166"/>
  <c r="H178" i="166"/>
  <c r="O177" i="166"/>
  <c r="N177" i="166"/>
  <c r="H177" i="166"/>
  <c r="O176" i="166"/>
  <c r="N176" i="166"/>
  <c r="H176" i="166"/>
  <c r="O175" i="166"/>
  <c r="N175" i="166"/>
  <c r="H175" i="166"/>
  <c r="O174" i="166"/>
  <c r="N174" i="166"/>
  <c r="H174" i="166"/>
  <c r="O173" i="166"/>
  <c r="N173" i="166"/>
  <c r="H173" i="166"/>
  <c r="O172" i="166"/>
  <c r="N172" i="166"/>
  <c r="H172" i="166"/>
  <c r="O171" i="166"/>
  <c r="N171" i="166"/>
  <c r="H171" i="166"/>
  <c r="O170" i="166"/>
  <c r="N170" i="166"/>
  <c r="O169" i="166"/>
  <c r="N169" i="166"/>
  <c r="H169" i="166"/>
  <c r="O168" i="166"/>
  <c r="N168" i="166"/>
  <c r="O167" i="166"/>
  <c r="N167" i="166"/>
  <c r="H167" i="166"/>
  <c r="O166" i="166"/>
  <c r="N166" i="166"/>
  <c r="H166" i="166"/>
  <c r="O165" i="166"/>
  <c r="N165" i="166"/>
  <c r="H165" i="166"/>
  <c r="O164" i="166"/>
  <c r="N164" i="166"/>
  <c r="H164" i="166"/>
  <c r="O163" i="166"/>
  <c r="N163" i="166"/>
  <c r="H163" i="166"/>
  <c r="O162" i="166"/>
  <c r="N162" i="166"/>
  <c r="H162" i="166"/>
  <c r="O161" i="166"/>
  <c r="N161" i="166"/>
  <c r="H161" i="166"/>
  <c r="N160" i="166"/>
  <c r="H160" i="166"/>
  <c r="O159" i="166"/>
  <c r="N159" i="166"/>
  <c r="N158" i="166"/>
  <c r="O157" i="166"/>
  <c r="N157" i="166"/>
  <c r="H157" i="166"/>
  <c r="O156" i="166"/>
  <c r="N156" i="166"/>
  <c r="H156" i="166"/>
  <c r="O155" i="166"/>
  <c r="N155" i="166"/>
  <c r="H155" i="166"/>
  <c r="O154" i="166"/>
  <c r="N154" i="166"/>
  <c r="H154" i="166"/>
  <c r="O153" i="166"/>
  <c r="N153" i="166"/>
  <c r="H153" i="166"/>
  <c r="O152" i="166"/>
  <c r="N152" i="166"/>
  <c r="H152" i="166"/>
  <c r="O151" i="166"/>
  <c r="N151" i="166"/>
  <c r="H151" i="166"/>
  <c r="O150" i="166"/>
  <c r="N150" i="166"/>
  <c r="H150" i="166"/>
  <c r="O149" i="166"/>
  <c r="N149" i="166"/>
  <c r="H149" i="166"/>
  <c r="O148" i="166"/>
  <c r="N148" i="166"/>
  <c r="H148" i="166"/>
  <c r="O147" i="166"/>
  <c r="N147" i="166"/>
  <c r="H147" i="166"/>
  <c r="O146" i="166"/>
  <c r="N146" i="166"/>
  <c r="H146" i="166"/>
  <c r="O145" i="166"/>
  <c r="N145" i="166"/>
  <c r="H145" i="166"/>
  <c r="O144" i="166"/>
  <c r="N144" i="166"/>
  <c r="H144" i="166"/>
  <c r="O143" i="166"/>
  <c r="N143" i="166"/>
  <c r="H143" i="166"/>
  <c r="O142" i="166"/>
  <c r="N142" i="166"/>
  <c r="H142" i="166"/>
  <c r="O141" i="166"/>
  <c r="N141" i="166"/>
  <c r="H141" i="166"/>
  <c r="O140" i="166"/>
  <c r="N140" i="166"/>
  <c r="H140" i="166"/>
  <c r="O139" i="166"/>
  <c r="N139" i="166"/>
  <c r="H139" i="166"/>
  <c r="O138" i="166"/>
  <c r="N138" i="166"/>
  <c r="H138" i="166"/>
  <c r="O137" i="166"/>
  <c r="N137" i="166"/>
  <c r="H137" i="166"/>
  <c r="O136" i="166"/>
  <c r="N136" i="166"/>
  <c r="H136" i="166"/>
  <c r="O135" i="166"/>
  <c r="N135" i="166"/>
  <c r="H135" i="166"/>
  <c r="O134" i="166"/>
  <c r="N134" i="166"/>
  <c r="H134" i="166"/>
  <c r="O133" i="166"/>
  <c r="N133" i="166"/>
  <c r="H133" i="166"/>
  <c r="O132" i="166"/>
  <c r="N132" i="166"/>
  <c r="H132" i="166"/>
  <c r="O131" i="166"/>
  <c r="N131" i="166"/>
  <c r="H131" i="166"/>
  <c r="O130" i="166"/>
  <c r="N130" i="166"/>
  <c r="H130" i="166"/>
  <c r="O129" i="166"/>
  <c r="N129" i="166"/>
  <c r="H129" i="166"/>
  <c r="O128" i="166"/>
  <c r="N128" i="166"/>
  <c r="H128" i="166"/>
  <c r="O127" i="166"/>
  <c r="N127" i="166"/>
  <c r="H127" i="166"/>
  <c r="O126" i="166"/>
  <c r="N126" i="166"/>
  <c r="H126" i="166"/>
  <c r="O125" i="166"/>
  <c r="N125" i="166"/>
  <c r="H125" i="166"/>
  <c r="O124" i="166"/>
  <c r="N124" i="166"/>
  <c r="H124" i="166"/>
  <c r="O123" i="166"/>
  <c r="N123" i="166"/>
  <c r="H123" i="166"/>
  <c r="O122" i="166"/>
  <c r="N122" i="166"/>
  <c r="H122" i="166"/>
  <c r="O121" i="166"/>
  <c r="N121" i="166"/>
  <c r="H121" i="166"/>
  <c r="O120" i="166"/>
  <c r="N120" i="166"/>
  <c r="H120" i="166"/>
  <c r="O119" i="166"/>
  <c r="N119" i="166"/>
  <c r="H119" i="166"/>
  <c r="O118" i="166"/>
  <c r="N118" i="166"/>
  <c r="H118" i="166"/>
  <c r="O117" i="166"/>
  <c r="N117" i="166"/>
  <c r="H117" i="166"/>
  <c r="O116" i="166"/>
  <c r="N116" i="166"/>
  <c r="H116" i="166"/>
  <c r="O115" i="166"/>
  <c r="N115" i="166"/>
  <c r="H115" i="166"/>
  <c r="O114" i="166"/>
  <c r="N114" i="166"/>
  <c r="H114" i="166"/>
  <c r="O113" i="166"/>
  <c r="N113" i="166"/>
  <c r="H113" i="166"/>
  <c r="O112" i="166"/>
  <c r="N112" i="166"/>
  <c r="H112" i="166"/>
  <c r="O111" i="166"/>
  <c r="N111" i="166"/>
  <c r="H111" i="166"/>
  <c r="O110" i="166"/>
  <c r="N110" i="166"/>
  <c r="H110" i="166"/>
  <c r="O109" i="166"/>
  <c r="N109" i="166"/>
  <c r="H109" i="166"/>
  <c r="O108" i="166"/>
  <c r="N108" i="166"/>
  <c r="H108" i="166"/>
  <c r="O107" i="166"/>
  <c r="N107" i="166"/>
  <c r="H107" i="166"/>
  <c r="O106" i="166"/>
  <c r="N106" i="166"/>
  <c r="H106" i="166"/>
  <c r="O105" i="166"/>
  <c r="N105" i="166"/>
  <c r="H105" i="166"/>
  <c r="O104" i="166"/>
  <c r="N104" i="166"/>
  <c r="H104" i="166"/>
  <c r="O103" i="166"/>
  <c r="N103" i="166"/>
  <c r="H103" i="166"/>
  <c r="O102" i="166"/>
  <c r="N102" i="166"/>
  <c r="H102" i="166"/>
  <c r="O101" i="166"/>
  <c r="N101" i="166"/>
  <c r="H101" i="166"/>
  <c r="O100" i="166"/>
  <c r="N100" i="166"/>
  <c r="H100" i="166"/>
  <c r="O99" i="166"/>
  <c r="N99" i="166"/>
  <c r="H99" i="166"/>
  <c r="O98" i="166"/>
  <c r="N98" i="166"/>
  <c r="H98" i="166"/>
  <c r="O97" i="166"/>
  <c r="N97" i="166"/>
  <c r="H97" i="166"/>
  <c r="O96" i="166"/>
  <c r="N96" i="166"/>
  <c r="H96" i="166"/>
  <c r="O95" i="166"/>
  <c r="N95" i="166"/>
  <c r="H95" i="166"/>
  <c r="O94" i="166"/>
  <c r="N94" i="166"/>
  <c r="H94" i="166"/>
  <c r="O93" i="166"/>
  <c r="N93" i="166"/>
  <c r="H93" i="166"/>
  <c r="N92" i="166"/>
  <c r="H92" i="166"/>
  <c r="N91" i="166"/>
  <c r="H91" i="166"/>
  <c r="N90" i="166"/>
  <c r="H90" i="166"/>
  <c r="O89" i="166"/>
  <c r="N89" i="166"/>
  <c r="H89" i="166"/>
  <c r="O88" i="166"/>
  <c r="N88" i="166"/>
  <c r="H88" i="166"/>
  <c r="O87" i="166"/>
  <c r="N87" i="166"/>
  <c r="H87" i="166"/>
  <c r="O86" i="166"/>
  <c r="N86" i="166"/>
  <c r="H86" i="166"/>
  <c r="O85" i="166"/>
  <c r="N85" i="166"/>
  <c r="H85" i="166"/>
  <c r="O84" i="166"/>
  <c r="N84" i="166"/>
  <c r="H84" i="166"/>
  <c r="O83" i="166"/>
  <c r="N83" i="166"/>
  <c r="H83" i="166"/>
  <c r="O82" i="166"/>
  <c r="N82" i="166"/>
  <c r="O81" i="166"/>
  <c r="N81" i="166"/>
  <c r="O80" i="166"/>
  <c r="N80" i="166"/>
  <c r="H80" i="166"/>
  <c r="O79" i="166"/>
  <c r="N79" i="166"/>
  <c r="H79" i="166"/>
  <c r="O78" i="166"/>
  <c r="N78" i="166"/>
  <c r="O77" i="166"/>
  <c r="N77" i="166"/>
  <c r="H77" i="166"/>
  <c r="O76" i="166"/>
  <c r="N76" i="166"/>
  <c r="H76" i="166"/>
  <c r="O75" i="166"/>
  <c r="N75" i="166"/>
  <c r="H75" i="166"/>
  <c r="O74" i="166"/>
  <c r="N74" i="166"/>
  <c r="H74" i="166"/>
  <c r="O73" i="166"/>
  <c r="N73" i="166"/>
  <c r="H73" i="166"/>
  <c r="O72" i="166"/>
  <c r="N72" i="166"/>
  <c r="H72" i="166"/>
  <c r="O71" i="166"/>
  <c r="N71" i="166"/>
  <c r="H71" i="166"/>
  <c r="O70" i="166"/>
  <c r="N70" i="166"/>
  <c r="H70" i="166"/>
  <c r="T69" i="166"/>
  <c r="T96" i="166" s="1"/>
  <c r="O69" i="166"/>
  <c r="N69" i="166"/>
  <c r="H69" i="166"/>
  <c r="O68" i="166"/>
  <c r="N68" i="166"/>
  <c r="H68" i="166"/>
  <c r="O67" i="166"/>
  <c r="N67" i="166"/>
  <c r="H67" i="166"/>
  <c r="O66" i="166"/>
  <c r="N66" i="166"/>
  <c r="H66" i="166"/>
  <c r="O65" i="166"/>
  <c r="N65" i="166"/>
  <c r="H65" i="166"/>
  <c r="O64" i="166"/>
  <c r="N64" i="166"/>
  <c r="H64" i="166"/>
  <c r="O63" i="166"/>
  <c r="N63" i="166"/>
  <c r="H63" i="166"/>
  <c r="O62" i="166"/>
  <c r="N62" i="166"/>
  <c r="H62" i="166"/>
  <c r="O61" i="166"/>
  <c r="N61" i="166"/>
  <c r="H61" i="166"/>
  <c r="O60" i="166"/>
  <c r="N60" i="166"/>
  <c r="H60" i="166"/>
  <c r="O59" i="166"/>
  <c r="N59" i="166"/>
  <c r="H59" i="166"/>
  <c r="O58" i="166"/>
  <c r="N58" i="166"/>
  <c r="H58" i="166"/>
  <c r="O57" i="166"/>
  <c r="N57" i="166"/>
  <c r="H57" i="166"/>
  <c r="O56" i="166"/>
  <c r="N56" i="166"/>
  <c r="H56" i="166"/>
  <c r="O55" i="166"/>
  <c r="N55" i="166"/>
  <c r="O54" i="166"/>
  <c r="N54" i="166"/>
  <c r="H54" i="166"/>
  <c r="O53" i="166"/>
  <c r="N53" i="166"/>
  <c r="H53" i="166"/>
  <c r="O52" i="166"/>
  <c r="N52" i="166"/>
  <c r="O51" i="166"/>
  <c r="N51" i="166"/>
  <c r="H51" i="166"/>
  <c r="O50" i="166"/>
  <c r="N50" i="166"/>
  <c r="H50" i="166"/>
  <c r="O49" i="166"/>
  <c r="N49" i="166"/>
  <c r="H49" i="166"/>
  <c r="O48" i="166"/>
  <c r="N48" i="166"/>
  <c r="H48" i="166"/>
  <c r="O47" i="166"/>
  <c r="N47" i="166"/>
  <c r="H47" i="166"/>
  <c r="O46" i="166"/>
  <c r="N46" i="166"/>
  <c r="H46" i="166"/>
  <c r="O45" i="166"/>
  <c r="N45" i="166"/>
  <c r="H45" i="166"/>
  <c r="O44" i="166"/>
  <c r="N44" i="166"/>
  <c r="H44" i="166"/>
  <c r="O43" i="166"/>
  <c r="N43" i="166"/>
  <c r="H43" i="166"/>
  <c r="O42" i="166"/>
  <c r="N42" i="166"/>
  <c r="H42" i="166"/>
  <c r="O41" i="166"/>
  <c r="N41" i="166"/>
  <c r="H41" i="166"/>
  <c r="O40" i="166"/>
  <c r="N40" i="166"/>
  <c r="H40" i="166"/>
  <c r="O39" i="166"/>
  <c r="N39" i="166"/>
  <c r="H39" i="166"/>
  <c r="O38" i="166"/>
  <c r="N38" i="166"/>
  <c r="H38" i="166"/>
  <c r="O37" i="166"/>
  <c r="N37" i="166"/>
  <c r="H37" i="166"/>
  <c r="O36" i="166"/>
  <c r="N36" i="166"/>
  <c r="O35" i="166"/>
  <c r="N35" i="166"/>
  <c r="H35" i="166"/>
  <c r="N34" i="166"/>
  <c r="H34" i="166"/>
  <c r="O33" i="166"/>
  <c r="N33" i="166"/>
  <c r="H33" i="166"/>
  <c r="O32" i="166"/>
  <c r="N32" i="166"/>
  <c r="O31" i="166"/>
  <c r="N31" i="166"/>
  <c r="N30" i="166"/>
  <c r="H30" i="166"/>
  <c r="N29" i="166"/>
  <c r="H29" i="166"/>
  <c r="N28" i="166"/>
  <c r="H28" i="166"/>
  <c r="O27" i="166"/>
  <c r="N27" i="166"/>
  <c r="H27" i="166"/>
  <c r="O26" i="166"/>
  <c r="N26" i="166"/>
  <c r="H26" i="166"/>
  <c r="O25" i="166"/>
  <c r="N25" i="166"/>
  <c r="H25" i="166"/>
  <c r="O24" i="166"/>
  <c r="N24" i="166"/>
  <c r="H24" i="166"/>
  <c r="O23" i="166"/>
  <c r="N23" i="166"/>
  <c r="H23" i="166"/>
  <c r="O22" i="166"/>
  <c r="N22" i="166"/>
  <c r="H22" i="166"/>
  <c r="O21" i="166"/>
  <c r="N21" i="166"/>
  <c r="H21" i="166"/>
  <c r="O20" i="166"/>
  <c r="N20" i="166"/>
  <c r="H20" i="166"/>
  <c r="O19" i="166"/>
  <c r="N19" i="166"/>
  <c r="H19" i="166"/>
  <c r="O18" i="166"/>
  <c r="N18" i="166"/>
  <c r="N17" i="166"/>
  <c r="O16" i="166"/>
  <c r="N16" i="166"/>
  <c r="O15" i="166"/>
  <c r="N15" i="166"/>
  <c r="H15" i="166"/>
  <c r="S14" i="166"/>
  <c r="O14" i="166"/>
  <c r="N14" i="166"/>
  <c r="O13" i="166"/>
  <c r="N13" i="166"/>
  <c r="H13" i="166"/>
  <c r="O12" i="166"/>
  <c r="N12" i="166"/>
  <c r="H12" i="166"/>
  <c r="O11" i="166"/>
  <c r="N11" i="166"/>
  <c r="H11" i="166"/>
  <c r="O10" i="166"/>
  <c r="N10" i="166"/>
  <c r="O9" i="166"/>
  <c r="N9" i="166"/>
  <c r="O8" i="166"/>
  <c r="N8" i="166"/>
  <c r="H8" i="166"/>
  <c r="O7" i="166"/>
  <c r="N7" i="166"/>
  <c r="H7" i="166"/>
  <c r="O6" i="166"/>
  <c r="N6" i="166"/>
  <c r="H6" i="166"/>
  <c r="O5" i="166"/>
  <c r="N5" i="166"/>
  <c r="O4" i="166"/>
  <c r="N4" i="166"/>
  <c r="O3" i="166"/>
  <c r="N3" i="166"/>
  <c r="H3" i="166"/>
  <c r="O2" i="166"/>
  <c r="O229" i="166" s="1"/>
  <c r="B230" i="166" s="1"/>
  <c r="B235" i="166" s="1"/>
  <c r="B241" i="166" s="1"/>
  <c r="B254" i="166" s="1"/>
  <c r="N2" i="166"/>
  <c r="N229" i="166" s="1"/>
  <c r="H2" i="166"/>
  <c r="H229" i="166" s="1"/>
  <c r="B269" i="165"/>
  <c r="B260" i="165"/>
  <c r="B259" i="165"/>
  <c r="B273" i="165" s="1"/>
  <c r="B252" i="165"/>
  <c r="B253" i="165" s="1"/>
  <c r="B250" i="165"/>
  <c r="B249" i="165"/>
  <c r="B248" i="165"/>
  <c r="B251" i="165" s="1"/>
  <c r="B244" i="165"/>
  <c r="B242" i="165"/>
  <c r="B245" i="165" s="1"/>
  <c r="B238" i="165"/>
  <c r="B237" i="165"/>
  <c r="B236" i="165"/>
  <c r="B240" i="165" s="1"/>
  <c r="B233" i="165"/>
  <c r="B231" i="165"/>
  <c r="P229" i="165"/>
  <c r="K229" i="165"/>
  <c r="I229" i="165"/>
  <c r="N228" i="165"/>
  <c r="N227" i="165"/>
  <c r="N226" i="165"/>
  <c r="N225" i="165"/>
  <c r="N224" i="165"/>
  <c r="N223" i="165"/>
  <c r="N222" i="165"/>
  <c r="N221" i="165"/>
  <c r="N220" i="165"/>
  <c r="O219" i="165"/>
  <c r="N219" i="165"/>
  <c r="H219" i="165"/>
  <c r="O218" i="165"/>
  <c r="N218" i="165"/>
  <c r="H218" i="165"/>
  <c r="O217" i="165"/>
  <c r="N217" i="165"/>
  <c r="H217" i="165"/>
  <c r="O216" i="165"/>
  <c r="N216" i="165"/>
  <c r="H216" i="165"/>
  <c r="O215" i="165"/>
  <c r="N215" i="165"/>
  <c r="H215" i="165"/>
  <c r="O214" i="165"/>
  <c r="N214" i="165"/>
  <c r="H214" i="165"/>
  <c r="O213" i="165"/>
  <c r="N213" i="165"/>
  <c r="H213" i="165"/>
  <c r="O212" i="165"/>
  <c r="N212" i="165"/>
  <c r="H212" i="165"/>
  <c r="O211" i="165"/>
  <c r="N211" i="165"/>
  <c r="H211" i="165"/>
  <c r="O210" i="165"/>
  <c r="N210" i="165"/>
  <c r="H210" i="165"/>
  <c r="O209" i="165"/>
  <c r="N209" i="165"/>
  <c r="H209" i="165"/>
  <c r="O208" i="165"/>
  <c r="N208" i="165"/>
  <c r="H208" i="165"/>
  <c r="O207" i="165"/>
  <c r="N207" i="165"/>
  <c r="H207" i="165"/>
  <c r="O206" i="165"/>
  <c r="N206" i="165"/>
  <c r="H206" i="165"/>
  <c r="O205" i="165"/>
  <c r="N205" i="165"/>
  <c r="H205" i="165"/>
  <c r="O204" i="165"/>
  <c r="N204" i="165"/>
  <c r="H204" i="165"/>
  <c r="O203" i="165"/>
  <c r="N203" i="165"/>
  <c r="H203" i="165"/>
  <c r="O202" i="165"/>
  <c r="N202" i="165"/>
  <c r="H202" i="165"/>
  <c r="O201" i="165"/>
  <c r="N201" i="165"/>
  <c r="H201" i="165"/>
  <c r="O200" i="165"/>
  <c r="N200" i="165"/>
  <c r="H200" i="165"/>
  <c r="O199" i="165"/>
  <c r="N199" i="165"/>
  <c r="H199" i="165"/>
  <c r="O198" i="165"/>
  <c r="N198" i="165"/>
  <c r="H198" i="165"/>
  <c r="O197" i="165"/>
  <c r="N197" i="165"/>
  <c r="H197" i="165"/>
  <c r="O196" i="165"/>
  <c r="N196" i="165"/>
  <c r="H196" i="165"/>
  <c r="O195" i="165"/>
  <c r="N195" i="165"/>
  <c r="H195" i="165"/>
  <c r="O194" i="165"/>
  <c r="N194" i="165"/>
  <c r="H194" i="165"/>
  <c r="O193" i="165"/>
  <c r="N193" i="165"/>
  <c r="H193" i="165"/>
  <c r="O192" i="165"/>
  <c r="N192" i="165"/>
  <c r="O191" i="165"/>
  <c r="N191" i="165"/>
  <c r="H191" i="165"/>
  <c r="O190" i="165"/>
  <c r="N190" i="165"/>
  <c r="H190" i="165"/>
  <c r="O189" i="165"/>
  <c r="N189" i="165"/>
  <c r="H189" i="165"/>
  <c r="O188" i="165"/>
  <c r="N188" i="165"/>
  <c r="H188" i="165"/>
  <c r="O187" i="165"/>
  <c r="N187" i="165"/>
  <c r="H187" i="165"/>
  <c r="O186" i="165"/>
  <c r="N186" i="165"/>
  <c r="H186" i="165"/>
  <c r="O185" i="165"/>
  <c r="N185" i="165"/>
  <c r="H185" i="165"/>
  <c r="O184" i="165"/>
  <c r="N184" i="165"/>
  <c r="O183" i="165"/>
  <c r="N183" i="165"/>
  <c r="O182" i="165"/>
  <c r="N182" i="165"/>
  <c r="O181" i="165"/>
  <c r="N181" i="165"/>
  <c r="H181" i="165"/>
  <c r="O180" i="165"/>
  <c r="N180" i="165"/>
  <c r="H180" i="165"/>
  <c r="O179" i="165"/>
  <c r="N179" i="165"/>
  <c r="H179" i="165"/>
  <c r="O178" i="165"/>
  <c r="N178" i="165"/>
  <c r="H178" i="165"/>
  <c r="O177" i="165"/>
  <c r="N177" i="165"/>
  <c r="H177" i="165"/>
  <c r="O176" i="165"/>
  <c r="N176" i="165"/>
  <c r="H176" i="165"/>
  <c r="O175" i="165"/>
  <c r="N175" i="165"/>
  <c r="H175" i="165"/>
  <c r="O174" i="165"/>
  <c r="N174" i="165"/>
  <c r="H174" i="165"/>
  <c r="O173" i="165"/>
  <c r="N173" i="165"/>
  <c r="H173" i="165"/>
  <c r="O172" i="165"/>
  <c r="N172" i="165"/>
  <c r="H172" i="165"/>
  <c r="O171" i="165"/>
  <c r="N171" i="165"/>
  <c r="H171" i="165"/>
  <c r="O170" i="165"/>
  <c r="N170" i="165"/>
  <c r="O169" i="165"/>
  <c r="N169" i="165"/>
  <c r="H169" i="165"/>
  <c r="O168" i="165"/>
  <c r="N168" i="165"/>
  <c r="O167" i="165"/>
  <c r="N167" i="165"/>
  <c r="H167" i="165"/>
  <c r="O166" i="165"/>
  <c r="N166" i="165"/>
  <c r="H166" i="165"/>
  <c r="O165" i="165"/>
  <c r="N165" i="165"/>
  <c r="H165" i="165"/>
  <c r="O164" i="165"/>
  <c r="N164" i="165"/>
  <c r="H164" i="165"/>
  <c r="O163" i="165"/>
  <c r="N163" i="165"/>
  <c r="H163" i="165"/>
  <c r="O162" i="165"/>
  <c r="N162" i="165"/>
  <c r="H162" i="165"/>
  <c r="O161" i="165"/>
  <c r="N161" i="165"/>
  <c r="H161" i="165"/>
  <c r="N160" i="165"/>
  <c r="H160" i="165"/>
  <c r="O159" i="165"/>
  <c r="N159" i="165"/>
  <c r="N158" i="165"/>
  <c r="O157" i="165"/>
  <c r="N157" i="165"/>
  <c r="H157" i="165"/>
  <c r="O156" i="165"/>
  <c r="N156" i="165"/>
  <c r="H156" i="165"/>
  <c r="O155" i="165"/>
  <c r="N155" i="165"/>
  <c r="H155" i="165"/>
  <c r="O154" i="165"/>
  <c r="N154" i="165"/>
  <c r="H154" i="165"/>
  <c r="O153" i="165"/>
  <c r="N153" i="165"/>
  <c r="H153" i="165"/>
  <c r="O152" i="165"/>
  <c r="N152" i="165"/>
  <c r="H152" i="165"/>
  <c r="O151" i="165"/>
  <c r="N151" i="165"/>
  <c r="H151" i="165"/>
  <c r="O150" i="165"/>
  <c r="N150" i="165"/>
  <c r="H150" i="165"/>
  <c r="O149" i="165"/>
  <c r="N149" i="165"/>
  <c r="H149" i="165"/>
  <c r="O148" i="165"/>
  <c r="N148" i="165"/>
  <c r="H148" i="165"/>
  <c r="O147" i="165"/>
  <c r="N147" i="165"/>
  <c r="H147" i="165"/>
  <c r="O146" i="165"/>
  <c r="N146" i="165"/>
  <c r="H146" i="165"/>
  <c r="O145" i="165"/>
  <c r="N145" i="165"/>
  <c r="H145" i="165"/>
  <c r="O144" i="165"/>
  <c r="N144" i="165"/>
  <c r="H144" i="165"/>
  <c r="O143" i="165"/>
  <c r="N143" i="165"/>
  <c r="H143" i="165"/>
  <c r="O142" i="165"/>
  <c r="N142" i="165"/>
  <c r="H142" i="165"/>
  <c r="O141" i="165"/>
  <c r="N141" i="165"/>
  <c r="H141" i="165"/>
  <c r="O140" i="165"/>
  <c r="N140" i="165"/>
  <c r="H140" i="165"/>
  <c r="O139" i="165"/>
  <c r="N139" i="165"/>
  <c r="H139" i="165"/>
  <c r="O138" i="165"/>
  <c r="N138" i="165"/>
  <c r="H138" i="165"/>
  <c r="O137" i="165"/>
  <c r="N137" i="165"/>
  <c r="H137" i="165"/>
  <c r="O136" i="165"/>
  <c r="N136" i="165"/>
  <c r="H136" i="165"/>
  <c r="O135" i="165"/>
  <c r="N135" i="165"/>
  <c r="H135" i="165"/>
  <c r="O134" i="165"/>
  <c r="N134" i="165"/>
  <c r="H134" i="165"/>
  <c r="O133" i="165"/>
  <c r="N133" i="165"/>
  <c r="H133" i="165"/>
  <c r="O132" i="165"/>
  <c r="N132" i="165"/>
  <c r="H132" i="165"/>
  <c r="O131" i="165"/>
  <c r="N131" i="165"/>
  <c r="H131" i="165"/>
  <c r="O130" i="165"/>
  <c r="N130" i="165"/>
  <c r="H130" i="165"/>
  <c r="O129" i="165"/>
  <c r="N129" i="165"/>
  <c r="H129" i="165"/>
  <c r="O128" i="165"/>
  <c r="N128" i="165"/>
  <c r="H128" i="165"/>
  <c r="O127" i="165"/>
  <c r="N127" i="165"/>
  <c r="H127" i="165"/>
  <c r="O126" i="165"/>
  <c r="N126" i="165"/>
  <c r="H126" i="165"/>
  <c r="O125" i="165"/>
  <c r="N125" i="165"/>
  <c r="H125" i="165"/>
  <c r="O124" i="165"/>
  <c r="N124" i="165"/>
  <c r="H124" i="165"/>
  <c r="O123" i="165"/>
  <c r="N123" i="165"/>
  <c r="H123" i="165"/>
  <c r="O122" i="165"/>
  <c r="N122" i="165"/>
  <c r="H122" i="165"/>
  <c r="O121" i="165"/>
  <c r="N121" i="165"/>
  <c r="H121" i="165"/>
  <c r="O120" i="165"/>
  <c r="N120" i="165"/>
  <c r="H120" i="165"/>
  <c r="O119" i="165"/>
  <c r="N119" i="165"/>
  <c r="H119" i="165"/>
  <c r="O118" i="165"/>
  <c r="N118" i="165"/>
  <c r="H118" i="165"/>
  <c r="O117" i="165"/>
  <c r="N117" i="165"/>
  <c r="H117" i="165"/>
  <c r="O116" i="165"/>
  <c r="N116" i="165"/>
  <c r="H116" i="165"/>
  <c r="O115" i="165"/>
  <c r="N115" i="165"/>
  <c r="H115" i="165"/>
  <c r="O114" i="165"/>
  <c r="N114" i="165"/>
  <c r="H114" i="165"/>
  <c r="O113" i="165"/>
  <c r="N113" i="165"/>
  <c r="H113" i="165"/>
  <c r="O112" i="165"/>
  <c r="N112" i="165"/>
  <c r="H112" i="165"/>
  <c r="O111" i="165"/>
  <c r="N111" i="165"/>
  <c r="H111" i="165"/>
  <c r="O110" i="165"/>
  <c r="N110" i="165"/>
  <c r="H110" i="165"/>
  <c r="O109" i="165"/>
  <c r="N109" i="165"/>
  <c r="H109" i="165"/>
  <c r="O108" i="165"/>
  <c r="N108" i="165"/>
  <c r="H108" i="165"/>
  <c r="O107" i="165"/>
  <c r="N107" i="165"/>
  <c r="H107" i="165"/>
  <c r="O106" i="165"/>
  <c r="N106" i="165"/>
  <c r="H106" i="165"/>
  <c r="O105" i="165"/>
  <c r="N105" i="165"/>
  <c r="H105" i="165"/>
  <c r="O104" i="165"/>
  <c r="N104" i="165"/>
  <c r="H104" i="165"/>
  <c r="O103" i="165"/>
  <c r="N103" i="165"/>
  <c r="H103" i="165"/>
  <c r="O102" i="165"/>
  <c r="N102" i="165"/>
  <c r="H102" i="165"/>
  <c r="O101" i="165"/>
  <c r="N101" i="165"/>
  <c r="H101" i="165"/>
  <c r="O100" i="165"/>
  <c r="N100" i="165"/>
  <c r="H100" i="165"/>
  <c r="O99" i="165"/>
  <c r="N99" i="165"/>
  <c r="H99" i="165"/>
  <c r="O98" i="165"/>
  <c r="N98" i="165"/>
  <c r="H98" i="165"/>
  <c r="O97" i="165"/>
  <c r="N97" i="165"/>
  <c r="H97" i="165"/>
  <c r="O96" i="165"/>
  <c r="N96" i="165"/>
  <c r="H96" i="165"/>
  <c r="O95" i="165"/>
  <c r="N95" i="165"/>
  <c r="H95" i="165"/>
  <c r="O94" i="165"/>
  <c r="N94" i="165"/>
  <c r="H94" i="165"/>
  <c r="O93" i="165"/>
  <c r="N93" i="165"/>
  <c r="H93" i="165"/>
  <c r="N92" i="165"/>
  <c r="H92" i="165"/>
  <c r="N91" i="165"/>
  <c r="H91" i="165"/>
  <c r="N90" i="165"/>
  <c r="H90" i="165"/>
  <c r="O89" i="165"/>
  <c r="N89" i="165"/>
  <c r="H89" i="165"/>
  <c r="O88" i="165"/>
  <c r="N88" i="165"/>
  <c r="H88" i="165"/>
  <c r="O87" i="165"/>
  <c r="N87" i="165"/>
  <c r="H87" i="165"/>
  <c r="O86" i="165"/>
  <c r="N86" i="165"/>
  <c r="H86" i="165"/>
  <c r="O85" i="165"/>
  <c r="N85" i="165"/>
  <c r="H85" i="165"/>
  <c r="O84" i="165"/>
  <c r="N84" i="165"/>
  <c r="H84" i="165"/>
  <c r="O83" i="165"/>
  <c r="N83" i="165"/>
  <c r="H83" i="165"/>
  <c r="O82" i="165"/>
  <c r="N82" i="165"/>
  <c r="O81" i="165"/>
  <c r="N81" i="165"/>
  <c r="O80" i="165"/>
  <c r="N80" i="165"/>
  <c r="H80" i="165"/>
  <c r="O79" i="165"/>
  <c r="N79" i="165"/>
  <c r="H79" i="165"/>
  <c r="O78" i="165"/>
  <c r="N78" i="165"/>
  <c r="O77" i="165"/>
  <c r="N77" i="165"/>
  <c r="H77" i="165"/>
  <c r="O76" i="165"/>
  <c r="N76" i="165"/>
  <c r="H76" i="165"/>
  <c r="O75" i="165"/>
  <c r="N75" i="165"/>
  <c r="H75" i="165"/>
  <c r="O74" i="165"/>
  <c r="N74" i="165"/>
  <c r="H74" i="165"/>
  <c r="O73" i="165"/>
  <c r="N73" i="165"/>
  <c r="H73" i="165"/>
  <c r="O72" i="165"/>
  <c r="N72" i="165"/>
  <c r="H72" i="165"/>
  <c r="O71" i="165"/>
  <c r="N71" i="165"/>
  <c r="H71" i="165"/>
  <c r="O70" i="165"/>
  <c r="N70" i="165"/>
  <c r="H70" i="165"/>
  <c r="T69" i="165"/>
  <c r="T96" i="165" s="1"/>
  <c r="O69" i="165"/>
  <c r="N69" i="165"/>
  <c r="H69" i="165"/>
  <c r="O68" i="165"/>
  <c r="N68" i="165"/>
  <c r="H68" i="165"/>
  <c r="O67" i="165"/>
  <c r="N67" i="165"/>
  <c r="H67" i="165"/>
  <c r="O66" i="165"/>
  <c r="N66" i="165"/>
  <c r="H66" i="165"/>
  <c r="O65" i="165"/>
  <c r="N65" i="165"/>
  <c r="H65" i="165"/>
  <c r="O64" i="165"/>
  <c r="N64" i="165"/>
  <c r="H64" i="165"/>
  <c r="O63" i="165"/>
  <c r="N63" i="165"/>
  <c r="H63" i="165"/>
  <c r="O62" i="165"/>
  <c r="N62" i="165"/>
  <c r="H62" i="165"/>
  <c r="O61" i="165"/>
  <c r="N61" i="165"/>
  <c r="H61" i="165"/>
  <c r="O60" i="165"/>
  <c r="N60" i="165"/>
  <c r="H60" i="165"/>
  <c r="O59" i="165"/>
  <c r="N59" i="165"/>
  <c r="H59" i="165"/>
  <c r="O58" i="165"/>
  <c r="N58" i="165"/>
  <c r="H58" i="165"/>
  <c r="O57" i="165"/>
  <c r="N57" i="165"/>
  <c r="H57" i="165"/>
  <c r="O56" i="165"/>
  <c r="N56" i="165"/>
  <c r="H56" i="165"/>
  <c r="O55" i="165"/>
  <c r="N55" i="165"/>
  <c r="O54" i="165"/>
  <c r="N54" i="165"/>
  <c r="H54" i="165"/>
  <c r="O53" i="165"/>
  <c r="N53" i="165"/>
  <c r="H53" i="165"/>
  <c r="O52" i="165"/>
  <c r="N52" i="165"/>
  <c r="O51" i="165"/>
  <c r="N51" i="165"/>
  <c r="H51" i="165"/>
  <c r="O50" i="165"/>
  <c r="N50" i="165"/>
  <c r="H50" i="165"/>
  <c r="O49" i="165"/>
  <c r="N49" i="165"/>
  <c r="H49" i="165"/>
  <c r="O48" i="165"/>
  <c r="N48" i="165"/>
  <c r="H48" i="165"/>
  <c r="O47" i="165"/>
  <c r="N47" i="165"/>
  <c r="H47" i="165"/>
  <c r="O46" i="165"/>
  <c r="N46" i="165"/>
  <c r="H46" i="165"/>
  <c r="O45" i="165"/>
  <c r="N45" i="165"/>
  <c r="H45" i="165"/>
  <c r="O44" i="165"/>
  <c r="N44" i="165"/>
  <c r="H44" i="165"/>
  <c r="O43" i="165"/>
  <c r="N43" i="165"/>
  <c r="H43" i="165"/>
  <c r="O42" i="165"/>
  <c r="N42" i="165"/>
  <c r="H42" i="165"/>
  <c r="O41" i="165"/>
  <c r="N41" i="165"/>
  <c r="H41" i="165"/>
  <c r="O40" i="165"/>
  <c r="N40" i="165"/>
  <c r="H40" i="165"/>
  <c r="O39" i="165"/>
  <c r="N39" i="165"/>
  <c r="H39" i="165"/>
  <c r="O38" i="165"/>
  <c r="N38" i="165"/>
  <c r="H38" i="165"/>
  <c r="O37" i="165"/>
  <c r="N37" i="165"/>
  <c r="H37" i="165"/>
  <c r="O36" i="165"/>
  <c r="N36" i="165"/>
  <c r="O35" i="165"/>
  <c r="N35" i="165"/>
  <c r="H35" i="165"/>
  <c r="N34" i="165"/>
  <c r="H34" i="165"/>
  <c r="O33" i="165"/>
  <c r="N33" i="165"/>
  <c r="H33" i="165"/>
  <c r="O32" i="165"/>
  <c r="N32" i="165"/>
  <c r="O31" i="165"/>
  <c r="N31" i="165"/>
  <c r="N30" i="165"/>
  <c r="H30" i="165"/>
  <c r="N29" i="165"/>
  <c r="H29" i="165"/>
  <c r="N28" i="165"/>
  <c r="H28" i="165"/>
  <c r="O27" i="165"/>
  <c r="N27" i="165"/>
  <c r="H27" i="165"/>
  <c r="O26" i="165"/>
  <c r="N26" i="165"/>
  <c r="H26" i="165"/>
  <c r="O25" i="165"/>
  <c r="N25" i="165"/>
  <c r="H25" i="165"/>
  <c r="O24" i="165"/>
  <c r="N24" i="165"/>
  <c r="H24" i="165"/>
  <c r="O23" i="165"/>
  <c r="N23" i="165"/>
  <c r="H23" i="165"/>
  <c r="O22" i="165"/>
  <c r="N22" i="165"/>
  <c r="H22" i="165"/>
  <c r="O21" i="165"/>
  <c r="N21" i="165"/>
  <c r="H21" i="165"/>
  <c r="O20" i="165"/>
  <c r="N20" i="165"/>
  <c r="H20" i="165"/>
  <c r="O19" i="165"/>
  <c r="N19" i="165"/>
  <c r="H19" i="165"/>
  <c r="O18" i="165"/>
  <c r="N18" i="165"/>
  <c r="N17" i="165"/>
  <c r="O16" i="165"/>
  <c r="N16" i="165"/>
  <c r="O15" i="165"/>
  <c r="N15" i="165"/>
  <c r="H15" i="165"/>
  <c r="S14" i="165"/>
  <c r="O14" i="165"/>
  <c r="N14" i="165"/>
  <c r="O13" i="165"/>
  <c r="N13" i="165"/>
  <c r="H13" i="165"/>
  <c r="O12" i="165"/>
  <c r="N12" i="165"/>
  <c r="H12" i="165"/>
  <c r="O11" i="165"/>
  <c r="N11" i="165"/>
  <c r="H11" i="165"/>
  <c r="O10" i="165"/>
  <c r="N10" i="165"/>
  <c r="O9" i="165"/>
  <c r="N9" i="165"/>
  <c r="O8" i="165"/>
  <c r="N8" i="165"/>
  <c r="H8" i="165"/>
  <c r="O7" i="165"/>
  <c r="N7" i="165"/>
  <c r="H7" i="165"/>
  <c r="O6" i="165"/>
  <c r="N6" i="165"/>
  <c r="H6" i="165"/>
  <c r="O5" i="165"/>
  <c r="N5" i="165"/>
  <c r="H5" i="165"/>
  <c r="O4" i="165"/>
  <c r="N4" i="165"/>
  <c r="O3" i="165"/>
  <c r="N3" i="165"/>
  <c r="H3" i="165"/>
  <c r="O2" i="165"/>
  <c r="O229" i="165" s="1"/>
  <c r="B230" i="165" s="1"/>
  <c r="B235" i="165" s="1"/>
  <c r="B241" i="165" s="1"/>
  <c r="B254" i="165" s="1"/>
  <c r="N2" i="165"/>
  <c r="N229" i="165" s="1"/>
  <c r="H2" i="165"/>
  <c r="H229" i="165" s="1"/>
  <c r="H213" i="164"/>
  <c r="H214" i="164"/>
  <c r="N30" i="164"/>
  <c r="H30" i="164"/>
  <c r="O27" i="164"/>
  <c r="B269" i="164"/>
  <c r="B260" i="164"/>
  <c r="B259" i="164"/>
  <c r="B273" i="164" s="1"/>
  <c r="B252" i="164"/>
  <c r="B253" i="164" s="1"/>
  <c r="B250" i="164"/>
  <c r="B249" i="164"/>
  <c r="B248" i="164"/>
  <c r="B251" i="164" s="1"/>
  <c r="B244" i="164"/>
  <c r="B242" i="164"/>
  <c r="B245" i="164" s="1"/>
  <c r="B238" i="164"/>
  <c r="B237" i="164"/>
  <c r="B236" i="164"/>
  <c r="B240" i="164" s="1"/>
  <c r="B233" i="164"/>
  <c r="B231" i="164"/>
  <c r="P229" i="164"/>
  <c r="K229" i="164"/>
  <c r="I229" i="164"/>
  <c r="N228" i="164"/>
  <c r="N227" i="164"/>
  <c r="N226" i="164"/>
  <c r="N225" i="164"/>
  <c r="N224" i="164"/>
  <c r="N223" i="164"/>
  <c r="N222" i="164"/>
  <c r="N221" i="164"/>
  <c r="N220" i="164"/>
  <c r="O219" i="164"/>
  <c r="N219" i="164"/>
  <c r="H219" i="164"/>
  <c r="O218" i="164"/>
  <c r="N218" i="164"/>
  <c r="H218" i="164"/>
  <c r="O217" i="164"/>
  <c r="N217" i="164"/>
  <c r="H217" i="164"/>
  <c r="O216" i="164"/>
  <c r="N216" i="164"/>
  <c r="H216" i="164"/>
  <c r="O215" i="164"/>
  <c r="N215" i="164"/>
  <c r="H215" i="164"/>
  <c r="O214" i="164"/>
  <c r="N214" i="164"/>
  <c r="O213" i="164"/>
  <c r="N213" i="164"/>
  <c r="O212" i="164"/>
  <c r="N212" i="164"/>
  <c r="H212" i="164"/>
  <c r="O211" i="164"/>
  <c r="N211" i="164"/>
  <c r="H211" i="164"/>
  <c r="O210" i="164"/>
  <c r="N210" i="164"/>
  <c r="H210" i="164"/>
  <c r="O209" i="164"/>
  <c r="N209" i="164"/>
  <c r="H209" i="164"/>
  <c r="O208" i="164"/>
  <c r="N208" i="164"/>
  <c r="H208" i="164"/>
  <c r="O207" i="164"/>
  <c r="N207" i="164"/>
  <c r="H207" i="164"/>
  <c r="O206" i="164"/>
  <c r="N206" i="164"/>
  <c r="H206" i="164"/>
  <c r="O205" i="164"/>
  <c r="N205" i="164"/>
  <c r="H205" i="164"/>
  <c r="O204" i="164"/>
  <c r="N204" i="164"/>
  <c r="H204" i="164"/>
  <c r="O203" i="164"/>
  <c r="N203" i="164"/>
  <c r="H203" i="164"/>
  <c r="O202" i="164"/>
  <c r="N202" i="164"/>
  <c r="H202" i="164"/>
  <c r="O201" i="164"/>
  <c r="N201" i="164"/>
  <c r="H201" i="164"/>
  <c r="O200" i="164"/>
  <c r="N200" i="164"/>
  <c r="H200" i="164"/>
  <c r="O199" i="164"/>
  <c r="N199" i="164"/>
  <c r="H199" i="164"/>
  <c r="O198" i="164"/>
  <c r="N198" i="164"/>
  <c r="H198" i="164"/>
  <c r="O197" i="164"/>
  <c r="N197" i="164"/>
  <c r="H197" i="164"/>
  <c r="O196" i="164"/>
  <c r="N196" i="164"/>
  <c r="H196" i="164"/>
  <c r="O195" i="164"/>
  <c r="N195" i="164"/>
  <c r="H195" i="164"/>
  <c r="O194" i="164"/>
  <c r="N194" i="164"/>
  <c r="H194" i="164"/>
  <c r="O193" i="164"/>
  <c r="N193" i="164"/>
  <c r="H193" i="164"/>
  <c r="O192" i="164"/>
  <c r="N192" i="164"/>
  <c r="O191" i="164"/>
  <c r="N191" i="164"/>
  <c r="H191" i="164"/>
  <c r="O190" i="164"/>
  <c r="N190" i="164"/>
  <c r="H190" i="164"/>
  <c r="O189" i="164"/>
  <c r="N189" i="164"/>
  <c r="H189" i="164"/>
  <c r="O188" i="164"/>
  <c r="N188" i="164"/>
  <c r="H188" i="164"/>
  <c r="O187" i="164"/>
  <c r="N187" i="164"/>
  <c r="H187" i="164"/>
  <c r="O186" i="164"/>
  <c r="N186" i="164"/>
  <c r="H186" i="164"/>
  <c r="O185" i="164"/>
  <c r="N185" i="164"/>
  <c r="H185" i="164"/>
  <c r="O184" i="164"/>
  <c r="N184" i="164"/>
  <c r="O183" i="164"/>
  <c r="N183" i="164"/>
  <c r="O182" i="164"/>
  <c r="N182" i="164"/>
  <c r="O181" i="164"/>
  <c r="N181" i="164"/>
  <c r="H181" i="164"/>
  <c r="O180" i="164"/>
  <c r="N180" i="164"/>
  <c r="H180" i="164"/>
  <c r="O179" i="164"/>
  <c r="N179" i="164"/>
  <c r="H179" i="164"/>
  <c r="O178" i="164"/>
  <c r="N178" i="164"/>
  <c r="H178" i="164"/>
  <c r="O177" i="164"/>
  <c r="N177" i="164"/>
  <c r="H177" i="164"/>
  <c r="O176" i="164"/>
  <c r="N176" i="164"/>
  <c r="H176" i="164"/>
  <c r="O175" i="164"/>
  <c r="N175" i="164"/>
  <c r="H175" i="164"/>
  <c r="O174" i="164"/>
  <c r="N174" i="164"/>
  <c r="H174" i="164"/>
  <c r="O173" i="164"/>
  <c r="N173" i="164"/>
  <c r="H173" i="164"/>
  <c r="O172" i="164"/>
  <c r="N172" i="164"/>
  <c r="H172" i="164"/>
  <c r="O171" i="164"/>
  <c r="N171" i="164"/>
  <c r="H171" i="164"/>
  <c r="O170" i="164"/>
  <c r="N170" i="164"/>
  <c r="O169" i="164"/>
  <c r="N169" i="164"/>
  <c r="H169" i="164"/>
  <c r="O168" i="164"/>
  <c r="N168" i="164"/>
  <c r="O167" i="164"/>
  <c r="N167" i="164"/>
  <c r="H167" i="164"/>
  <c r="O166" i="164"/>
  <c r="N166" i="164"/>
  <c r="H166" i="164"/>
  <c r="O165" i="164"/>
  <c r="N165" i="164"/>
  <c r="H165" i="164"/>
  <c r="O164" i="164"/>
  <c r="N164" i="164"/>
  <c r="H164" i="164"/>
  <c r="O163" i="164"/>
  <c r="N163" i="164"/>
  <c r="H163" i="164"/>
  <c r="O162" i="164"/>
  <c r="N162" i="164"/>
  <c r="H162" i="164"/>
  <c r="O161" i="164"/>
  <c r="N161" i="164"/>
  <c r="H161" i="164"/>
  <c r="N160" i="164"/>
  <c r="H160" i="164"/>
  <c r="O159" i="164"/>
  <c r="N159" i="164"/>
  <c r="N158" i="164"/>
  <c r="O157" i="164"/>
  <c r="N157" i="164"/>
  <c r="H157" i="164"/>
  <c r="O156" i="164"/>
  <c r="N156" i="164"/>
  <c r="H156" i="164"/>
  <c r="O155" i="164"/>
  <c r="N155" i="164"/>
  <c r="H155" i="164"/>
  <c r="O154" i="164"/>
  <c r="N154" i="164"/>
  <c r="H154" i="164"/>
  <c r="O153" i="164"/>
  <c r="N153" i="164"/>
  <c r="H153" i="164"/>
  <c r="O152" i="164"/>
  <c r="N152" i="164"/>
  <c r="H152" i="164"/>
  <c r="O151" i="164"/>
  <c r="N151" i="164"/>
  <c r="H151" i="164"/>
  <c r="O150" i="164"/>
  <c r="N150" i="164"/>
  <c r="H150" i="164"/>
  <c r="O149" i="164"/>
  <c r="N149" i="164"/>
  <c r="H149" i="164"/>
  <c r="O148" i="164"/>
  <c r="N148" i="164"/>
  <c r="H148" i="164"/>
  <c r="O147" i="164"/>
  <c r="N147" i="164"/>
  <c r="H147" i="164"/>
  <c r="O146" i="164"/>
  <c r="N146" i="164"/>
  <c r="H146" i="164"/>
  <c r="O145" i="164"/>
  <c r="N145" i="164"/>
  <c r="H145" i="164"/>
  <c r="O144" i="164"/>
  <c r="N144" i="164"/>
  <c r="H144" i="164"/>
  <c r="O143" i="164"/>
  <c r="N143" i="164"/>
  <c r="H143" i="164"/>
  <c r="O142" i="164"/>
  <c r="N142" i="164"/>
  <c r="H142" i="164"/>
  <c r="O141" i="164"/>
  <c r="N141" i="164"/>
  <c r="H141" i="164"/>
  <c r="O140" i="164"/>
  <c r="N140" i="164"/>
  <c r="H140" i="164"/>
  <c r="O139" i="164"/>
  <c r="N139" i="164"/>
  <c r="H139" i="164"/>
  <c r="O138" i="164"/>
  <c r="N138" i="164"/>
  <c r="H138" i="164"/>
  <c r="O137" i="164"/>
  <c r="N137" i="164"/>
  <c r="H137" i="164"/>
  <c r="O136" i="164"/>
  <c r="N136" i="164"/>
  <c r="H136" i="164"/>
  <c r="O135" i="164"/>
  <c r="N135" i="164"/>
  <c r="H135" i="164"/>
  <c r="O134" i="164"/>
  <c r="N134" i="164"/>
  <c r="H134" i="164"/>
  <c r="O133" i="164"/>
  <c r="N133" i="164"/>
  <c r="H133" i="164"/>
  <c r="O132" i="164"/>
  <c r="N132" i="164"/>
  <c r="H132" i="164"/>
  <c r="O131" i="164"/>
  <c r="N131" i="164"/>
  <c r="H131" i="164"/>
  <c r="O130" i="164"/>
  <c r="N130" i="164"/>
  <c r="H130" i="164"/>
  <c r="O129" i="164"/>
  <c r="N129" i="164"/>
  <c r="H129" i="164"/>
  <c r="O128" i="164"/>
  <c r="N128" i="164"/>
  <c r="H128" i="164"/>
  <c r="O127" i="164"/>
  <c r="N127" i="164"/>
  <c r="H127" i="164"/>
  <c r="O126" i="164"/>
  <c r="N126" i="164"/>
  <c r="H126" i="164"/>
  <c r="O125" i="164"/>
  <c r="N125" i="164"/>
  <c r="H125" i="164"/>
  <c r="O124" i="164"/>
  <c r="N124" i="164"/>
  <c r="H124" i="164"/>
  <c r="O123" i="164"/>
  <c r="N123" i="164"/>
  <c r="H123" i="164"/>
  <c r="O122" i="164"/>
  <c r="N122" i="164"/>
  <c r="H122" i="164"/>
  <c r="O121" i="164"/>
  <c r="N121" i="164"/>
  <c r="H121" i="164"/>
  <c r="O120" i="164"/>
  <c r="N120" i="164"/>
  <c r="H120" i="164"/>
  <c r="O119" i="164"/>
  <c r="N119" i="164"/>
  <c r="H119" i="164"/>
  <c r="O118" i="164"/>
  <c r="N118" i="164"/>
  <c r="H118" i="164"/>
  <c r="O117" i="164"/>
  <c r="N117" i="164"/>
  <c r="H117" i="164"/>
  <c r="O116" i="164"/>
  <c r="N116" i="164"/>
  <c r="H116" i="164"/>
  <c r="O115" i="164"/>
  <c r="N115" i="164"/>
  <c r="H115" i="164"/>
  <c r="O114" i="164"/>
  <c r="N114" i="164"/>
  <c r="H114" i="164"/>
  <c r="O113" i="164"/>
  <c r="N113" i="164"/>
  <c r="H113" i="164"/>
  <c r="O112" i="164"/>
  <c r="N112" i="164"/>
  <c r="H112" i="164"/>
  <c r="O111" i="164"/>
  <c r="N111" i="164"/>
  <c r="H111" i="164"/>
  <c r="O110" i="164"/>
  <c r="N110" i="164"/>
  <c r="H110" i="164"/>
  <c r="O109" i="164"/>
  <c r="N109" i="164"/>
  <c r="H109" i="164"/>
  <c r="O108" i="164"/>
  <c r="N108" i="164"/>
  <c r="H108" i="164"/>
  <c r="O107" i="164"/>
  <c r="N107" i="164"/>
  <c r="H107" i="164"/>
  <c r="O106" i="164"/>
  <c r="N106" i="164"/>
  <c r="H106" i="164"/>
  <c r="O105" i="164"/>
  <c r="N105" i="164"/>
  <c r="H105" i="164"/>
  <c r="O104" i="164"/>
  <c r="N104" i="164"/>
  <c r="H104" i="164"/>
  <c r="O103" i="164"/>
  <c r="N103" i="164"/>
  <c r="H103" i="164"/>
  <c r="O102" i="164"/>
  <c r="N102" i="164"/>
  <c r="H102" i="164"/>
  <c r="O101" i="164"/>
  <c r="N101" i="164"/>
  <c r="H101" i="164"/>
  <c r="O100" i="164"/>
  <c r="N100" i="164"/>
  <c r="H100" i="164"/>
  <c r="O99" i="164"/>
  <c r="N99" i="164"/>
  <c r="H99" i="164"/>
  <c r="O98" i="164"/>
  <c r="N98" i="164"/>
  <c r="H98" i="164"/>
  <c r="O97" i="164"/>
  <c r="N97" i="164"/>
  <c r="H97" i="164"/>
  <c r="O96" i="164"/>
  <c r="N96" i="164"/>
  <c r="H96" i="164"/>
  <c r="O95" i="164"/>
  <c r="N95" i="164"/>
  <c r="H95" i="164"/>
  <c r="O94" i="164"/>
  <c r="N94" i="164"/>
  <c r="H94" i="164"/>
  <c r="O93" i="164"/>
  <c r="N93" i="164"/>
  <c r="H93" i="164"/>
  <c r="N92" i="164"/>
  <c r="H92" i="164"/>
  <c r="N91" i="164"/>
  <c r="H91" i="164"/>
  <c r="N90" i="164"/>
  <c r="H90" i="164"/>
  <c r="O89" i="164"/>
  <c r="N89" i="164"/>
  <c r="H89" i="164"/>
  <c r="O88" i="164"/>
  <c r="N88" i="164"/>
  <c r="H88" i="164"/>
  <c r="O87" i="164"/>
  <c r="N87" i="164"/>
  <c r="H87" i="164"/>
  <c r="O86" i="164"/>
  <c r="N86" i="164"/>
  <c r="H86" i="164"/>
  <c r="O85" i="164"/>
  <c r="N85" i="164"/>
  <c r="H85" i="164"/>
  <c r="O84" i="164"/>
  <c r="N84" i="164"/>
  <c r="H84" i="164"/>
  <c r="O83" i="164"/>
  <c r="N83" i="164"/>
  <c r="H83" i="164"/>
  <c r="O82" i="164"/>
  <c r="N82" i="164"/>
  <c r="O81" i="164"/>
  <c r="N81" i="164"/>
  <c r="O80" i="164"/>
  <c r="N80" i="164"/>
  <c r="H80" i="164"/>
  <c r="O79" i="164"/>
  <c r="N79" i="164"/>
  <c r="H79" i="164"/>
  <c r="O78" i="164"/>
  <c r="N78" i="164"/>
  <c r="H78" i="164"/>
  <c r="O77" i="164"/>
  <c r="N77" i="164"/>
  <c r="H77" i="164"/>
  <c r="O76" i="164"/>
  <c r="N76" i="164"/>
  <c r="H76" i="164"/>
  <c r="O75" i="164"/>
  <c r="N75" i="164"/>
  <c r="H75" i="164"/>
  <c r="O74" i="164"/>
  <c r="N74" i="164"/>
  <c r="H74" i="164"/>
  <c r="O73" i="164"/>
  <c r="N73" i="164"/>
  <c r="H73" i="164"/>
  <c r="O72" i="164"/>
  <c r="N72" i="164"/>
  <c r="H72" i="164"/>
  <c r="O71" i="164"/>
  <c r="N71" i="164"/>
  <c r="H71" i="164"/>
  <c r="O70" i="164"/>
  <c r="N70" i="164"/>
  <c r="H70" i="164"/>
  <c r="T69" i="164"/>
  <c r="T96" i="164" s="1"/>
  <c r="O69" i="164"/>
  <c r="N69" i="164"/>
  <c r="H69" i="164"/>
  <c r="O68" i="164"/>
  <c r="N68" i="164"/>
  <c r="H68" i="164"/>
  <c r="O67" i="164"/>
  <c r="N67" i="164"/>
  <c r="H67" i="164"/>
  <c r="O66" i="164"/>
  <c r="N66" i="164"/>
  <c r="H66" i="164"/>
  <c r="O65" i="164"/>
  <c r="N65" i="164"/>
  <c r="H65" i="164"/>
  <c r="O64" i="164"/>
  <c r="N64" i="164"/>
  <c r="H64" i="164"/>
  <c r="O63" i="164"/>
  <c r="N63" i="164"/>
  <c r="H63" i="164"/>
  <c r="O62" i="164"/>
  <c r="N62" i="164"/>
  <c r="H62" i="164"/>
  <c r="O61" i="164"/>
  <c r="N61" i="164"/>
  <c r="H61" i="164"/>
  <c r="O60" i="164"/>
  <c r="N60" i="164"/>
  <c r="H60" i="164"/>
  <c r="O59" i="164"/>
  <c r="N59" i="164"/>
  <c r="H59" i="164"/>
  <c r="O58" i="164"/>
  <c r="N58" i="164"/>
  <c r="H58" i="164"/>
  <c r="O57" i="164"/>
  <c r="N57" i="164"/>
  <c r="H57" i="164"/>
  <c r="O56" i="164"/>
  <c r="N56" i="164"/>
  <c r="H56" i="164"/>
  <c r="O55" i="164"/>
  <c r="N55" i="164"/>
  <c r="O54" i="164"/>
  <c r="N54" i="164"/>
  <c r="H54" i="164"/>
  <c r="O53" i="164"/>
  <c r="N53" i="164"/>
  <c r="H53" i="164"/>
  <c r="O52" i="164"/>
  <c r="N52" i="164"/>
  <c r="O51" i="164"/>
  <c r="N51" i="164"/>
  <c r="H51" i="164"/>
  <c r="O50" i="164"/>
  <c r="N50" i="164"/>
  <c r="H50" i="164"/>
  <c r="O49" i="164"/>
  <c r="N49" i="164"/>
  <c r="H49" i="164"/>
  <c r="O48" i="164"/>
  <c r="N48" i="164"/>
  <c r="H48" i="164"/>
  <c r="O47" i="164"/>
  <c r="N47" i="164"/>
  <c r="H47" i="164"/>
  <c r="O46" i="164"/>
  <c r="N46" i="164"/>
  <c r="H46" i="164"/>
  <c r="O45" i="164"/>
  <c r="N45" i="164"/>
  <c r="H45" i="164"/>
  <c r="O44" i="164"/>
  <c r="N44" i="164"/>
  <c r="H44" i="164"/>
  <c r="O43" i="164"/>
  <c r="N43" i="164"/>
  <c r="H43" i="164"/>
  <c r="O42" i="164"/>
  <c r="N42" i="164"/>
  <c r="H42" i="164"/>
  <c r="O41" i="164"/>
  <c r="N41" i="164"/>
  <c r="H41" i="164"/>
  <c r="O40" i="164"/>
  <c r="N40" i="164"/>
  <c r="H40" i="164"/>
  <c r="O39" i="164"/>
  <c r="N39" i="164"/>
  <c r="H39" i="164"/>
  <c r="O38" i="164"/>
  <c r="N38" i="164"/>
  <c r="H38" i="164"/>
  <c r="O37" i="164"/>
  <c r="N37" i="164"/>
  <c r="H37" i="164"/>
  <c r="O36" i="164"/>
  <c r="N36" i="164"/>
  <c r="O35" i="164"/>
  <c r="N35" i="164"/>
  <c r="H35" i="164"/>
  <c r="N34" i="164"/>
  <c r="H34" i="164"/>
  <c r="O33" i="164"/>
  <c r="N33" i="164"/>
  <c r="H33" i="164"/>
  <c r="O32" i="164"/>
  <c r="N32" i="164"/>
  <c r="O31" i="164"/>
  <c r="N31" i="164"/>
  <c r="N29" i="164"/>
  <c r="H29" i="164"/>
  <c r="N28" i="164"/>
  <c r="H28" i="164"/>
  <c r="N27" i="164"/>
  <c r="H27" i="164"/>
  <c r="O26" i="164"/>
  <c r="N26" i="164"/>
  <c r="H26" i="164"/>
  <c r="O25" i="164"/>
  <c r="N25" i="164"/>
  <c r="H25" i="164"/>
  <c r="O24" i="164"/>
  <c r="N24" i="164"/>
  <c r="H24" i="164"/>
  <c r="O23" i="164"/>
  <c r="N23" i="164"/>
  <c r="H23" i="164"/>
  <c r="O22" i="164"/>
  <c r="N22" i="164"/>
  <c r="H22" i="164"/>
  <c r="O21" i="164"/>
  <c r="N21" i="164"/>
  <c r="H21" i="164"/>
  <c r="O20" i="164"/>
  <c r="N20" i="164"/>
  <c r="H20" i="164"/>
  <c r="O19" i="164"/>
  <c r="N19" i="164"/>
  <c r="H19" i="164"/>
  <c r="O18" i="164"/>
  <c r="N18" i="164"/>
  <c r="N17" i="164"/>
  <c r="O16" i="164"/>
  <c r="N16" i="164"/>
  <c r="H16" i="164"/>
  <c r="O15" i="164"/>
  <c r="N15" i="164"/>
  <c r="H15" i="164"/>
  <c r="S14" i="164"/>
  <c r="O14" i="164"/>
  <c r="N14" i="164"/>
  <c r="O13" i="164"/>
  <c r="N13" i="164"/>
  <c r="H13" i="164"/>
  <c r="O12" i="164"/>
  <c r="N12" i="164"/>
  <c r="H12" i="164"/>
  <c r="O11" i="164"/>
  <c r="N11" i="164"/>
  <c r="H11" i="164"/>
  <c r="O10" i="164"/>
  <c r="N10" i="164"/>
  <c r="O9" i="164"/>
  <c r="N9" i="164"/>
  <c r="O8" i="164"/>
  <c r="N8" i="164"/>
  <c r="H8" i="164"/>
  <c r="O7" i="164"/>
  <c r="N7" i="164"/>
  <c r="H7" i="164"/>
  <c r="O6" i="164"/>
  <c r="N6" i="164"/>
  <c r="H6" i="164"/>
  <c r="O5" i="164"/>
  <c r="N5" i="164"/>
  <c r="H5" i="164"/>
  <c r="O4" i="164"/>
  <c r="N4" i="164"/>
  <c r="H4" i="164"/>
  <c r="O3" i="164"/>
  <c r="N3" i="164"/>
  <c r="H3" i="164"/>
  <c r="O2" i="164"/>
  <c r="O229" i="164" s="1"/>
  <c r="B230" i="164" s="1"/>
  <c r="B235" i="164" s="1"/>
  <c r="B241" i="164" s="1"/>
  <c r="B254" i="164" s="1"/>
  <c r="N2" i="164"/>
  <c r="N229" i="164" s="1"/>
  <c r="H2" i="164"/>
  <c r="H229" i="164" s="1"/>
  <c r="B268" i="163"/>
  <c r="B259" i="163"/>
  <c r="B258" i="163"/>
  <c r="B272" i="163" s="1"/>
  <c r="B251" i="163"/>
  <c r="B252" i="163" s="1"/>
  <c r="B249" i="163"/>
  <c r="B248" i="163"/>
  <c r="B247" i="163"/>
  <c r="B250" i="163" s="1"/>
  <c r="B243" i="163"/>
  <c r="B241" i="163"/>
  <c r="B244" i="163" s="1"/>
  <c r="B237" i="163"/>
  <c r="B236" i="163"/>
  <c r="B235" i="163"/>
  <c r="B239" i="163" s="1"/>
  <c r="B232" i="163"/>
  <c r="B230" i="163"/>
  <c r="P228" i="163"/>
  <c r="K228" i="163"/>
  <c r="I228" i="163"/>
  <c r="N227" i="163"/>
  <c r="N226" i="163"/>
  <c r="N225" i="163"/>
  <c r="N224" i="163"/>
  <c r="N223" i="163"/>
  <c r="N222" i="163"/>
  <c r="N221" i="163"/>
  <c r="N220" i="163"/>
  <c r="N219" i="163"/>
  <c r="O218" i="163"/>
  <c r="N218" i="163"/>
  <c r="H218" i="163"/>
  <c r="O217" i="163"/>
  <c r="N217" i="163"/>
  <c r="H217" i="163"/>
  <c r="O216" i="163"/>
  <c r="N216" i="163"/>
  <c r="H216" i="163"/>
  <c r="O215" i="163"/>
  <c r="N215" i="163"/>
  <c r="H215" i="163"/>
  <c r="O214" i="163"/>
  <c r="N214" i="163"/>
  <c r="H214" i="163"/>
  <c r="O213" i="163"/>
  <c r="N213" i="163"/>
  <c r="O212" i="163"/>
  <c r="N212" i="163"/>
  <c r="O211" i="163"/>
  <c r="N211" i="163"/>
  <c r="H211" i="163"/>
  <c r="O210" i="163"/>
  <c r="N210" i="163"/>
  <c r="H210" i="163"/>
  <c r="O209" i="163"/>
  <c r="N209" i="163"/>
  <c r="H209" i="163"/>
  <c r="O208" i="163"/>
  <c r="N208" i="163"/>
  <c r="H208" i="163"/>
  <c r="O207" i="163"/>
  <c r="N207" i="163"/>
  <c r="H207" i="163"/>
  <c r="O206" i="163"/>
  <c r="N206" i="163"/>
  <c r="H206" i="163"/>
  <c r="O205" i="163"/>
  <c r="N205" i="163"/>
  <c r="H205" i="163"/>
  <c r="O204" i="163"/>
  <c r="N204" i="163"/>
  <c r="H204" i="163"/>
  <c r="O203" i="163"/>
  <c r="N203" i="163"/>
  <c r="H203" i="163"/>
  <c r="O202" i="163"/>
  <c r="N202" i="163"/>
  <c r="H202" i="163"/>
  <c r="O201" i="163"/>
  <c r="N201" i="163"/>
  <c r="H201" i="163"/>
  <c r="O200" i="163"/>
  <c r="N200" i="163"/>
  <c r="H200" i="163"/>
  <c r="O199" i="163"/>
  <c r="N199" i="163"/>
  <c r="H199" i="163"/>
  <c r="O198" i="163"/>
  <c r="N198" i="163"/>
  <c r="H198" i="163"/>
  <c r="O197" i="163"/>
  <c r="N197" i="163"/>
  <c r="H197" i="163"/>
  <c r="O196" i="163"/>
  <c r="N196" i="163"/>
  <c r="H196" i="163"/>
  <c r="O195" i="163"/>
  <c r="N195" i="163"/>
  <c r="H195" i="163"/>
  <c r="O194" i="163"/>
  <c r="N194" i="163"/>
  <c r="H194" i="163"/>
  <c r="O193" i="163"/>
  <c r="N193" i="163"/>
  <c r="H193" i="163"/>
  <c r="O192" i="163"/>
  <c r="N192" i="163"/>
  <c r="H192" i="163"/>
  <c r="O191" i="163"/>
  <c r="N191" i="163"/>
  <c r="O190" i="163"/>
  <c r="N190" i="163"/>
  <c r="H190" i="163"/>
  <c r="O189" i="163"/>
  <c r="N189" i="163"/>
  <c r="H189" i="163"/>
  <c r="O188" i="163"/>
  <c r="N188" i="163"/>
  <c r="H188" i="163"/>
  <c r="O187" i="163"/>
  <c r="N187" i="163"/>
  <c r="H187" i="163"/>
  <c r="O186" i="163"/>
  <c r="N186" i="163"/>
  <c r="H186" i="163"/>
  <c r="O185" i="163"/>
  <c r="N185" i="163"/>
  <c r="H185" i="163"/>
  <c r="O184" i="163"/>
  <c r="N184" i="163"/>
  <c r="H184" i="163"/>
  <c r="O183" i="163"/>
  <c r="N183" i="163"/>
  <c r="O182" i="163"/>
  <c r="N182" i="163"/>
  <c r="O181" i="163"/>
  <c r="N181" i="163"/>
  <c r="O180" i="163"/>
  <c r="N180" i="163"/>
  <c r="H180" i="163"/>
  <c r="O179" i="163"/>
  <c r="N179" i="163"/>
  <c r="H179" i="163"/>
  <c r="O178" i="163"/>
  <c r="N178" i="163"/>
  <c r="H178" i="163"/>
  <c r="O177" i="163"/>
  <c r="N177" i="163"/>
  <c r="H177" i="163"/>
  <c r="O176" i="163"/>
  <c r="N176" i="163"/>
  <c r="H176" i="163"/>
  <c r="O175" i="163"/>
  <c r="N175" i="163"/>
  <c r="H175" i="163"/>
  <c r="O174" i="163"/>
  <c r="N174" i="163"/>
  <c r="H174" i="163"/>
  <c r="O173" i="163"/>
  <c r="N173" i="163"/>
  <c r="H173" i="163"/>
  <c r="O172" i="163"/>
  <c r="N172" i="163"/>
  <c r="H172" i="163"/>
  <c r="O171" i="163"/>
  <c r="N171" i="163"/>
  <c r="H171" i="163"/>
  <c r="O170" i="163"/>
  <c r="N170" i="163"/>
  <c r="H170" i="163"/>
  <c r="O169" i="163"/>
  <c r="N169" i="163"/>
  <c r="H169" i="163"/>
  <c r="O168" i="163"/>
  <c r="N168" i="163"/>
  <c r="H168" i="163"/>
  <c r="O167" i="163"/>
  <c r="N167" i="163"/>
  <c r="O166" i="163"/>
  <c r="N166" i="163"/>
  <c r="H166" i="163"/>
  <c r="O165" i="163"/>
  <c r="N165" i="163"/>
  <c r="H165" i="163"/>
  <c r="O164" i="163"/>
  <c r="N164" i="163"/>
  <c r="H164" i="163"/>
  <c r="O163" i="163"/>
  <c r="N163" i="163"/>
  <c r="H163" i="163"/>
  <c r="O162" i="163"/>
  <c r="N162" i="163"/>
  <c r="H162" i="163"/>
  <c r="O161" i="163"/>
  <c r="N161" i="163"/>
  <c r="H161" i="163"/>
  <c r="O160" i="163"/>
  <c r="N160" i="163"/>
  <c r="H160" i="163"/>
  <c r="N159" i="163"/>
  <c r="H159" i="163"/>
  <c r="O158" i="163"/>
  <c r="N158" i="163"/>
  <c r="N157" i="163"/>
  <c r="O156" i="163"/>
  <c r="N156" i="163"/>
  <c r="H156" i="163"/>
  <c r="O155" i="163"/>
  <c r="N155" i="163"/>
  <c r="H155" i="163"/>
  <c r="O154" i="163"/>
  <c r="N154" i="163"/>
  <c r="H154" i="163"/>
  <c r="O153" i="163"/>
  <c r="N153" i="163"/>
  <c r="H153" i="163"/>
  <c r="O152" i="163"/>
  <c r="N152" i="163"/>
  <c r="H152" i="163"/>
  <c r="O151" i="163"/>
  <c r="N151" i="163"/>
  <c r="H151" i="163"/>
  <c r="O150" i="163"/>
  <c r="N150" i="163"/>
  <c r="H150" i="163"/>
  <c r="O149" i="163"/>
  <c r="N149" i="163"/>
  <c r="H149" i="163"/>
  <c r="O148" i="163"/>
  <c r="N148" i="163"/>
  <c r="H148" i="163"/>
  <c r="O147" i="163"/>
  <c r="N147" i="163"/>
  <c r="H147" i="163"/>
  <c r="O146" i="163"/>
  <c r="N146" i="163"/>
  <c r="H146" i="163"/>
  <c r="O145" i="163"/>
  <c r="N145" i="163"/>
  <c r="H145" i="163"/>
  <c r="O144" i="163"/>
  <c r="N144" i="163"/>
  <c r="H144" i="163"/>
  <c r="O143" i="163"/>
  <c r="N143" i="163"/>
  <c r="H143" i="163"/>
  <c r="O142" i="163"/>
  <c r="N142" i="163"/>
  <c r="H142" i="163"/>
  <c r="O141" i="163"/>
  <c r="N141" i="163"/>
  <c r="H141" i="163"/>
  <c r="O140" i="163"/>
  <c r="N140" i="163"/>
  <c r="H140" i="163"/>
  <c r="O139" i="163"/>
  <c r="N139" i="163"/>
  <c r="H139" i="163"/>
  <c r="O138" i="163"/>
  <c r="N138" i="163"/>
  <c r="H138" i="163"/>
  <c r="O137" i="163"/>
  <c r="N137" i="163"/>
  <c r="H137" i="163"/>
  <c r="O136" i="163"/>
  <c r="N136" i="163"/>
  <c r="H136" i="163"/>
  <c r="O135" i="163"/>
  <c r="N135" i="163"/>
  <c r="H135" i="163"/>
  <c r="O134" i="163"/>
  <c r="N134" i="163"/>
  <c r="H134" i="163"/>
  <c r="O133" i="163"/>
  <c r="N133" i="163"/>
  <c r="H133" i="163"/>
  <c r="O132" i="163"/>
  <c r="N132" i="163"/>
  <c r="H132" i="163"/>
  <c r="O131" i="163"/>
  <c r="N131" i="163"/>
  <c r="H131" i="163"/>
  <c r="O130" i="163"/>
  <c r="N130" i="163"/>
  <c r="H130" i="163"/>
  <c r="O129" i="163"/>
  <c r="N129" i="163"/>
  <c r="H129" i="163"/>
  <c r="O128" i="163"/>
  <c r="N128" i="163"/>
  <c r="H128" i="163"/>
  <c r="O127" i="163"/>
  <c r="N127" i="163"/>
  <c r="H127" i="163"/>
  <c r="O126" i="163"/>
  <c r="N126" i="163"/>
  <c r="H126" i="163"/>
  <c r="O125" i="163"/>
  <c r="N125" i="163"/>
  <c r="H125" i="163"/>
  <c r="O124" i="163"/>
  <c r="N124" i="163"/>
  <c r="H124" i="163"/>
  <c r="O123" i="163"/>
  <c r="N123" i="163"/>
  <c r="H123" i="163"/>
  <c r="O122" i="163"/>
  <c r="N122" i="163"/>
  <c r="H122" i="163"/>
  <c r="O121" i="163"/>
  <c r="N121" i="163"/>
  <c r="H121" i="163"/>
  <c r="O120" i="163"/>
  <c r="N120" i="163"/>
  <c r="H120" i="163"/>
  <c r="O119" i="163"/>
  <c r="N119" i="163"/>
  <c r="H119" i="163"/>
  <c r="O118" i="163"/>
  <c r="N118" i="163"/>
  <c r="H118" i="163"/>
  <c r="O117" i="163"/>
  <c r="N117" i="163"/>
  <c r="H117" i="163"/>
  <c r="O116" i="163"/>
  <c r="N116" i="163"/>
  <c r="H116" i="163"/>
  <c r="O115" i="163"/>
  <c r="N115" i="163"/>
  <c r="H115" i="163"/>
  <c r="O114" i="163"/>
  <c r="N114" i="163"/>
  <c r="H114" i="163"/>
  <c r="O113" i="163"/>
  <c r="N113" i="163"/>
  <c r="H113" i="163"/>
  <c r="O112" i="163"/>
  <c r="N112" i="163"/>
  <c r="H112" i="163"/>
  <c r="O111" i="163"/>
  <c r="N111" i="163"/>
  <c r="H111" i="163"/>
  <c r="O110" i="163"/>
  <c r="N110" i="163"/>
  <c r="H110" i="163"/>
  <c r="O109" i="163"/>
  <c r="N109" i="163"/>
  <c r="H109" i="163"/>
  <c r="O108" i="163"/>
  <c r="N108" i="163"/>
  <c r="H108" i="163"/>
  <c r="O107" i="163"/>
  <c r="N107" i="163"/>
  <c r="H107" i="163"/>
  <c r="O106" i="163"/>
  <c r="N106" i="163"/>
  <c r="H106" i="163"/>
  <c r="O105" i="163"/>
  <c r="N105" i="163"/>
  <c r="H105" i="163"/>
  <c r="O104" i="163"/>
  <c r="N104" i="163"/>
  <c r="H104" i="163"/>
  <c r="O103" i="163"/>
  <c r="N103" i="163"/>
  <c r="H103" i="163"/>
  <c r="O102" i="163"/>
  <c r="N102" i="163"/>
  <c r="H102" i="163"/>
  <c r="O101" i="163"/>
  <c r="N101" i="163"/>
  <c r="H101" i="163"/>
  <c r="O100" i="163"/>
  <c r="N100" i="163"/>
  <c r="H100" i="163"/>
  <c r="O99" i="163"/>
  <c r="N99" i="163"/>
  <c r="H99" i="163"/>
  <c r="O98" i="163"/>
  <c r="N98" i="163"/>
  <c r="H98" i="163"/>
  <c r="O97" i="163"/>
  <c r="N97" i="163"/>
  <c r="H97" i="163"/>
  <c r="O96" i="163"/>
  <c r="N96" i="163"/>
  <c r="H96" i="163"/>
  <c r="O95" i="163"/>
  <c r="N95" i="163"/>
  <c r="H95" i="163"/>
  <c r="O94" i="163"/>
  <c r="N94" i="163"/>
  <c r="H94" i="163"/>
  <c r="O93" i="163"/>
  <c r="N93" i="163"/>
  <c r="H93" i="163"/>
  <c r="O92" i="163"/>
  <c r="N92" i="163"/>
  <c r="H92" i="163"/>
  <c r="N91" i="163"/>
  <c r="H91" i="163"/>
  <c r="N90" i="163"/>
  <c r="H90" i="163"/>
  <c r="N89" i="163"/>
  <c r="H89" i="163"/>
  <c r="O88" i="163"/>
  <c r="N88" i="163"/>
  <c r="H88" i="163"/>
  <c r="O87" i="163"/>
  <c r="N87" i="163"/>
  <c r="H87" i="163"/>
  <c r="O86" i="163"/>
  <c r="N86" i="163"/>
  <c r="H86" i="163"/>
  <c r="O85" i="163"/>
  <c r="N85" i="163"/>
  <c r="H85" i="163"/>
  <c r="O84" i="163"/>
  <c r="N84" i="163"/>
  <c r="H84" i="163"/>
  <c r="O83" i="163"/>
  <c r="N83" i="163"/>
  <c r="H83" i="163"/>
  <c r="O82" i="163"/>
  <c r="N82" i="163"/>
  <c r="H82" i="163"/>
  <c r="O81" i="163"/>
  <c r="N81" i="163"/>
  <c r="O80" i="163"/>
  <c r="N80" i="163"/>
  <c r="O79" i="163"/>
  <c r="N79" i="163"/>
  <c r="H79" i="163"/>
  <c r="O78" i="163"/>
  <c r="N78" i="163"/>
  <c r="H78" i="163"/>
  <c r="O77" i="163"/>
  <c r="N77" i="163"/>
  <c r="H77" i="163"/>
  <c r="O76" i="163"/>
  <c r="N76" i="163"/>
  <c r="H76" i="163"/>
  <c r="O75" i="163"/>
  <c r="N75" i="163"/>
  <c r="H75" i="163"/>
  <c r="O74" i="163"/>
  <c r="N74" i="163"/>
  <c r="H74" i="163"/>
  <c r="O73" i="163"/>
  <c r="N73" i="163"/>
  <c r="H73" i="163"/>
  <c r="O72" i="163"/>
  <c r="N72" i="163"/>
  <c r="H72" i="163"/>
  <c r="O71" i="163"/>
  <c r="N71" i="163"/>
  <c r="H71" i="163"/>
  <c r="O70" i="163"/>
  <c r="N70" i="163"/>
  <c r="H70" i="163"/>
  <c r="O69" i="163"/>
  <c r="N69" i="163"/>
  <c r="H69" i="163"/>
  <c r="T68" i="163"/>
  <c r="T95" i="163" s="1"/>
  <c r="O68" i="163"/>
  <c r="N68" i="163"/>
  <c r="H68" i="163"/>
  <c r="O67" i="163"/>
  <c r="N67" i="163"/>
  <c r="H67" i="163"/>
  <c r="O66" i="163"/>
  <c r="N66" i="163"/>
  <c r="H66" i="163"/>
  <c r="O65" i="163"/>
  <c r="N65" i="163"/>
  <c r="H65" i="163"/>
  <c r="O64" i="163"/>
  <c r="N64" i="163"/>
  <c r="H64" i="163"/>
  <c r="O63" i="163"/>
  <c r="N63" i="163"/>
  <c r="H63" i="163"/>
  <c r="O62" i="163"/>
  <c r="N62" i="163"/>
  <c r="H62" i="163"/>
  <c r="O61" i="163"/>
  <c r="N61" i="163"/>
  <c r="H61" i="163"/>
  <c r="O60" i="163"/>
  <c r="N60" i="163"/>
  <c r="H60" i="163"/>
  <c r="O59" i="163"/>
  <c r="N59" i="163"/>
  <c r="H59" i="163"/>
  <c r="O58" i="163"/>
  <c r="N58" i="163"/>
  <c r="H58" i="163"/>
  <c r="O57" i="163"/>
  <c r="N57" i="163"/>
  <c r="H57" i="163"/>
  <c r="O56" i="163"/>
  <c r="N56" i="163"/>
  <c r="H56" i="163"/>
  <c r="O55" i="163"/>
  <c r="N55" i="163"/>
  <c r="H55" i="163"/>
  <c r="O54" i="163"/>
  <c r="N54" i="163"/>
  <c r="O53" i="163"/>
  <c r="N53" i="163"/>
  <c r="H53" i="163"/>
  <c r="O52" i="163"/>
  <c r="N52" i="163"/>
  <c r="H52" i="163"/>
  <c r="O51" i="163"/>
  <c r="N51" i="163"/>
  <c r="O50" i="163"/>
  <c r="N50" i="163"/>
  <c r="H50" i="163"/>
  <c r="O49" i="163"/>
  <c r="N49" i="163"/>
  <c r="H49" i="163"/>
  <c r="O48" i="163"/>
  <c r="N48" i="163"/>
  <c r="H48" i="163"/>
  <c r="O47" i="163"/>
  <c r="N47" i="163"/>
  <c r="H47" i="163"/>
  <c r="O46" i="163"/>
  <c r="N46" i="163"/>
  <c r="H46" i="163"/>
  <c r="O45" i="163"/>
  <c r="N45" i="163"/>
  <c r="H45" i="163"/>
  <c r="O44" i="163"/>
  <c r="N44" i="163"/>
  <c r="H44" i="163"/>
  <c r="O43" i="163"/>
  <c r="N43" i="163"/>
  <c r="H43" i="163"/>
  <c r="O42" i="163"/>
  <c r="N42" i="163"/>
  <c r="H42" i="163"/>
  <c r="O41" i="163"/>
  <c r="N41" i="163"/>
  <c r="H41" i="163"/>
  <c r="O40" i="163"/>
  <c r="N40" i="163"/>
  <c r="H40" i="163"/>
  <c r="O39" i="163"/>
  <c r="N39" i="163"/>
  <c r="H39" i="163"/>
  <c r="O38" i="163"/>
  <c r="N38" i="163"/>
  <c r="H38" i="163"/>
  <c r="O37" i="163"/>
  <c r="N37" i="163"/>
  <c r="H37" i="163"/>
  <c r="O36" i="163"/>
  <c r="N36" i="163"/>
  <c r="H36" i="163"/>
  <c r="O35" i="163"/>
  <c r="N35" i="163"/>
  <c r="O34" i="163"/>
  <c r="N34" i="163"/>
  <c r="H34" i="163"/>
  <c r="N33" i="163"/>
  <c r="H33" i="163"/>
  <c r="O32" i="163"/>
  <c r="N32" i="163"/>
  <c r="H32" i="163"/>
  <c r="O31" i="163"/>
  <c r="N31" i="163"/>
  <c r="O30" i="163"/>
  <c r="N30" i="163"/>
  <c r="N29" i="163"/>
  <c r="H29" i="163"/>
  <c r="N28" i="163"/>
  <c r="H28" i="163"/>
  <c r="N27" i="163"/>
  <c r="H27" i="163"/>
  <c r="O26" i="163"/>
  <c r="N26" i="163"/>
  <c r="H26" i="163"/>
  <c r="O25" i="163"/>
  <c r="N25" i="163"/>
  <c r="H25" i="163"/>
  <c r="O24" i="163"/>
  <c r="N24" i="163"/>
  <c r="H24" i="163"/>
  <c r="O23" i="163"/>
  <c r="N23" i="163"/>
  <c r="H23" i="163"/>
  <c r="O22" i="163"/>
  <c r="N22" i="163"/>
  <c r="H22" i="163"/>
  <c r="O21" i="163"/>
  <c r="N21" i="163"/>
  <c r="H21" i="163"/>
  <c r="O20" i="163"/>
  <c r="N20" i="163"/>
  <c r="H20" i="163"/>
  <c r="O19" i="163"/>
  <c r="N19" i="163"/>
  <c r="H19" i="163"/>
  <c r="O18" i="163"/>
  <c r="N18" i="163"/>
  <c r="N17" i="163"/>
  <c r="O16" i="163"/>
  <c r="N16" i="163"/>
  <c r="H16" i="163"/>
  <c r="O15" i="163"/>
  <c r="N15" i="163"/>
  <c r="H15" i="163"/>
  <c r="S14" i="163"/>
  <c r="O14" i="163"/>
  <c r="N14" i="163"/>
  <c r="O13" i="163"/>
  <c r="N13" i="163"/>
  <c r="H13" i="163"/>
  <c r="O12" i="163"/>
  <c r="N12" i="163"/>
  <c r="H12" i="163"/>
  <c r="O11" i="163"/>
  <c r="N11" i="163"/>
  <c r="H11" i="163"/>
  <c r="O10" i="163"/>
  <c r="N10" i="163"/>
  <c r="O9" i="163"/>
  <c r="N9" i="163"/>
  <c r="O8" i="163"/>
  <c r="N8" i="163"/>
  <c r="H8" i="163"/>
  <c r="O7" i="163"/>
  <c r="N7" i="163"/>
  <c r="H7" i="163"/>
  <c r="O6" i="163"/>
  <c r="N6" i="163"/>
  <c r="H6" i="163"/>
  <c r="O5" i="163"/>
  <c r="N5" i="163"/>
  <c r="H5" i="163"/>
  <c r="O4" i="163"/>
  <c r="N4" i="163"/>
  <c r="H4" i="163"/>
  <c r="O3" i="163"/>
  <c r="N3" i="163"/>
  <c r="H3" i="163"/>
  <c r="O2" i="163"/>
  <c r="O228" i="163" s="1"/>
  <c r="B229" i="163" s="1"/>
  <c r="B234" i="163" s="1"/>
  <c r="B240" i="163" s="1"/>
  <c r="B253" i="163" s="1"/>
  <c r="N2" i="163"/>
  <c r="N228" i="163" s="1"/>
  <c r="H2" i="163"/>
  <c r="H228" i="163" s="1"/>
</calcChain>
</file>

<file path=xl/sharedStrings.xml><?xml version="1.0" encoding="utf-8"?>
<sst xmlns="http://schemas.openxmlformats.org/spreadsheetml/2006/main" count="7196" uniqueCount="335">
  <si>
    <t>PRODUCTOS</t>
  </si>
  <si>
    <t>EXISTENCIA</t>
  </si>
  <si>
    <t>ENTRADA</t>
  </si>
  <si>
    <t>SALIDA</t>
  </si>
  <si>
    <t>VENTA 1</t>
  </si>
  <si>
    <t>VENTA 2</t>
  </si>
  <si>
    <t>COMISIONES</t>
  </si>
  <si>
    <t>IMP COMISION</t>
  </si>
  <si>
    <t>DOMICILIO</t>
  </si>
  <si>
    <t>P. COSTO</t>
  </si>
  <si>
    <t>IMPORTE</t>
  </si>
  <si>
    <t>P.  VENTA 1</t>
  </si>
  <si>
    <t>P.  VENTA 2</t>
  </si>
  <si>
    <t>E. FINAL</t>
  </si>
  <si>
    <t>FONDO USD</t>
  </si>
  <si>
    <t>FONDO TARJETA</t>
  </si>
  <si>
    <t>DETALLES</t>
  </si>
  <si>
    <t>FONDO EFECTIVO</t>
  </si>
  <si>
    <t>BOLSA DE CEMENTO BLANCO</t>
  </si>
  <si>
    <t>FLACO</t>
  </si>
  <si>
    <t>LEOSBEL</t>
  </si>
  <si>
    <t>GASOLINA</t>
  </si>
  <si>
    <t>BASE PARA PANELES</t>
  </si>
  <si>
    <t>IMPRESIÓN</t>
  </si>
  <si>
    <t>BASE GIRATORIA</t>
  </si>
  <si>
    <t>PROPINA</t>
  </si>
  <si>
    <t xml:space="preserve">BOCINA BOOM 8  PULGADAS   </t>
  </si>
  <si>
    <t xml:space="preserve">BOCINA MILEXUS 8  PULGADAS  </t>
  </si>
  <si>
    <t>BOMBA DE AGUA SILVER POINT  1 HP</t>
  </si>
  <si>
    <t>BOMBA DE AGUA SILVER POINT  1X1/2</t>
  </si>
  <si>
    <t>CONECTORES MC4</t>
  </si>
  <si>
    <t>COMISION</t>
  </si>
  <si>
    <t>CONTEO</t>
  </si>
  <si>
    <t>CANTIDAD</t>
  </si>
  <si>
    <t>MN</t>
  </si>
  <si>
    <t>COLCHON EKO</t>
  </si>
  <si>
    <t>ZELLE</t>
  </si>
  <si>
    <t>CAFETERA  3 TASAS</t>
  </si>
  <si>
    <t>CAFETERA ELECTRICA RUDENKOV</t>
  </si>
  <si>
    <t>CALENTADOR 80 L</t>
  </si>
  <si>
    <t>CALENTADOR 50 L</t>
  </si>
  <si>
    <t xml:space="preserve">DISPENSSDOR DE AGUA ROYAL </t>
  </si>
  <si>
    <t>ESTACION ENERGIA 6000 W</t>
  </si>
  <si>
    <t>ESTACION ENERGIA PECRON</t>
  </si>
  <si>
    <t>ESTACION MUST 6000 W</t>
  </si>
  <si>
    <t>ESTACION ECOFLOW DELTA 2 1800W</t>
  </si>
  <si>
    <t>KIT DE INSTALACION</t>
  </si>
  <si>
    <t>EXHIBIDOR MILEXUS 390 L 14PIES</t>
  </si>
  <si>
    <t>EXHIBIDOR DOBLE MILEXUS 560 LITROS</t>
  </si>
  <si>
    <t>FOGON DE PETROLEO</t>
  </si>
  <si>
    <t>FOGON DE GAS DE CRISTAL</t>
  </si>
  <si>
    <t>USD</t>
  </si>
  <si>
    <t>FOGON DE GAS SENCILLO</t>
  </si>
  <si>
    <t>FOGON DE GAS 3 QUEMADORES</t>
  </si>
  <si>
    <t>FOGON INFRARROJO EKO 1500 W</t>
  </si>
  <si>
    <t>FILTRO DE AGUA</t>
  </si>
  <si>
    <t>FREIDORA DE AIRE JMD 4 L</t>
  </si>
  <si>
    <t>LAMPARA DE 100W CON PANEL</t>
  </si>
  <si>
    <t>SALIDA USD</t>
  </si>
  <si>
    <t>LAVADORA SECADORA AUTOMÁTICA MILEXUS 10 KG</t>
  </si>
  <si>
    <t>LAVADORA PREMIER AUTOMÁTICA 11 KG</t>
  </si>
  <si>
    <t>LAVADORA 7 KG MILEXUS SEMI.</t>
  </si>
  <si>
    <t>LAVADORA 10 KG AUTOMATICA SANKEY</t>
  </si>
  <si>
    <t>LAVADORA 7.5 AUTOMA MILEXUS</t>
  </si>
  <si>
    <t>GASTOS</t>
  </si>
  <si>
    <t>LUZ LED EXTERIORES 100 W</t>
  </si>
  <si>
    <t>LUZ LED EXTERIORES 200 W</t>
  </si>
  <si>
    <t>LUCES SOLARES PEQUEÑAS</t>
  </si>
  <si>
    <t>MICROONDAS 20 L MILEXUS</t>
  </si>
  <si>
    <t>MICROONDAS 40 L</t>
  </si>
  <si>
    <t>MICROONDAS 20 L PREMIER</t>
  </si>
  <si>
    <t>MINIBAR MILEXUS</t>
  </si>
  <si>
    <t xml:space="preserve">MESCLADORA AMASADORA </t>
  </si>
  <si>
    <t>NEVERA ROYAL 3.5</t>
  </si>
  <si>
    <t>NEVERA ROYAL 7.8 220L</t>
  </si>
  <si>
    <t>NEVERA MILEXUS 3.5 PIES  100L</t>
  </si>
  <si>
    <t>NEVERA MILEXUS 4.2</t>
  </si>
  <si>
    <t xml:space="preserve">NEVERA MILEXUS 11.2 PIES </t>
  </si>
  <si>
    <t>NEVERA 20 PIES  MILEXUS</t>
  </si>
  <si>
    <t>NEVERA 8.8 PIES  MILEXUS 250 L</t>
  </si>
  <si>
    <t>HIDROLAVADORA ROYAL</t>
  </si>
  <si>
    <t>OLLA ARROCERA 2.2 L MILEXUS</t>
  </si>
  <si>
    <t>OLLA ARROCERA 1.8 L WYNWOOD</t>
  </si>
  <si>
    <t>OLLA ARROCERA 1.8 L ELECSTAR</t>
  </si>
  <si>
    <t>OLLA ARROCERA 0.6 L MILEXUS</t>
  </si>
  <si>
    <t>OLLA REINA CHALLENGER 7L</t>
  </si>
  <si>
    <t>OLLA REINA WYNWOOD</t>
  </si>
  <si>
    <t>JUEGO DE MESA Y SILLAS</t>
  </si>
  <si>
    <t>JUEGO DE BAÑO</t>
  </si>
  <si>
    <t>PUERTA PLEGABLE</t>
  </si>
  <si>
    <t>PANELES 615 W</t>
  </si>
  <si>
    <t>ROLLO DE CABLE</t>
  </si>
  <si>
    <t xml:space="preserve">ROLLO DE CABLE ROYAL CORD </t>
  </si>
  <si>
    <t>REFRIGERADOR 15.2 PIES MILEXUS</t>
  </si>
  <si>
    <t>REFRIGERADOR 11 PIES ROYAL DISPENSADOR</t>
  </si>
  <si>
    <t>SET DE INSTALACION</t>
  </si>
  <si>
    <t xml:space="preserve">SANDWICHERA </t>
  </si>
  <si>
    <t>SPLIT 2 T 220V MILEXUS</t>
  </si>
  <si>
    <t>SPLIT MILEXUS 1 T 110 VOLT</t>
  </si>
  <si>
    <t>TV ROYAL 65</t>
  </si>
  <si>
    <t xml:space="preserve">MAQUINA DE FRIO </t>
  </si>
  <si>
    <t>TV 32" MILEXUS</t>
  </si>
  <si>
    <t>TANQUE GASOLINA 20L</t>
  </si>
  <si>
    <t>VENTILADOR DE PARED RECARGABLE</t>
  </si>
  <si>
    <t>VENTILADOR RECARGABLE CHIQUITO DE 20000 MAH F6</t>
  </si>
  <si>
    <t>VENTILADOR RECARGABLE CON PANEL y LAMPARA</t>
  </si>
  <si>
    <t>VENTILADOR DE TECHO ROYAL 56</t>
  </si>
  <si>
    <t>TOTAL</t>
  </si>
  <si>
    <t>VENTA</t>
  </si>
  <si>
    <t>EFECTIVO</t>
  </si>
  <si>
    <t>TARJETA</t>
  </si>
  <si>
    <t>FONDO CUP</t>
  </si>
  <si>
    <t>AUMENTO DE FONDO CUP</t>
  </si>
  <si>
    <t>AUMENTO DE FONDO USD \ZELLE</t>
  </si>
  <si>
    <t xml:space="preserve">TOTAL </t>
  </si>
  <si>
    <t>DOMICILIOS</t>
  </si>
  <si>
    <t>GASTOS COMBOS Y REBAJAS USD</t>
  </si>
  <si>
    <t>TOTAL DE GASTOS</t>
  </si>
  <si>
    <t>TOTAL DESPUES DE GASTOS</t>
  </si>
  <si>
    <t>SALIDA JESUS MN</t>
  </si>
  <si>
    <t>SALIDA JESUS USD</t>
  </si>
  <si>
    <t>SALIDA MLC</t>
  </si>
  <si>
    <t>TOTAL DE SALIDAS</t>
  </si>
  <si>
    <t>USD EFECTIVO</t>
  </si>
  <si>
    <t>MLC</t>
  </si>
  <si>
    <t>MN EFECTIVO</t>
  </si>
  <si>
    <t xml:space="preserve"> </t>
  </si>
  <si>
    <t xml:space="preserve">MN TARJETA </t>
  </si>
  <si>
    <t xml:space="preserve">TOTAL DE CAPITAL </t>
  </si>
  <si>
    <t>X COBRAR</t>
  </si>
  <si>
    <t>CUADRE(TIENE QUE QUEDAR EN 0)(A157-A161-A167-A170)</t>
  </si>
  <si>
    <t>INFORME SEMANAL</t>
  </si>
  <si>
    <t xml:space="preserve"> VENTAS</t>
  </si>
  <si>
    <t>(-)COSTO DE VENTA</t>
  </si>
  <si>
    <t>UTILIDAD BRUTA</t>
  </si>
  <si>
    <t>(-)GASTOS FIJOS</t>
  </si>
  <si>
    <t xml:space="preserve">    SALARIO ESTIBADORES</t>
  </si>
  <si>
    <t xml:space="preserve">    SALARIO LEO</t>
  </si>
  <si>
    <t xml:space="preserve">    CUSTODIO</t>
  </si>
  <si>
    <t xml:space="preserve">    INTERNET</t>
  </si>
  <si>
    <t xml:space="preserve">    JARDINERIA</t>
  </si>
  <si>
    <t xml:space="preserve">    CORRIENTE</t>
  </si>
  <si>
    <t xml:space="preserve">    MEDIOS BASICOS</t>
  </si>
  <si>
    <t xml:space="preserve">    OTROS</t>
  </si>
  <si>
    <t>(-)GASTOS VARIABLES</t>
  </si>
  <si>
    <t xml:space="preserve">   TRANSPORTACION </t>
  </si>
  <si>
    <t xml:space="preserve">   DOMICILIOS</t>
  </si>
  <si>
    <t xml:space="preserve">   COMISIONES</t>
  </si>
  <si>
    <t>UTILIDAD NETA</t>
  </si>
  <si>
    <t>BREKE 63A SENCILLO</t>
  </si>
  <si>
    <t>SPLIT 1 T MILEXUS 220 V INVERTER</t>
  </si>
  <si>
    <t>ESCRITORIO</t>
  </si>
  <si>
    <t>VENTILADOR DE PARED SILVERAIR</t>
  </si>
  <si>
    <t>SILLA GIRATORIA</t>
  </si>
  <si>
    <t>ESTACION ENERGIA ECOFLOW DELTA 2</t>
  </si>
  <si>
    <t xml:space="preserve">INVERSOR MUST 3000 W </t>
  </si>
  <si>
    <t>TV 50 SANKEY</t>
  </si>
  <si>
    <t>EQUIPO DE MUSICA LG</t>
  </si>
  <si>
    <t>BICICLETA INFANTIL</t>
  </si>
  <si>
    <t xml:space="preserve">LAMPARA SOLAR 800W </t>
  </si>
  <si>
    <t>COLCHON PERSONAL</t>
  </si>
  <si>
    <t>LAMPARA RECARGABLE DE 50 CM</t>
  </si>
  <si>
    <t>OLLA ARROCERA 1.8 L EKO</t>
  </si>
  <si>
    <t>SECADORA A VAPOR EKO</t>
  </si>
  <si>
    <t xml:space="preserve">LAMPARA SOLAR 1000W </t>
  </si>
  <si>
    <t>TRANSFER 220V</t>
  </si>
  <si>
    <t>TUBO DE LUZ LED INTEGRAL T8 SACO</t>
  </si>
  <si>
    <t>BASE PARA PANELES GRANDES</t>
  </si>
  <si>
    <t>EXHIBIDOR HORIZONTAL 13P</t>
  </si>
  <si>
    <t>EXPANCIONADORES</t>
  </si>
  <si>
    <t>PLATINAS</t>
  </si>
  <si>
    <t>GANCHO TIERRA</t>
  </si>
  <si>
    <t>NEVERA SANKEY 9 P</t>
  </si>
  <si>
    <t>FOGON INFRARROJO MAF 2000 W</t>
  </si>
  <si>
    <t>TV SANKEY 40</t>
  </si>
  <si>
    <t>LAMPARA DE 360 W CON PANEL INTEGRADO</t>
  </si>
  <si>
    <t>LAMPARA DE 300 W CON PANEL INTEGRADO</t>
  </si>
  <si>
    <t>LAMPARA DE 200 W CON PANEL INDEPENDIENTE</t>
  </si>
  <si>
    <t>LAMPARA DE 300 W CON PANEL INDEPENDIENTE</t>
  </si>
  <si>
    <t>CAJAS DE AZULEJOS 44X44 2.5 M</t>
  </si>
  <si>
    <t>INVERSOR DE 10 K SUNPAL</t>
  </si>
  <si>
    <t>INVERSOR 12K MUST</t>
  </si>
  <si>
    <t>OLLA DE PRESION 5 L INDUCCION BRYDERK</t>
  </si>
  <si>
    <t>SUPRESOR DC</t>
  </si>
  <si>
    <t>SISTEMA FELICITY SOLAR 6 K CON 15K</t>
  </si>
  <si>
    <t>OLLA DE PRESION 7 L ELECSTAR</t>
  </si>
  <si>
    <t>OBSERVACIONES</t>
  </si>
  <si>
    <t>ESTACION ENERGIA ECOFLOW DELTA 3</t>
  </si>
  <si>
    <t>LICUADORA MILEXUS 550W CRISTAL</t>
  </si>
  <si>
    <t>SPLIT MILEXUS 1 T 220 VOLT</t>
  </si>
  <si>
    <t>SPLIT 1 T MILEXUS INVERTER</t>
  </si>
  <si>
    <t>LAVADORA 9 KG SAMSUNG AUTOMATICA</t>
  </si>
  <si>
    <t>VITRINA SANKEY 8P</t>
  </si>
  <si>
    <t>PANELES 490 W</t>
  </si>
  <si>
    <t>JUEGO CALDERO EON</t>
  </si>
  <si>
    <t>VENTILADOR DE PEDESTAL EKO 16</t>
  </si>
  <si>
    <t>JUEGO DE VAJILLAS</t>
  </si>
  <si>
    <t>HORNO ELECTRICO EKO 22L</t>
  </si>
  <si>
    <t>OLLA REINA EON 6L</t>
  </si>
  <si>
    <t>SUPRESOR AC</t>
  </si>
  <si>
    <t xml:space="preserve">BREKE 32A DOBLE </t>
  </si>
  <si>
    <t>BREKE 63A DOBLE TIR</t>
  </si>
  <si>
    <t>RIEL</t>
  </si>
  <si>
    <t>PATAS DELANTERA AJUSTABLE</t>
  </si>
  <si>
    <t>PATAS TRASERAS AJUSTABLES</t>
  </si>
  <si>
    <t>CONECTOR DE RIEL</t>
  </si>
  <si>
    <t>SUJETADOR EXTERIOR</t>
  </si>
  <si>
    <t>SUJETADOR INTERMEDIO</t>
  </si>
  <si>
    <t>ESTACION MUST 2K CON 2.7K</t>
  </si>
  <si>
    <t>BATERIA EXTRA 16K SACO</t>
  </si>
  <si>
    <t>REFRIGERADOR 7 PIES HISENSE</t>
  </si>
  <si>
    <t>FOGON INFRARROJO ROYAL 1500 W</t>
  </si>
  <si>
    <t xml:space="preserve">LAVADORA 9 KG MILEXUS SEMI </t>
  </si>
  <si>
    <t>TV HISENSE 55</t>
  </si>
  <si>
    <t>BASE FIJA PARA TV 32'' - 86''</t>
  </si>
  <si>
    <t>BATERIA MUST 10.25 KW</t>
  </si>
  <si>
    <t>LICUADORA MILEXUS 400 W CRISTAL</t>
  </si>
  <si>
    <t>BATERIA 15K MUST</t>
  </si>
  <si>
    <t>CAJA DE DISTRIBUCION DE 8 VIAS</t>
  </si>
  <si>
    <t>CAJA DE DISTRIBUCION DE 12 VIAS</t>
  </si>
  <si>
    <t>PROTECTOR DE LINEA 220V</t>
  </si>
  <si>
    <t>PROTECTOR DE LINEA 110V</t>
  </si>
  <si>
    <t xml:space="preserve">REFRIGERADOR MILEXUS 9 PIES </t>
  </si>
  <si>
    <t>NEVERA ENERLIFE 5.5</t>
  </si>
  <si>
    <t>LAVADORA ENERLIFE 7 KG SEMI</t>
  </si>
  <si>
    <t>VENTILADOR RECARGABLE  SANKEY 16</t>
  </si>
  <si>
    <t>INVERSOR 12K SACO</t>
  </si>
  <si>
    <t>LICUADORA ROYAL PLASTICA 2 EN 1</t>
  </si>
  <si>
    <t>NEVERA  7 PIES HISENSE 200L</t>
  </si>
  <si>
    <t>BATERIA 5K MUST</t>
  </si>
  <si>
    <t>INVERSOR 6K MUST</t>
  </si>
  <si>
    <t>NEVERA ROYAL 5.5 P</t>
  </si>
  <si>
    <t>BICICLETA INFANTIL 20</t>
  </si>
  <si>
    <t>FREIDORA DE AIRE MILEXUS NEGRA 4.2L</t>
  </si>
  <si>
    <t>REFRIGERADOR 7.23 PIES ROYAL</t>
  </si>
  <si>
    <t>CAFETERA ELECTRICA ESPRESO 800W</t>
  </si>
  <si>
    <t>OLLA REINA 7 L ESTELECTRIC</t>
  </si>
  <si>
    <t>REFRIGERADOR 10 PIES SANKEY</t>
  </si>
  <si>
    <t xml:space="preserve">ENFRIADOR DE AIRE ALL NOVU </t>
  </si>
  <si>
    <t>ENFRIADOR DE AIRE ALL NOVU DOBLE</t>
  </si>
  <si>
    <t>SPLIT PANASONIC 1 T INVERTER 220 VOLT</t>
  </si>
  <si>
    <t>LAVADORA 7 KG EKO SEMI</t>
  </si>
  <si>
    <t>REFRIGERADOR 16 PIES MILEXUS</t>
  </si>
  <si>
    <t>FOGON INDUCCION MILEXUS 1200 W</t>
  </si>
  <si>
    <t>EXHIBIDOR VERTICAL SANKEY 8P</t>
  </si>
  <si>
    <t>VENTILADOR INDUSTRIAL 30 ROYAL</t>
  </si>
  <si>
    <t>MAQUINA DE CONTAR DINERO SAKO</t>
  </si>
  <si>
    <t>ROTO</t>
  </si>
  <si>
    <t>TOLDO 4X2.5</t>
  </si>
  <si>
    <t>TOLDO 3X2</t>
  </si>
  <si>
    <t>TOLDO 2X1</t>
  </si>
  <si>
    <t>REFRIGERADOR 14 PIES HISENSE</t>
  </si>
  <si>
    <t>TV 43" KODAK</t>
  </si>
  <si>
    <t>VENTILADOR DE PEDESTAL SAKO</t>
  </si>
  <si>
    <t>LICUADORA MILEXUS 300W PLASTICA 2 EN 1</t>
  </si>
  <si>
    <t>MAQUINA DE CONTAR DINERO KRISHNA</t>
  </si>
  <si>
    <t>PROTECTOR DE VOLTAJE 120V/15A</t>
  </si>
  <si>
    <t>EQUIPO DE MUSICA LG GRANDE</t>
  </si>
  <si>
    <t>ESCALERA DE 6 ESCALONES</t>
  </si>
  <si>
    <t>ESCALERA DE 4 ESCALONES</t>
  </si>
  <si>
    <t>BATERIA DE 12V 150A SACO</t>
  </si>
  <si>
    <t>BASE PARA SPLIT</t>
  </si>
  <si>
    <t>TV 32" ROYAL</t>
  </si>
  <si>
    <t>BICICLETA ELECTRICA</t>
  </si>
  <si>
    <t>VENTILADOR DE PARED DAWANG 18</t>
  </si>
  <si>
    <t>VENTILADOR DE PEDESTAL DAWANG 18</t>
  </si>
  <si>
    <t>VENTILADOR RECARGABLE CON PANEL DAWANG 16</t>
  </si>
  <si>
    <t>BATERIA HUMSIENK 24V 200AMP</t>
  </si>
  <si>
    <t>1 ROTA</t>
  </si>
  <si>
    <t>ROTA</t>
  </si>
  <si>
    <t>SACO DE CEMENTO GRIS P350</t>
  </si>
  <si>
    <t xml:space="preserve">LAVADORA 8 KG CHALLENGER SEMI </t>
  </si>
  <si>
    <t>INVERSOR 4K</t>
  </si>
  <si>
    <t>OLLA REINA 6 L NIZATO</t>
  </si>
  <si>
    <t>PRESURIZADOR 6 L DAWANG</t>
  </si>
  <si>
    <t>PESA DIGITAL DAWANG</t>
  </si>
  <si>
    <t>NEVERA 10 PIES  ROYAL</t>
  </si>
  <si>
    <t>NEVERA 7 PIES MILEXUS 200L</t>
  </si>
  <si>
    <t>FOGON DE GAS 2 QUEMADORES CRISTAL</t>
  </si>
  <si>
    <t>BATERIA DE 12V 100A JMD</t>
  </si>
  <si>
    <t>PANELES 620 W</t>
  </si>
  <si>
    <t>NEVERA 6 PIES MILEXUS 170l</t>
  </si>
  <si>
    <t>TUBO DE SILICONA</t>
  </si>
  <si>
    <t>HERRAJES PARA BAÑO</t>
  </si>
  <si>
    <t>MALETA DE CUBO 24PCS</t>
  </si>
  <si>
    <t>JUEGO DE LLAVE/CUBO 37PCS</t>
  </si>
  <si>
    <t>JUEGO DE PINZA/DESTORNILLADOR</t>
  </si>
  <si>
    <t>CAJA DE HERRAMIENTAS 13PCS</t>
  </si>
  <si>
    <t>JUEGO DE LLAVES 12PCS</t>
  </si>
  <si>
    <t>JUEGO DE CUBOS 12PCS</t>
  </si>
  <si>
    <t>MALETA DE CUBO 172PCS</t>
  </si>
  <si>
    <t>ESTANTES</t>
  </si>
  <si>
    <t>PANELES 575 W</t>
  </si>
  <si>
    <t>VENTILADOR RECARGABLE CHIQUITO DE 40000 MAH F22</t>
  </si>
  <si>
    <t>CAJITA DECODIFICADORA ATEC</t>
  </si>
  <si>
    <t>BOCINA MILEXUS 6 DUAL</t>
  </si>
  <si>
    <t>TV 43" NIZATO</t>
  </si>
  <si>
    <t xml:space="preserve">PANELES 550 W </t>
  </si>
  <si>
    <t>INVERSOR 4K SUMRY</t>
  </si>
  <si>
    <t>BICICLETA 26 008-5</t>
  </si>
  <si>
    <t>BICICLETA 26 012</t>
  </si>
  <si>
    <t>BICICLETA 26 003-4</t>
  </si>
  <si>
    <t>BICICLETA 16 023</t>
  </si>
  <si>
    <t xml:space="preserve">            </t>
  </si>
  <si>
    <t>C SUR</t>
  </si>
  <si>
    <t>BICICLETA 26 BC012</t>
  </si>
  <si>
    <t>BICICLETA 26 CD021</t>
  </si>
  <si>
    <t>BICICLETA 26 WH003-4</t>
  </si>
  <si>
    <t>BICICLETA 26  WH008-5</t>
  </si>
  <si>
    <t>REFRIGERADOR 16 PIES ROYAL</t>
  </si>
  <si>
    <t>EXHIBIDOR HORIZONTAL 7P EKO</t>
  </si>
  <si>
    <t>MICROONDAS 20 L EKO</t>
  </si>
  <si>
    <t>LAVADORA EKO 7 KG SEMI</t>
  </si>
  <si>
    <t>VENTILADOR DE TECHO NIZATO</t>
  </si>
  <si>
    <t>REFRIGERADOR 11 PIES EKO</t>
  </si>
  <si>
    <t>INVERSOR 4K ENERGIA FUTURA</t>
  </si>
  <si>
    <t>BAJA</t>
  </si>
  <si>
    <t>BAJA/C SUR</t>
  </si>
  <si>
    <t>C SUR    -1</t>
  </si>
  <si>
    <t>ROTO -1</t>
  </si>
  <si>
    <t>ROTO  -1</t>
  </si>
  <si>
    <t>1 ROTO</t>
  </si>
  <si>
    <t>REFRIGERADOR 16 PIES EKO</t>
  </si>
  <si>
    <t>ROTAS</t>
  </si>
  <si>
    <t>C SUR     -1</t>
  </si>
  <si>
    <t>C SUR   1 ROTO</t>
  </si>
  <si>
    <t>INVERSOR POWER MR 6.2K</t>
  </si>
  <si>
    <t>HERRADURA</t>
  </si>
  <si>
    <t>INVERSOR POWER MR 6.5K</t>
  </si>
  <si>
    <t>VENTILADOR RECARGABLE P60</t>
  </si>
  <si>
    <t>ESTACION ENERGIA PECRON 2400W</t>
  </si>
  <si>
    <t>REFRIGERADOR 20 PIES ROYAL</t>
  </si>
  <si>
    <t>PANELES 535 W</t>
  </si>
  <si>
    <t>SPLIT 1.5 T MILEXUS INVERTER 220V</t>
  </si>
  <si>
    <t>INVERSOR POWER MR 6.2K 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</si>
</sst>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7" borderId="1" xfId="0" applyFont="1" applyFill="1" applyBorder="1"/>
    <xf numFmtId="0" fontId="0" fillId="0" borderId="2" xfId="0" applyBorder="1"/>
    <xf numFmtId="0" fontId="3" fillId="8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7" borderId="1" xfId="0" applyFont="1" applyFill="1" applyBorder="1"/>
    <xf numFmtId="0" fontId="5" fillId="9" borderId="1" xfId="0" applyFont="1" applyFill="1" applyBorder="1"/>
    <xf numFmtId="0" fontId="1" fillId="8" borderId="1" xfId="0" applyFont="1" applyFill="1" applyBorder="1"/>
    <xf numFmtId="2" fontId="0" fillId="7" borderId="1" xfId="0" applyNumberFormat="1" applyFill="1" applyBorder="1"/>
    <xf numFmtId="2" fontId="0" fillId="3" borderId="1" xfId="0" applyNumberFormat="1" applyFill="1" applyBorder="1"/>
    <xf numFmtId="2" fontId="3" fillId="7" borderId="1" xfId="0" applyNumberFormat="1" applyFont="1" applyFill="1" applyBorder="1"/>
    <xf numFmtId="0" fontId="1" fillId="7" borderId="1" xfId="0" applyFont="1" applyFill="1" applyBorder="1"/>
    <xf numFmtId="0" fontId="1" fillId="0" borderId="0" xfId="0" applyFont="1"/>
    <xf numFmtId="0" fontId="3" fillId="0" borderId="0" xfId="0" applyFont="1"/>
    <xf numFmtId="1" fontId="0" fillId="4" borderId="1" xfId="0" applyNumberFormat="1" applyFill="1" applyBorder="1"/>
    <xf numFmtId="1" fontId="3" fillId="4" borderId="1" xfId="0" applyNumberFormat="1" applyFont="1" applyFill="1" applyBorder="1"/>
    <xf numFmtId="0" fontId="0" fillId="10" borderId="3" xfId="0" applyFill="1" applyBorder="1"/>
    <xf numFmtId="0" fontId="0" fillId="10" borderId="0" xfId="0" applyFill="1"/>
    <xf numFmtId="0" fontId="3" fillId="7" borderId="3" xfId="0" applyFont="1" applyFill="1" applyBorder="1"/>
    <xf numFmtId="0" fontId="0" fillId="1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A7E4-0420-413C-942E-4C0A807B2632}">
  <dimension ref="A1:Y285"/>
  <sheetViews>
    <sheetView zoomScale="80" zoomScaleNormal="80" workbookViewId="0">
      <pane ySplit="1" topLeftCell="A17" activePane="bottomLeft" state="frozen"/>
      <selection pane="bottomLeft" activeCell="E35" sqref="E35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1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09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193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193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2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1500</v>
      </c>
      <c r="M4" s="7"/>
      <c r="N4" s="7">
        <f>B4+C4-D4-E4-F4</f>
        <v>2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4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300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1</v>
      </c>
      <c r="C16" s="7"/>
      <c r="D16" s="7"/>
      <c r="E16" s="8"/>
      <c r="F16" s="8"/>
      <c r="G16" s="9">
        <v>5000</v>
      </c>
      <c r="H16" s="26">
        <f t="shared" si="0"/>
        <v>0</v>
      </c>
      <c r="I16" s="7"/>
      <c r="J16" s="7"/>
      <c r="K16" s="7"/>
      <c r="L16" s="7">
        <v>2600</v>
      </c>
      <c r="M16" s="7"/>
      <c r="N16" s="7">
        <f t="shared" si="2"/>
        <v>1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4</v>
      </c>
      <c r="C25" s="7"/>
      <c r="D25" s="7"/>
      <c r="E25" s="8">
        <v>1</v>
      </c>
      <c r="F25" s="8"/>
      <c r="G25" s="9">
        <v>2000</v>
      </c>
      <c r="H25" s="26">
        <f t="shared" si="0"/>
        <v>2000</v>
      </c>
      <c r="I25" s="7"/>
      <c r="J25" s="7"/>
      <c r="K25" s="7"/>
      <c r="L25" s="7">
        <v>130</v>
      </c>
      <c r="M25" s="7"/>
      <c r="N25" s="7">
        <f t="shared" si="2"/>
        <v>3</v>
      </c>
      <c r="O25" s="7">
        <f t="shared" si="1"/>
        <v>130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299</v>
      </c>
      <c r="B26" s="6">
        <v>2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180</v>
      </c>
      <c r="M26" s="7"/>
      <c r="N26" s="7">
        <f t="shared" si="2"/>
        <v>2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300</v>
      </c>
      <c r="B27" s="6">
        <v>2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/>
      <c r="M27" s="7"/>
      <c r="N27" s="7">
        <f t="shared" si="2"/>
        <v>2</v>
      </c>
      <c r="O27" s="7"/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301</v>
      </c>
      <c r="B28" s="6">
        <v>1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/>
      <c r="M28" s="7"/>
      <c r="N28" s="7">
        <f t="shared" si="2"/>
        <v>1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2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/>
      <c r="M29" s="7"/>
      <c r="N29" s="7">
        <f t="shared" si="2"/>
        <v>2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263</v>
      </c>
      <c r="B30" s="6">
        <v>1</v>
      </c>
      <c r="C30" s="7"/>
      <c r="D30" s="7"/>
      <c r="E30" s="8"/>
      <c r="F30" s="8"/>
      <c r="G30" s="9"/>
      <c r="H30" s="26"/>
      <c r="I30" s="7"/>
      <c r="J30" s="7"/>
      <c r="K30" s="7"/>
      <c r="L30" s="7">
        <v>600</v>
      </c>
      <c r="M30" s="7"/>
      <c r="N30" s="7">
        <f t="shared" si="2"/>
        <v>1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30</v>
      </c>
      <c r="B31" s="6">
        <v>1</v>
      </c>
      <c r="C31" s="7"/>
      <c r="D31" s="7"/>
      <c r="E31" s="8"/>
      <c r="F31" s="8"/>
      <c r="G31" s="9">
        <v>1000</v>
      </c>
      <c r="H31" s="26"/>
      <c r="I31" s="7"/>
      <c r="J31" s="7"/>
      <c r="K31" s="7"/>
      <c r="L31" s="7"/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294</v>
      </c>
      <c r="B32" s="6">
        <v>10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>
        <v>25</v>
      </c>
      <c r="K32" s="7"/>
      <c r="L32" s="7">
        <v>45</v>
      </c>
      <c r="M32" s="7"/>
      <c r="N32" s="7">
        <f t="shared" si="2"/>
        <v>10</v>
      </c>
      <c r="O32" s="7">
        <f t="shared" si="1"/>
        <v>0</v>
      </c>
      <c r="P32" s="7"/>
      <c r="R32" s="4"/>
      <c r="S32" s="4"/>
      <c r="T32" s="4"/>
      <c r="U32" s="4"/>
      <c r="V32" s="4" t="s">
        <v>31</v>
      </c>
      <c r="W32" s="4"/>
      <c r="X32" s="4"/>
      <c r="Y32" s="4"/>
    </row>
    <row r="33" spans="1:21" x14ac:dyDescent="0.25">
      <c r="A33" s="5" t="s">
        <v>218</v>
      </c>
      <c r="B33" s="6">
        <v>3</v>
      </c>
      <c r="C33" s="7"/>
      <c r="D33" s="7"/>
      <c r="E33" s="8"/>
      <c r="F33" s="8"/>
      <c r="G33" s="9"/>
      <c r="H33" s="26">
        <f t="shared" si="0"/>
        <v>0</v>
      </c>
      <c r="I33" s="7"/>
      <c r="J33" s="7"/>
      <c r="K33" s="7"/>
      <c r="L33" s="7"/>
      <c r="M33" s="7"/>
      <c r="N33" s="7">
        <f t="shared" si="2"/>
        <v>3</v>
      </c>
      <c r="O33" s="7"/>
      <c r="P33" s="7"/>
      <c r="R33" s="11"/>
      <c r="S33" s="11"/>
      <c r="T33" s="11"/>
      <c r="U33" s="11"/>
    </row>
    <row r="34" spans="1:21" x14ac:dyDescent="0.25">
      <c r="A34" s="5" t="s">
        <v>219</v>
      </c>
      <c r="B34" s="6">
        <v>0</v>
      </c>
      <c r="C34" s="7"/>
      <c r="D34" s="7"/>
      <c r="E34" s="8"/>
      <c r="F34" s="8"/>
      <c r="G34" s="9"/>
      <c r="H34" s="26">
        <f>(E34+F34)*G34</f>
        <v>0</v>
      </c>
      <c r="I34" s="7"/>
      <c r="J34" s="7"/>
      <c r="K34" s="7"/>
      <c r="L34" s="7">
        <v>15</v>
      </c>
      <c r="M34" s="7"/>
      <c r="N34" s="7">
        <f t="shared" si="2"/>
        <v>0</v>
      </c>
      <c r="O34" s="7">
        <f t="shared" si="1"/>
        <v>0</v>
      </c>
      <c r="P34" s="7"/>
      <c r="R34" s="11" t="s">
        <v>32</v>
      </c>
      <c r="S34" s="11"/>
      <c r="T34" s="11" t="s">
        <v>33</v>
      </c>
      <c r="U34" s="11" t="s">
        <v>34</v>
      </c>
    </row>
    <row r="35" spans="1:21" x14ac:dyDescent="0.25">
      <c r="A35" s="5" t="s">
        <v>287</v>
      </c>
      <c r="B35" s="6">
        <v>12</v>
      </c>
      <c r="C35" s="7"/>
      <c r="D35" s="7"/>
      <c r="E35" s="8"/>
      <c r="F35" s="8"/>
      <c r="G35" s="9">
        <v>200</v>
      </c>
      <c r="H35" s="26">
        <f>(E35+F35)*G35</f>
        <v>0</v>
      </c>
      <c r="I35" s="7"/>
      <c r="J35" s="7"/>
      <c r="K35" s="7"/>
      <c r="L35" s="7">
        <v>20</v>
      </c>
      <c r="M35" s="7"/>
      <c r="N35" s="7">
        <f t="shared" si="2"/>
        <v>12</v>
      </c>
      <c r="O35" s="7">
        <f t="shared" si="1"/>
        <v>0</v>
      </c>
      <c r="P35" s="7"/>
      <c r="R35" s="11"/>
      <c r="S35" s="11"/>
      <c r="T35" s="11"/>
      <c r="U35" s="11"/>
    </row>
    <row r="36" spans="1:21" x14ac:dyDescent="0.25">
      <c r="A36" s="5" t="s">
        <v>160</v>
      </c>
      <c r="B36" s="6">
        <v>0</v>
      </c>
      <c r="C36" s="7"/>
      <c r="D36" s="7"/>
      <c r="E36" s="8"/>
      <c r="F36" s="8"/>
      <c r="G36" s="9">
        <v>1500</v>
      </c>
      <c r="H36" s="26">
        <f t="shared" si="0"/>
        <v>0</v>
      </c>
      <c r="I36" s="7"/>
      <c r="J36" s="7"/>
      <c r="K36" s="7"/>
      <c r="L36" s="7">
        <v>160</v>
      </c>
      <c r="M36" s="7"/>
      <c r="N36" s="7">
        <f t="shared" si="2"/>
        <v>0</v>
      </c>
      <c r="O36" s="7">
        <f t="shared" si="1"/>
        <v>0</v>
      </c>
      <c r="P36" s="7"/>
      <c r="R36" s="11"/>
      <c r="S36" s="11"/>
      <c r="T36" s="11"/>
      <c r="U36" s="11"/>
    </row>
    <row r="37" spans="1:21" x14ac:dyDescent="0.25">
      <c r="A37" s="5" t="s">
        <v>35</v>
      </c>
      <c r="B37" s="6">
        <v>3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>
        <v>23</v>
      </c>
      <c r="K37" s="7"/>
      <c r="L37" s="7">
        <v>190</v>
      </c>
      <c r="M37" s="7"/>
      <c r="N37" s="7">
        <f t="shared" si="2"/>
        <v>3</v>
      </c>
      <c r="O37" s="7">
        <f t="shared" si="1"/>
        <v>0</v>
      </c>
      <c r="P37" s="7"/>
      <c r="R37" s="11"/>
      <c r="S37" s="11"/>
      <c r="T37" s="11"/>
      <c r="U37" s="11"/>
    </row>
    <row r="38" spans="1:21" x14ac:dyDescent="0.25">
      <c r="A38" s="5" t="s">
        <v>179</v>
      </c>
      <c r="B38" s="6">
        <v>2</v>
      </c>
      <c r="C38" s="7"/>
      <c r="D38" s="7"/>
      <c r="E38" s="8"/>
      <c r="F38" s="8"/>
      <c r="G38" s="9">
        <v>1250</v>
      </c>
      <c r="H38" s="26">
        <f t="shared" si="0"/>
        <v>0</v>
      </c>
      <c r="I38" s="7"/>
      <c r="J38" s="7"/>
      <c r="K38" s="7"/>
      <c r="L38" s="7">
        <v>36.409999999999997</v>
      </c>
      <c r="M38" s="7"/>
      <c r="N38" s="7">
        <f t="shared" si="2"/>
        <v>2</v>
      </c>
      <c r="O38" s="7">
        <f t="shared" si="1"/>
        <v>0</v>
      </c>
      <c r="P38" s="7"/>
      <c r="R38" s="4" t="s">
        <v>36</v>
      </c>
      <c r="S38" s="4"/>
      <c r="T38" s="4"/>
      <c r="U38" s="4"/>
    </row>
    <row r="39" spans="1:21" x14ac:dyDescent="0.25">
      <c r="A39" s="5" t="s">
        <v>37</v>
      </c>
      <c r="B39" s="6">
        <v>1</v>
      </c>
      <c r="C39" s="7"/>
      <c r="D39" s="7"/>
      <c r="E39" s="8"/>
      <c r="F39" s="8"/>
      <c r="G39" s="9">
        <v>500</v>
      </c>
      <c r="H39" s="26">
        <f t="shared" si="0"/>
        <v>0</v>
      </c>
      <c r="I39" s="7"/>
      <c r="J39" s="7">
        <v>5.5</v>
      </c>
      <c r="K39" s="7"/>
      <c r="L39" s="7">
        <v>15</v>
      </c>
      <c r="M39" s="7"/>
      <c r="N39" s="7">
        <f t="shared" si="2"/>
        <v>1</v>
      </c>
      <c r="O39" s="7">
        <f t="shared" si="1"/>
        <v>0</v>
      </c>
      <c r="P39" s="7"/>
      <c r="R39" s="4"/>
      <c r="S39" s="4"/>
      <c r="T39" s="4"/>
      <c r="U39" s="4"/>
    </row>
    <row r="40" spans="1:21" x14ac:dyDescent="0.25">
      <c r="A40" s="5" t="s">
        <v>235</v>
      </c>
      <c r="B40" s="6">
        <v>5</v>
      </c>
      <c r="C40" s="7"/>
      <c r="D40" s="7"/>
      <c r="E40" s="8"/>
      <c r="F40" s="8"/>
      <c r="G40" s="9">
        <v>1000</v>
      </c>
      <c r="H40" s="26">
        <f t="shared" si="0"/>
        <v>0</v>
      </c>
      <c r="I40" s="7"/>
      <c r="J40" s="7">
        <v>7</v>
      </c>
      <c r="K40" s="7"/>
      <c r="L40" s="7">
        <v>70</v>
      </c>
      <c r="M40" s="7"/>
      <c r="N40" s="7">
        <f t="shared" si="2"/>
        <v>5</v>
      </c>
      <c r="O40" s="7">
        <f t="shared" si="1"/>
        <v>0</v>
      </c>
      <c r="P40" s="7"/>
      <c r="R40" s="4"/>
      <c r="S40" s="4"/>
      <c r="T40" s="4"/>
      <c r="U40" s="4"/>
    </row>
    <row r="41" spans="1:21" x14ac:dyDescent="0.25">
      <c r="A41" s="5" t="s">
        <v>38</v>
      </c>
      <c r="B41" s="6">
        <v>7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21</v>
      </c>
      <c r="K41" s="7"/>
      <c r="L41" s="7">
        <v>40</v>
      </c>
      <c r="M41" s="7"/>
      <c r="N41" s="7">
        <f t="shared" si="2"/>
        <v>7</v>
      </c>
      <c r="O41" s="7">
        <f t="shared" si="1"/>
        <v>0</v>
      </c>
      <c r="P41" s="7">
        <v>-1</v>
      </c>
      <c r="R41" s="4"/>
      <c r="S41" s="4"/>
      <c r="T41" s="4"/>
      <c r="U41" s="4"/>
    </row>
    <row r="42" spans="1:21" x14ac:dyDescent="0.25">
      <c r="A42" s="5" t="s">
        <v>39</v>
      </c>
      <c r="B42" s="6">
        <v>5</v>
      </c>
      <c r="C42" s="7"/>
      <c r="D42" s="7"/>
      <c r="E42" s="8"/>
      <c r="F42" s="8"/>
      <c r="G42" s="9">
        <v>3000</v>
      </c>
      <c r="H42" s="26">
        <f t="shared" si="0"/>
        <v>0</v>
      </c>
      <c r="I42" s="7"/>
      <c r="J42" s="7">
        <v>220</v>
      </c>
      <c r="K42" s="7"/>
      <c r="L42" s="7">
        <v>230</v>
      </c>
      <c r="M42" s="7"/>
      <c r="N42" s="7">
        <f t="shared" si="2"/>
        <v>5</v>
      </c>
      <c r="O42" s="7">
        <f t="shared" si="1"/>
        <v>0</v>
      </c>
      <c r="P42" s="7"/>
      <c r="R42" s="4"/>
      <c r="S42" s="4"/>
      <c r="T42" s="4"/>
      <c r="U42" s="4"/>
    </row>
    <row r="43" spans="1:21" x14ac:dyDescent="0.25">
      <c r="A43" s="5" t="s">
        <v>40</v>
      </c>
      <c r="B43" s="6">
        <v>0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180</v>
      </c>
      <c r="K43" s="7"/>
      <c r="L43" s="7">
        <v>180</v>
      </c>
      <c r="M43" s="7"/>
      <c r="N43" s="7">
        <f t="shared" si="2"/>
        <v>0</v>
      </c>
      <c r="O43" s="7">
        <f t="shared" si="1"/>
        <v>0</v>
      </c>
      <c r="P43" s="7"/>
      <c r="R43" s="4"/>
      <c r="S43" s="4"/>
      <c r="T43" s="4"/>
      <c r="U43" s="4"/>
    </row>
    <row r="44" spans="1:21" x14ac:dyDescent="0.25">
      <c r="A44" s="5" t="s">
        <v>41</v>
      </c>
      <c r="B44" s="6">
        <v>0</v>
      </c>
      <c r="C44" s="7"/>
      <c r="D44" s="7"/>
      <c r="E44" s="8"/>
      <c r="F44" s="8"/>
      <c r="G44" s="9">
        <v>2000</v>
      </c>
      <c r="H44" s="26">
        <f t="shared" si="0"/>
        <v>0</v>
      </c>
      <c r="I44" s="7"/>
      <c r="J44" s="7">
        <v>105</v>
      </c>
      <c r="K44" s="7"/>
      <c r="L44" s="7">
        <v>160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1" x14ac:dyDescent="0.25">
      <c r="A45" s="5" t="s">
        <v>42</v>
      </c>
      <c r="B45" s="6">
        <v>0</v>
      </c>
      <c r="C45" s="7"/>
      <c r="D45" s="7"/>
      <c r="E45" s="8"/>
      <c r="F45" s="8"/>
      <c r="G45" s="9">
        <v>17800</v>
      </c>
      <c r="H45" s="26">
        <f t="shared" si="0"/>
        <v>0</v>
      </c>
      <c r="I45" s="7"/>
      <c r="J45" s="7">
        <v>0</v>
      </c>
      <c r="K45" s="7"/>
      <c r="L45" s="7">
        <v>760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1" x14ac:dyDescent="0.25">
      <c r="A46" s="5" t="s">
        <v>43</v>
      </c>
      <c r="B46" s="6">
        <v>0</v>
      </c>
      <c r="C46" s="7"/>
      <c r="D46" s="7"/>
      <c r="E46" s="8"/>
      <c r="F46" s="8"/>
      <c r="G46" s="9">
        <v>5000</v>
      </c>
      <c r="H46" s="26">
        <f t="shared" si="0"/>
        <v>0</v>
      </c>
      <c r="I46" s="7"/>
      <c r="J46" s="7">
        <v>600</v>
      </c>
      <c r="K46" s="7"/>
      <c r="L46" s="7">
        <v>1100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1" x14ac:dyDescent="0.25">
      <c r="A47" s="5" t="s">
        <v>154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/>
      <c r="K47" s="7"/>
      <c r="L47" s="7">
        <v>800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1" x14ac:dyDescent="0.25">
      <c r="A48" s="5" t="s">
        <v>187</v>
      </c>
      <c r="B48" s="6">
        <v>3</v>
      </c>
      <c r="C48" s="7"/>
      <c r="D48" s="7"/>
      <c r="E48" s="8"/>
      <c r="F48" s="8"/>
      <c r="G48" s="9">
        <v>6000</v>
      </c>
      <c r="H48" s="26">
        <f t="shared" si="0"/>
        <v>0</v>
      </c>
      <c r="I48" s="7"/>
      <c r="J48" s="7">
        <v>1700</v>
      </c>
      <c r="K48" s="7"/>
      <c r="L48" s="7">
        <v>820</v>
      </c>
      <c r="M48" s="7"/>
      <c r="N48" s="7">
        <f t="shared" si="2"/>
        <v>3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44</v>
      </c>
      <c r="B49" s="6">
        <v>0</v>
      </c>
      <c r="C49" s="7"/>
      <c r="D49" s="7"/>
      <c r="E49" s="8"/>
      <c r="F49" s="8"/>
      <c r="G49" s="9"/>
      <c r="H49" s="26">
        <f t="shared" si="0"/>
        <v>0</v>
      </c>
      <c r="I49" s="7"/>
      <c r="J49" s="7">
        <v>3300</v>
      </c>
      <c r="K49" s="7"/>
      <c r="L49" s="7"/>
      <c r="M49" s="7"/>
      <c r="N49" s="7">
        <f t="shared" si="2"/>
        <v>0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208</v>
      </c>
      <c r="B50" s="6">
        <v>1</v>
      </c>
      <c r="C50" s="7"/>
      <c r="D50" s="7"/>
      <c r="E50" s="8"/>
      <c r="F50" s="8"/>
      <c r="G50" s="9">
        <v>7000</v>
      </c>
      <c r="H50" s="26">
        <f t="shared" si="0"/>
        <v>0</v>
      </c>
      <c r="I50" s="7"/>
      <c r="J50" s="7">
        <v>800</v>
      </c>
      <c r="K50" s="7"/>
      <c r="L50" s="7">
        <v>1300</v>
      </c>
      <c r="M50" s="7"/>
      <c r="N50" s="7">
        <f t="shared" si="2"/>
        <v>1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151</v>
      </c>
      <c r="B51" s="6">
        <v>2</v>
      </c>
      <c r="C51" s="7"/>
      <c r="D51" s="7"/>
      <c r="E51" s="8"/>
      <c r="F51" s="8"/>
      <c r="G51" s="9">
        <v>2000</v>
      </c>
      <c r="H51" s="26"/>
      <c r="I51" s="7"/>
      <c r="J51" s="7"/>
      <c r="K51" s="7"/>
      <c r="L51" s="7">
        <v>230</v>
      </c>
      <c r="M51" s="7"/>
      <c r="N51" s="7">
        <f t="shared" si="2"/>
        <v>2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45</v>
      </c>
      <c r="B52" s="6">
        <v>0</v>
      </c>
      <c r="C52" s="7"/>
      <c r="D52" s="7"/>
      <c r="E52" s="8"/>
      <c r="F52" s="8"/>
      <c r="G52" s="9">
        <v>5500</v>
      </c>
      <c r="H52" s="26">
        <f t="shared" si="0"/>
        <v>0</v>
      </c>
      <c r="I52" s="7"/>
      <c r="J52" s="7"/>
      <c r="K52" s="7"/>
      <c r="L52" s="7">
        <v>800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46</v>
      </c>
      <c r="B53" s="6">
        <v>0</v>
      </c>
      <c r="C53" s="7"/>
      <c r="D53" s="7"/>
      <c r="E53" s="8"/>
      <c r="F53" s="8"/>
      <c r="G53" s="9"/>
      <c r="H53" s="26">
        <f t="shared" si="0"/>
        <v>0</v>
      </c>
      <c r="I53" s="7"/>
      <c r="J53" s="7"/>
      <c r="K53" s="7"/>
      <c r="L53" s="7">
        <v>120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168</v>
      </c>
      <c r="B54" s="6">
        <v>0</v>
      </c>
      <c r="C54" s="7"/>
      <c r="D54" s="7"/>
      <c r="E54" s="8"/>
      <c r="F54" s="8"/>
      <c r="G54" s="9">
        <v>4000</v>
      </c>
      <c r="H54" s="26"/>
      <c r="I54" s="7"/>
      <c r="J54" s="7"/>
      <c r="K54" s="7"/>
      <c r="L54" s="7">
        <v>650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244</v>
      </c>
      <c r="B55" s="6">
        <v>0</v>
      </c>
      <c r="C55" s="7"/>
      <c r="D55" s="7"/>
      <c r="E55" s="8"/>
      <c r="F55" s="8"/>
      <c r="G55" s="9">
        <v>4000</v>
      </c>
      <c r="H55" s="26">
        <f t="shared" si="0"/>
        <v>0</v>
      </c>
      <c r="I55" s="7"/>
      <c r="J55" s="7"/>
      <c r="K55" s="7"/>
      <c r="L55" s="7">
        <v>500</v>
      </c>
      <c r="M55" s="7"/>
      <c r="N55" s="7">
        <f t="shared" si="2"/>
        <v>0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47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>
        <v>600</v>
      </c>
      <c r="K56" s="7"/>
      <c r="L56" s="7">
        <v>630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48</v>
      </c>
      <c r="B57" s="6">
        <v>1</v>
      </c>
      <c r="C57" s="7"/>
      <c r="D57" s="7"/>
      <c r="E57" s="8"/>
      <c r="F57" s="8"/>
      <c r="G57" s="9">
        <v>5000</v>
      </c>
      <c r="H57" s="26">
        <f t="shared" si="0"/>
        <v>0</v>
      </c>
      <c r="I57" s="7"/>
      <c r="J57" s="7">
        <v>1050</v>
      </c>
      <c r="K57" s="7"/>
      <c r="L57" s="7">
        <v>900</v>
      </c>
      <c r="M57" s="7"/>
      <c r="N57" s="7">
        <f t="shared" si="2"/>
        <v>1</v>
      </c>
      <c r="O57" s="7">
        <f t="shared" si="1"/>
        <v>0</v>
      </c>
      <c r="P57" s="7" t="s">
        <v>247</v>
      </c>
      <c r="R57" s="4"/>
      <c r="S57" s="4"/>
      <c r="T57" s="4"/>
      <c r="U57" s="4"/>
    </row>
    <row r="58" spans="1:21" x14ac:dyDescent="0.25">
      <c r="A58" s="5" t="s">
        <v>238</v>
      </c>
      <c r="B58" s="6">
        <v>0</v>
      </c>
      <c r="C58" s="7"/>
      <c r="D58" s="7"/>
      <c r="E58" s="8"/>
      <c r="F58" s="8"/>
      <c r="G58" s="9">
        <v>1000</v>
      </c>
      <c r="H58" s="26">
        <f t="shared" si="0"/>
        <v>0</v>
      </c>
      <c r="I58" s="7"/>
      <c r="J58" s="7"/>
      <c r="K58" s="7"/>
      <c r="L58" s="7">
        <v>65</v>
      </c>
      <c r="M58" s="7"/>
      <c r="N58" s="7">
        <f t="shared" si="2"/>
        <v>0</v>
      </c>
      <c r="O58" s="7">
        <f t="shared" si="1"/>
        <v>0</v>
      </c>
      <c r="P58" s="7"/>
      <c r="R58" s="4"/>
      <c r="S58" s="4"/>
      <c r="T58" s="4"/>
      <c r="U58" s="4"/>
    </row>
    <row r="59" spans="1:21" x14ac:dyDescent="0.25">
      <c r="A59" s="5" t="s">
        <v>239</v>
      </c>
      <c r="B59" s="6">
        <v>0</v>
      </c>
      <c r="C59" s="7"/>
      <c r="D59" s="7"/>
      <c r="E59" s="8"/>
      <c r="F59" s="8"/>
      <c r="G59" s="9">
        <v>2000</v>
      </c>
      <c r="H59" s="26">
        <f t="shared" si="0"/>
        <v>0</v>
      </c>
      <c r="I59" s="7"/>
      <c r="J59" s="7"/>
      <c r="K59" s="7"/>
      <c r="L59" s="7">
        <v>170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157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180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257</v>
      </c>
      <c r="B61" s="6">
        <v>1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235</v>
      </c>
      <c r="M61" s="7"/>
      <c r="N61" s="7">
        <f t="shared" si="2"/>
        <v>1</v>
      </c>
      <c r="O61" s="7">
        <f t="shared" si="1"/>
        <v>0</v>
      </c>
      <c r="P61" s="7">
        <v>-1</v>
      </c>
      <c r="R61" s="4"/>
      <c r="S61" s="4"/>
      <c r="T61" s="4"/>
      <c r="U61" s="4"/>
    </row>
    <row r="62" spans="1:21" x14ac:dyDescent="0.25">
      <c r="A62" s="5" t="s">
        <v>258</v>
      </c>
      <c r="B62" s="6">
        <v>0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130</v>
      </c>
      <c r="M62" s="7"/>
      <c r="N62" s="7">
        <f t="shared" si="2"/>
        <v>0</v>
      </c>
      <c r="O62" s="7">
        <f t="shared" si="1"/>
        <v>0</v>
      </c>
      <c r="P62" s="7" t="s">
        <v>126</v>
      </c>
      <c r="R62" s="4"/>
      <c r="S62" s="4"/>
      <c r="T62" s="4"/>
      <c r="U62" s="4"/>
    </row>
    <row r="63" spans="1:21" x14ac:dyDescent="0.25">
      <c r="A63" s="5" t="s">
        <v>259</v>
      </c>
      <c r="B63" s="6">
        <v>1</v>
      </c>
      <c r="C63" s="7"/>
      <c r="D63" s="7"/>
      <c r="E63" s="8"/>
      <c r="F63" s="8"/>
      <c r="G63" s="9">
        <v>1000</v>
      </c>
      <c r="H63" s="26">
        <f t="shared" si="0"/>
        <v>0</v>
      </c>
      <c r="I63" s="7"/>
      <c r="J63" s="7"/>
      <c r="K63" s="7"/>
      <c r="L63" s="7">
        <v>75</v>
      </c>
      <c r="M63" s="7"/>
      <c r="N63" s="7">
        <f t="shared" si="2"/>
        <v>1</v>
      </c>
      <c r="O63" s="7">
        <f t="shared" si="1"/>
        <v>0</v>
      </c>
      <c r="P63" s="7"/>
      <c r="R63" s="4"/>
      <c r="S63" s="4"/>
      <c r="T63" s="4"/>
      <c r="U63" s="4"/>
    </row>
    <row r="64" spans="1:21" x14ac:dyDescent="0.25">
      <c r="A64" s="5" t="s">
        <v>291</v>
      </c>
      <c r="B64" s="6">
        <v>4</v>
      </c>
      <c r="C64" s="7"/>
      <c r="D64" s="7"/>
      <c r="E64" s="8"/>
      <c r="F64" s="8"/>
      <c r="G64" s="9">
        <v>2000</v>
      </c>
      <c r="H64" s="26">
        <f t="shared" si="0"/>
        <v>0</v>
      </c>
      <c r="I64" s="7"/>
      <c r="J64" s="7"/>
      <c r="K64" s="7"/>
      <c r="L64" s="7">
        <v>125</v>
      </c>
      <c r="M64" s="7"/>
      <c r="N64" s="7">
        <f t="shared" si="2"/>
        <v>4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49</v>
      </c>
      <c r="B65" s="6">
        <v>2</v>
      </c>
      <c r="C65" s="7"/>
      <c r="D65" s="7"/>
      <c r="E65" s="8"/>
      <c r="F65" s="8"/>
      <c r="G65" s="9">
        <v>500</v>
      </c>
      <c r="H65" s="26">
        <f t="shared" si="0"/>
        <v>0</v>
      </c>
      <c r="I65" s="7"/>
      <c r="J65" s="7">
        <v>30</v>
      </c>
      <c r="K65" s="7"/>
      <c r="L65" s="7">
        <v>35</v>
      </c>
      <c r="M65" s="7"/>
      <c r="N65" s="7">
        <f t="shared" si="2"/>
        <v>2</v>
      </c>
      <c r="O65" s="7">
        <f t="shared" si="1"/>
        <v>0</v>
      </c>
      <c r="P65" s="7">
        <v>-1</v>
      </c>
      <c r="R65" s="4"/>
      <c r="S65" s="4"/>
      <c r="T65" s="4"/>
      <c r="U65" s="4"/>
    </row>
    <row r="66" spans="1:23" x14ac:dyDescent="0.25">
      <c r="A66" s="5" t="s">
        <v>50</v>
      </c>
      <c r="B66" s="6">
        <v>0</v>
      </c>
      <c r="C66" s="7"/>
      <c r="D66" s="7"/>
      <c r="E66" s="8"/>
      <c r="F66" s="8"/>
      <c r="G66" s="9">
        <v>1000</v>
      </c>
      <c r="H66" s="26">
        <f t="shared" si="0"/>
        <v>0</v>
      </c>
      <c r="I66" s="7"/>
      <c r="J66" s="7"/>
      <c r="K66" s="7"/>
      <c r="L66" s="7">
        <v>45</v>
      </c>
      <c r="M66" s="7"/>
      <c r="N66" s="7">
        <f t="shared" si="2"/>
        <v>0</v>
      </c>
      <c r="O66" s="7">
        <f t="shared" si="1"/>
        <v>0</v>
      </c>
      <c r="P66" s="7"/>
      <c r="R66" s="4" t="s">
        <v>51</v>
      </c>
      <c r="S66" s="4">
        <v>125</v>
      </c>
      <c r="T66" s="4"/>
      <c r="U66" s="4"/>
    </row>
    <row r="67" spans="1:23" x14ac:dyDescent="0.25">
      <c r="A67" s="5" t="s">
        <v>52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>
        <v>18</v>
      </c>
      <c r="K67" s="7"/>
      <c r="L67" s="7">
        <v>20</v>
      </c>
      <c r="M67" s="7"/>
      <c r="N67" s="7">
        <f t="shared" si="2"/>
        <v>0</v>
      </c>
      <c r="O67" s="7">
        <f t="shared" si="1"/>
        <v>0</v>
      </c>
      <c r="P67" s="7"/>
      <c r="R67" s="4"/>
      <c r="S67" s="4"/>
      <c r="T67" s="4"/>
      <c r="U67" s="4"/>
    </row>
    <row r="68" spans="1:23" x14ac:dyDescent="0.25">
      <c r="A68" s="5" t="s">
        <v>278</v>
      </c>
      <c r="B68" s="6">
        <v>1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/>
      <c r="K68" s="7"/>
      <c r="L68" s="7">
        <v>45</v>
      </c>
      <c r="M68" s="7"/>
      <c r="N68" s="7">
        <f t="shared" si="2"/>
        <v>1</v>
      </c>
      <c r="O68" s="7">
        <f t="shared" si="1"/>
        <v>0</v>
      </c>
      <c r="P68" s="7"/>
      <c r="R68" s="4" t="s">
        <v>34</v>
      </c>
      <c r="S68" s="4"/>
      <c r="T68" s="4">
        <f>U68/370</f>
        <v>0</v>
      </c>
      <c r="U68" s="4"/>
      <c r="W68" s="4"/>
    </row>
    <row r="69" spans="1:23" x14ac:dyDescent="0.25">
      <c r="A69" s="5" t="s">
        <v>53</v>
      </c>
      <c r="B69" s="6">
        <v>3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35</v>
      </c>
      <c r="M69" s="7"/>
      <c r="N69" s="7">
        <f t="shared" si="2"/>
        <v>3</v>
      </c>
      <c r="O69" s="7">
        <f t="shared" si="1"/>
        <v>0</v>
      </c>
      <c r="P69" s="7"/>
      <c r="R69" s="4"/>
      <c r="S69" s="4"/>
      <c r="T69" s="4"/>
      <c r="U69" s="4"/>
      <c r="W69" s="4"/>
    </row>
    <row r="70" spans="1:23" x14ac:dyDescent="0.25">
      <c r="A70" s="5" t="s">
        <v>243</v>
      </c>
      <c r="B70" s="6">
        <v>0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45</v>
      </c>
      <c r="M70" s="7">
        <v>0</v>
      </c>
      <c r="N70" s="7">
        <f t="shared" si="2"/>
        <v>0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173</v>
      </c>
      <c r="B71" s="6">
        <v>1</v>
      </c>
      <c r="C71" s="10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/>
      <c r="N71" s="7">
        <f t="shared" si="2"/>
        <v>1</v>
      </c>
      <c r="O71" s="7">
        <f>E71*L71+F71*M71</f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211</v>
      </c>
      <c r="B72" s="6">
        <v>2</v>
      </c>
      <c r="C72" s="10"/>
      <c r="D72" s="7"/>
      <c r="E72" s="8"/>
      <c r="F72" s="8"/>
      <c r="G72" s="9">
        <v>1000</v>
      </c>
      <c r="H72" s="26">
        <f t="shared" ref="H72:H136" si="3">(E72+F72)*G72</f>
        <v>0</v>
      </c>
      <c r="I72" s="7"/>
      <c r="J72" s="7"/>
      <c r="K72" s="7"/>
      <c r="L72" s="7">
        <v>45</v>
      </c>
      <c r="M72" s="7"/>
      <c r="N72" s="7">
        <f t="shared" si="2"/>
        <v>2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54</v>
      </c>
      <c r="B73" s="6">
        <v>3</v>
      </c>
      <c r="C73" s="10"/>
      <c r="D73" s="7"/>
      <c r="E73" s="8"/>
      <c r="F73" s="8"/>
      <c r="G73" s="9">
        <v>1000</v>
      </c>
      <c r="H73" s="26">
        <f t="shared" si="3"/>
        <v>0</v>
      </c>
      <c r="I73" s="7"/>
      <c r="J73" s="7">
        <v>25</v>
      </c>
      <c r="K73" s="7"/>
      <c r="L73" s="7">
        <v>50</v>
      </c>
      <c r="M73" s="7"/>
      <c r="N73" s="7">
        <f t="shared" si="2"/>
        <v>3</v>
      </c>
      <c r="O73" s="7">
        <f t="shared" si="1"/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55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/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>
        <v>-1</v>
      </c>
      <c r="R74" s="4"/>
      <c r="S74" s="4"/>
      <c r="T74" s="4"/>
      <c r="U74" s="4"/>
      <c r="W74" s="4"/>
    </row>
    <row r="75" spans="1:23" x14ac:dyDescent="0.25">
      <c r="A75" s="5" t="s">
        <v>56</v>
      </c>
      <c r="B75" s="6">
        <v>0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>
        <v>60</v>
      </c>
      <c r="K75" s="7"/>
      <c r="L75" s="7">
        <v>55</v>
      </c>
      <c r="M75" s="7"/>
      <c r="N75" s="7">
        <f t="shared" si="2"/>
        <v>0</v>
      </c>
      <c r="O75" s="7">
        <f t="shared" si="1"/>
        <v>0</v>
      </c>
      <c r="P75" s="7"/>
      <c r="R75" s="4"/>
      <c r="S75" s="4"/>
      <c r="T75" s="4"/>
      <c r="U75" s="4"/>
      <c r="W75" s="4"/>
    </row>
    <row r="76" spans="1:23" x14ac:dyDescent="0.25">
      <c r="A76" s="5" t="s">
        <v>233</v>
      </c>
      <c r="B76" s="6">
        <v>2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/>
      <c r="K76" s="7"/>
      <c r="L76" s="7">
        <v>65</v>
      </c>
      <c r="M76" s="7"/>
      <c r="N76" s="7">
        <f t="shared" si="2"/>
        <v>2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272</v>
      </c>
      <c r="B77" s="6">
        <v>3</v>
      </c>
      <c r="C77" s="10"/>
      <c r="D77" s="7"/>
      <c r="E77" s="8"/>
      <c r="F77" s="8"/>
      <c r="G77" s="9">
        <v>5000</v>
      </c>
      <c r="H77" s="26">
        <f t="shared" si="3"/>
        <v>0</v>
      </c>
      <c r="I77" s="7"/>
      <c r="J77" s="7"/>
      <c r="K77" s="7"/>
      <c r="L77" s="7">
        <v>550</v>
      </c>
      <c r="M77" s="7"/>
      <c r="N77" s="7">
        <f t="shared" si="2"/>
        <v>3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298</v>
      </c>
      <c r="B78" s="6">
        <v>2</v>
      </c>
      <c r="C78" s="10"/>
      <c r="D78" s="7"/>
      <c r="E78" s="8"/>
      <c r="F78" s="8"/>
      <c r="G78" s="9">
        <v>5000</v>
      </c>
      <c r="H78" s="26">
        <f t="shared" si="3"/>
        <v>0</v>
      </c>
      <c r="I78" s="7"/>
      <c r="J78" s="7"/>
      <c r="K78" s="7"/>
      <c r="L78" s="7">
        <v>500</v>
      </c>
      <c r="M78" s="7"/>
      <c r="N78" s="7">
        <f t="shared" si="2"/>
        <v>2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180</v>
      </c>
      <c r="B79" s="6">
        <v>0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2100</v>
      </c>
      <c r="M79" s="7"/>
      <c r="N79" s="7">
        <f t="shared" si="2"/>
        <v>0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226</v>
      </c>
      <c r="B80" s="6">
        <v>0</v>
      </c>
      <c r="C80" s="10"/>
      <c r="D80" s="7"/>
      <c r="E80" s="8"/>
      <c r="F80" s="8"/>
      <c r="G80" s="9">
        <v>5000</v>
      </c>
      <c r="H80" s="26"/>
      <c r="I80" s="7"/>
      <c r="J80" s="7"/>
      <c r="K80" s="7"/>
      <c r="L80" s="7">
        <v>2200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181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>
        <v>60</v>
      </c>
      <c r="K81" s="7"/>
      <c r="L81" s="7">
        <v>100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155</v>
      </c>
      <c r="B82" s="6">
        <v>1</v>
      </c>
      <c r="C82" s="10"/>
      <c r="D82" s="7"/>
      <c r="E82" s="8"/>
      <c r="F82" s="8"/>
      <c r="G82" s="9">
        <v>15000</v>
      </c>
      <c r="H82" s="26">
        <f t="shared" si="3"/>
        <v>0</v>
      </c>
      <c r="I82" s="7"/>
      <c r="J82" s="7"/>
      <c r="K82" s="7"/>
      <c r="L82" s="7">
        <v>600</v>
      </c>
      <c r="M82" s="7"/>
      <c r="N82" s="7">
        <f t="shared" si="2"/>
        <v>1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230</v>
      </c>
      <c r="B83" s="6">
        <v>0</v>
      </c>
      <c r="C83" s="10"/>
      <c r="D83" s="7"/>
      <c r="E83" s="8"/>
      <c r="F83" s="8"/>
      <c r="G83" s="9">
        <v>5000</v>
      </c>
      <c r="H83" s="26">
        <f t="shared" si="3"/>
        <v>0</v>
      </c>
      <c r="I83" s="7"/>
      <c r="J83" s="7"/>
      <c r="K83" s="7"/>
      <c r="L83" s="7">
        <v>1160</v>
      </c>
      <c r="M83" s="7"/>
      <c r="N83" s="7">
        <f t="shared" si="2"/>
        <v>0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161</v>
      </c>
      <c r="B84" s="6">
        <v>10</v>
      </c>
      <c r="C84" s="10"/>
      <c r="D84" s="7"/>
      <c r="E84" s="8"/>
      <c r="F84" s="8"/>
      <c r="G84" s="9">
        <v>500</v>
      </c>
      <c r="H84" s="26">
        <f t="shared" si="3"/>
        <v>0</v>
      </c>
      <c r="I84" s="7"/>
      <c r="J84" s="7"/>
      <c r="K84" s="7"/>
      <c r="L84" s="7">
        <v>10</v>
      </c>
      <c r="M84" s="7"/>
      <c r="N84" s="7">
        <f t="shared" si="2"/>
        <v>10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159</v>
      </c>
      <c r="B85" s="6">
        <v>1</v>
      </c>
      <c r="C85" s="10"/>
      <c r="D85" s="7"/>
      <c r="E85" s="8"/>
      <c r="F85" s="8"/>
      <c r="G85" s="9">
        <v>2000</v>
      </c>
      <c r="H85" s="26">
        <f t="shared" si="3"/>
        <v>0</v>
      </c>
      <c r="I85" s="7"/>
      <c r="J85" s="7"/>
      <c r="K85" s="7"/>
      <c r="L85" s="7">
        <v>130</v>
      </c>
      <c r="M85" s="7"/>
      <c r="N85" s="7">
        <f t="shared" ref="N85:N161" si="4">B85+C85-D85-E85-F85</f>
        <v>1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164</v>
      </c>
      <c r="B86" s="6">
        <v>0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si="4"/>
        <v>0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57</v>
      </c>
      <c r="B87" s="6">
        <v>4</v>
      </c>
      <c r="C87" s="10"/>
      <c r="D87" s="7"/>
      <c r="E87" s="8"/>
      <c r="F87" s="8"/>
      <c r="G87" s="9">
        <v>500</v>
      </c>
      <c r="H87" s="26">
        <f t="shared" si="3"/>
        <v>0</v>
      </c>
      <c r="I87" s="7"/>
      <c r="J87" s="7"/>
      <c r="K87" s="7"/>
      <c r="L87" s="7">
        <v>45</v>
      </c>
      <c r="M87" s="7"/>
      <c r="N87" s="7">
        <f t="shared" si="4"/>
        <v>4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175</v>
      </c>
      <c r="B88" s="6">
        <v>0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125</v>
      </c>
      <c r="M88" s="7"/>
      <c r="N88" s="7">
        <f t="shared" si="4"/>
        <v>0</v>
      </c>
      <c r="O88" s="7">
        <f t="shared" si="1"/>
        <v>0</v>
      </c>
      <c r="P88" s="7"/>
      <c r="R88" s="4" t="s">
        <v>58</v>
      </c>
      <c r="S88" s="4"/>
      <c r="T88" s="4"/>
      <c r="U88" s="4"/>
      <c r="W88" s="4"/>
    </row>
    <row r="89" spans="1:23" x14ac:dyDescent="0.25">
      <c r="A89" s="5" t="s">
        <v>176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120</v>
      </c>
      <c r="M89" s="7"/>
      <c r="N89" s="7">
        <f t="shared" si="4"/>
        <v>0</v>
      </c>
      <c r="O89" s="7"/>
      <c r="P89" s="7"/>
      <c r="R89" s="4"/>
      <c r="S89" s="4"/>
      <c r="T89" s="4"/>
      <c r="U89" s="4"/>
      <c r="W89" s="4"/>
    </row>
    <row r="90" spans="1:23" x14ac:dyDescent="0.25">
      <c r="A90" s="5" t="s">
        <v>177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90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178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95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59</v>
      </c>
      <c r="B92" s="6">
        <v>1</v>
      </c>
      <c r="C92" s="10"/>
      <c r="D92" s="7"/>
      <c r="E92" s="8"/>
      <c r="F92" s="8"/>
      <c r="G92" s="9">
        <v>3000</v>
      </c>
      <c r="H92" s="26">
        <f t="shared" si="3"/>
        <v>0</v>
      </c>
      <c r="I92" s="7"/>
      <c r="J92" s="7">
        <v>290</v>
      </c>
      <c r="K92" s="7"/>
      <c r="L92" s="7">
        <v>600</v>
      </c>
      <c r="M92" s="7"/>
      <c r="N92" s="7">
        <f t="shared" si="4"/>
        <v>1</v>
      </c>
      <c r="O92" s="7">
        <f t="shared" si="1"/>
        <v>0</v>
      </c>
      <c r="P92" s="7"/>
      <c r="R92" s="4"/>
      <c r="S92" s="4"/>
      <c r="T92" s="4"/>
      <c r="U92" s="4"/>
      <c r="W92" s="4"/>
    </row>
    <row r="93" spans="1:23" x14ac:dyDescent="0.25">
      <c r="A93" s="5" t="s">
        <v>60</v>
      </c>
      <c r="B93" s="6">
        <v>1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300</v>
      </c>
      <c r="K93" s="7"/>
      <c r="L93" s="7">
        <v>380</v>
      </c>
      <c r="M93" s="7"/>
      <c r="N93" s="7">
        <f t="shared" si="4"/>
        <v>1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224</v>
      </c>
      <c r="B94" s="6">
        <v>0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/>
      <c r="K94" s="7"/>
      <c r="L94" s="7">
        <v>170</v>
      </c>
      <c r="M94" s="7"/>
      <c r="N94" s="7">
        <f t="shared" si="4"/>
        <v>0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61</v>
      </c>
      <c r="B95" s="6">
        <v>3</v>
      </c>
      <c r="C95" s="10"/>
      <c r="D95" s="7"/>
      <c r="E95" s="8">
        <v>1</v>
      </c>
      <c r="F95" s="8"/>
      <c r="G95" s="9">
        <v>3000</v>
      </c>
      <c r="H95" s="26">
        <f t="shared" si="3"/>
        <v>3000</v>
      </c>
      <c r="I95" s="7">
        <v>700</v>
      </c>
      <c r="J95" s="7">
        <v>145</v>
      </c>
      <c r="K95" s="7"/>
      <c r="L95" s="7">
        <v>180</v>
      </c>
      <c r="M95" s="7"/>
      <c r="N95" s="7">
        <f t="shared" si="4"/>
        <v>2</v>
      </c>
      <c r="O95" s="7">
        <f t="shared" si="1"/>
        <v>180</v>
      </c>
      <c r="P95" s="7"/>
      <c r="R95" s="4"/>
      <c r="S95" s="4"/>
      <c r="T95" s="4">
        <f>SUM(T38:T88)</f>
        <v>0</v>
      </c>
      <c r="U95" s="4"/>
      <c r="W95" s="4"/>
    </row>
    <row r="96" spans="1:23" x14ac:dyDescent="0.25">
      <c r="A96" s="5" t="s">
        <v>62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/>
      <c r="K96" s="7"/>
      <c r="L96" s="7">
        <v>265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/>
      <c r="U96" s="4"/>
    </row>
    <row r="97" spans="1:21" x14ac:dyDescent="0.25">
      <c r="A97" s="5" t="s">
        <v>63</v>
      </c>
      <c r="B97" s="6">
        <v>4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225</v>
      </c>
      <c r="M97" s="7"/>
      <c r="N97" s="7">
        <f t="shared" si="4"/>
        <v>4</v>
      </c>
      <c r="O97" s="7">
        <f t="shared" si="1"/>
        <v>0</v>
      </c>
      <c r="P97" s="7"/>
      <c r="R97" s="4" t="s">
        <v>64</v>
      </c>
      <c r="S97" s="4"/>
      <c r="T97" s="4"/>
      <c r="U97" s="4"/>
    </row>
    <row r="98" spans="1:21" x14ac:dyDescent="0.25">
      <c r="A98" s="5" t="s">
        <v>241</v>
      </c>
      <c r="B98" s="6">
        <v>0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170</v>
      </c>
      <c r="M98" s="7"/>
      <c r="N98" s="7">
        <f t="shared" si="4"/>
        <v>0</v>
      </c>
      <c r="O98" s="7">
        <f t="shared" si="1"/>
        <v>0</v>
      </c>
      <c r="P98" s="7"/>
      <c r="R98" s="4"/>
      <c r="S98" s="4"/>
      <c r="T98" s="4"/>
      <c r="U98" s="4"/>
    </row>
    <row r="99" spans="1:21" x14ac:dyDescent="0.25">
      <c r="A99" s="5" t="s">
        <v>212</v>
      </c>
      <c r="B99" s="6">
        <v>7</v>
      </c>
      <c r="C99" s="10"/>
      <c r="D99" s="7"/>
      <c r="E99" s="8">
        <v>2</v>
      </c>
      <c r="F99" s="8"/>
      <c r="G99" s="9">
        <v>3000</v>
      </c>
      <c r="H99" s="26">
        <f t="shared" si="3"/>
        <v>6000</v>
      </c>
      <c r="I99" s="7">
        <v>1400</v>
      </c>
      <c r="J99" s="7">
        <v>190</v>
      </c>
      <c r="K99" s="7"/>
      <c r="L99" s="7">
        <v>200</v>
      </c>
      <c r="M99" s="7"/>
      <c r="N99" s="7">
        <f t="shared" si="4"/>
        <v>5</v>
      </c>
      <c r="O99" s="7">
        <f t="shared" si="1"/>
        <v>400</v>
      </c>
      <c r="P99" s="7"/>
      <c r="R99" s="4"/>
      <c r="S99" s="4"/>
      <c r="T99" s="4"/>
      <c r="U99" s="4"/>
    </row>
    <row r="100" spans="1:21" x14ac:dyDescent="0.25">
      <c r="A100" s="5" t="s">
        <v>271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/>
      <c r="K100" s="7"/>
      <c r="L100" s="7">
        <v>195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191</v>
      </c>
      <c r="B101" s="6">
        <v>2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>
        <v>160</v>
      </c>
      <c r="K101" s="7"/>
      <c r="L101" s="7">
        <v>300</v>
      </c>
      <c r="M101" s="7"/>
      <c r="N101" s="7">
        <f t="shared" si="4"/>
        <v>2</v>
      </c>
      <c r="O101" s="7">
        <f t="shared" si="1"/>
        <v>0</v>
      </c>
      <c r="P101" s="7" t="s">
        <v>268</v>
      </c>
      <c r="R101" s="4"/>
      <c r="S101" s="4"/>
      <c r="T101" s="4"/>
      <c r="U101" s="4"/>
    </row>
    <row r="102" spans="1:21" x14ac:dyDescent="0.25">
      <c r="A102" s="5" t="s">
        <v>254</v>
      </c>
      <c r="B102" s="6">
        <v>2</v>
      </c>
      <c r="C102" s="10"/>
      <c r="D102" s="7"/>
      <c r="E102" s="8"/>
      <c r="F102" s="8"/>
      <c r="G102" s="9">
        <v>1000</v>
      </c>
      <c r="H102" s="26">
        <f t="shared" si="3"/>
        <v>0</v>
      </c>
      <c r="I102" s="7"/>
      <c r="J102" s="7"/>
      <c r="K102" s="7"/>
      <c r="L102" s="7">
        <v>35</v>
      </c>
      <c r="M102" s="7"/>
      <c r="N102" s="7">
        <f t="shared" si="4"/>
        <v>2</v>
      </c>
      <c r="O102" s="7">
        <f t="shared" si="1"/>
        <v>0</v>
      </c>
      <c r="P102" s="7"/>
    </row>
    <row r="103" spans="1:21" x14ac:dyDescent="0.25">
      <c r="A103" s="5" t="s">
        <v>227</v>
      </c>
      <c r="B103" s="6">
        <v>1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40</v>
      </c>
      <c r="M103" s="7"/>
      <c r="N103" s="7">
        <f t="shared" si="4"/>
        <v>1</v>
      </c>
      <c r="O103" s="7">
        <f t="shared" si="1"/>
        <v>0</v>
      </c>
      <c r="P103" s="7"/>
    </row>
    <row r="104" spans="1:21" x14ac:dyDescent="0.25">
      <c r="A104" s="5" t="s">
        <v>216</v>
      </c>
      <c r="B104" s="6">
        <v>3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3</v>
      </c>
      <c r="O104" s="7">
        <f t="shared" si="1"/>
        <v>0</v>
      </c>
      <c r="P104" s="7"/>
    </row>
    <row r="105" spans="1:21" x14ac:dyDescent="0.25">
      <c r="A105" s="5" t="s">
        <v>188</v>
      </c>
      <c r="B105" s="6">
        <v>5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5</v>
      </c>
      <c r="O105" s="7">
        <f t="shared" si="1"/>
        <v>0</v>
      </c>
      <c r="P105" s="7"/>
    </row>
    <row r="106" spans="1:21" x14ac:dyDescent="0.25">
      <c r="A106" s="5" t="s">
        <v>65</v>
      </c>
      <c r="B106" s="6">
        <v>8</v>
      </c>
      <c r="C106" s="10"/>
      <c r="D106" s="7"/>
      <c r="E106" s="8"/>
      <c r="F106" s="8"/>
      <c r="G106" s="9">
        <v>500</v>
      </c>
      <c r="H106" s="26">
        <f t="shared" si="3"/>
        <v>0</v>
      </c>
      <c r="I106" s="7"/>
      <c r="J106" s="7">
        <v>50</v>
      </c>
      <c r="K106" s="7"/>
      <c r="L106" s="7">
        <v>50</v>
      </c>
      <c r="M106" s="7"/>
      <c r="N106" s="7">
        <f t="shared" si="4"/>
        <v>8</v>
      </c>
      <c r="O106" s="7">
        <f t="shared" si="1"/>
        <v>0</v>
      </c>
      <c r="P106" s="7"/>
    </row>
    <row r="107" spans="1:21" x14ac:dyDescent="0.25">
      <c r="A107" s="5" t="s">
        <v>66</v>
      </c>
      <c r="B107" s="6">
        <v>0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55</v>
      </c>
      <c r="K107" s="7"/>
      <c r="L107" s="7">
        <v>80</v>
      </c>
      <c r="M107" s="7"/>
      <c r="N107" s="7">
        <f t="shared" si="4"/>
        <v>0</v>
      </c>
      <c r="O107" s="7">
        <f t="shared" si="1"/>
        <v>0</v>
      </c>
      <c r="P107" s="7"/>
    </row>
    <row r="108" spans="1:21" x14ac:dyDescent="0.25">
      <c r="A108" s="5" t="s">
        <v>67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22</v>
      </c>
      <c r="K108" s="7"/>
      <c r="L108" s="7">
        <v>20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68</v>
      </c>
      <c r="B109" s="6">
        <v>4</v>
      </c>
      <c r="C109" s="10"/>
      <c r="D109" s="7"/>
      <c r="E109" s="8"/>
      <c r="F109" s="8"/>
      <c r="G109" s="9">
        <v>2000</v>
      </c>
      <c r="H109" s="26">
        <f t="shared" si="3"/>
        <v>0</v>
      </c>
      <c r="I109" s="7"/>
      <c r="J109" s="7">
        <v>80</v>
      </c>
      <c r="K109" s="7"/>
      <c r="L109" s="7">
        <v>100</v>
      </c>
      <c r="M109" s="7"/>
      <c r="N109" s="7">
        <f t="shared" si="4"/>
        <v>4</v>
      </c>
      <c r="O109" s="7">
        <f t="shared" si="1"/>
        <v>0</v>
      </c>
      <c r="P109" s="7" t="s">
        <v>247</v>
      </c>
    </row>
    <row r="110" spans="1:21" x14ac:dyDescent="0.25">
      <c r="A110" s="5" t="s">
        <v>69</v>
      </c>
      <c r="B110" s="6">
        <v>0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/>
      <c r="K110" s="7"/>
      <c r="L110" s="7">
        <v>160</v>
      </c>
      <c r="M110" s="7"/>
      <c r="N110" s="7">
        <f t="shared" si="4"/>
        <v>0</v>
      </c>
      <c r="O110" s="7">
        <f t="shared" ref="O110:O182" si="5">E110*L110+F110*M110</f>
        <v>0</v>
      </c>
      <c r="P110" s="7"/>
    </row>
    <row r="111" spans="1:21" x14ac:dyDescent="0.25">
      <c r="A111" s="5" t="s">
        <v>70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120</v>
      </c>
      <c r="M111" s="7"/>
      <c r="N111" s="7">
        <f t="shared" si="4"/>
        <v>0</v>
      </c>
      <c r="O111" s="7">
        <f t="shared" si="5"/>
        <v>0</v>
      </c>
      <c r="P111" s="7"/>
    </row>
    <row r="112" spans="1:21" x14ac:dyDescent="0.25">
      <c r="A112" s="5" t="s">
        <v>71</v>
      </c>
      <c r="B112" s="6">
        <v>0</v>
      </c>
      <c r="C112" s="10"/>
      <c r="D112" s="7"/>
      <c r="E112" s="8"/>
      <c r="F112" s="8"/>
      <c r="G112" s="9">
        <v>3000</v>
      </c>
      <c r="H112" s="26">
        <f t="shared" si="3"/>
        <v>0</v>
      </c>
      <c r="I112" s="7"/>
      <c r="J112" s="7"/>
      <c r="K112" s="7"/>
      <c r="L112" s="7">
        <v>200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197</v>
      </c>
      <c r="B113" s="6">
        <v>0</v>
      </c>
      <c r="C113" s="10"/>
      <c r="D113" s="7"/>
      <c r="E113" s="8"/>
      <c r="F113" s="8"/>
      <c r="G113" s="9">
        <v>2000</v>
      </c>
      <c r="H113" s="26">
        <f t="shared" si="3"/>
        <v>0</v>
      </c>
      <c r="I113" s="7"/>
      <c r="J113" s="7"/>
      <c r="K113" s="7"/>
      <c r="L113" s="7">
        <v>100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246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115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255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72</v>
      </c>
      <c r="B116" s="6">
        <v>0</v>
      </c>
      <c r="C116" s="10"/>
      <c r="D116" s="7"/>
      <c r="E116" s="8"/>
      <c r="F116" s="8"/>
      <c r="G116" s="9">
        <v>1000</v>
      </c>
      <c r="H116" s="26">
        <f t="shared" si="3"/>
        <v>0</v>
      </c>
      <c r="I116" s="7"/>
      <c r="J116" s="7"/>
      <c r="K116" s="7"/>
      <c r="L116" s="7">
        <v>70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284</v>
      </c>
      <c r="B117" s="6">
        <v>5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60</v>
      </c>
      <c r="M117" s="7"/>
      <c r="N117" s="7">
        <f t="shared" si="4"/>
        <v>5</v>
      </c>
      <c r="O117" s="7">
        <f t="shared" si="5"/>
        <v>0</v>
      </c>
      <c r="P117" s="7"/>
    </row>
    <row r="118" spans="1:16" x14ac:dyDescent="0.25">
      <c r="A118" s="5" t="s">
        <v>290</v>
      </c>
      <c r="B118" s="6">
        <v>4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110</v>
      </c>
      <c r="M118" s="7"/>
      <c r="N118" s="7">
        <f t="shared" si="4"/>
        <v>4</v>
      </c>
      <c r="O118" s="7">
        <f t="shared" si="5"/>
        <v>0</v>
      </c>
      <c r="P118" s="7"/>
    </row>
    <row r="119" spans="1:16" x14ac:dyDescent="0.25">
      <c r="A119" s="5" t="s">
        <v>73</v>
      </c>
      <c r="B119" s="6">
        <v>0</v>
      </c>
      <c r="C119" s="10"/>
      <c r="D119" s="7"/>
      <c r="E119" s="8"/>
      <c r="F119" s="8"/>
      <c r="G119" s="9">
        <v>3000</v>
      </c>
      <c r="H119" s="26">
        <f t="shared" si="3"/>
        <v>0</v>
      </c>
      <c r="I119" s="7"/>
      <c r="J119" s="7"/>
      <c r="K119" s="7"/>
      <c r="L119" s="7">
        <v>175</v>
      </c>
      <c r="M119" s="7"/>
      <c r="N119" s="7">
        <f t="shared" si="4"/>
        <v>0</v>
      </c>
      <c r="O119" s="7">
        <f t="shared" si="5"/>
        <v>0</v>
      </c>
      <c r="P119" s="7"/>
    </row>
    <row r="120" spans="1:16" x14ac:dyDescent="0.25">
      <c r="A120" s="5" t="s">
        <v>223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230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74</v>
      </c>
      <c r="B121" s="6">
        <v>1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290</v>
      </c>
      <c r="M121" s="7"/>
      <c r="N121" s="7">
        <f t="shared" si="4"/>
        <v>1</v>
      </c>
      <c r="O121" s="7">
        <f t="shared" si="5"/>
        <v>0</v>
      </c>
      <c r="P121" s="7"/>
    </row>
    <row r="122" spans="1:16" x14ac:dyDescent="0.25">
      <c r="A122" s="5" t="s">
        <v>231</v>
      </c>
      <c r="B122" s="6">
        <v>0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265</v>
      </c>
      <c r="M122" s="7"/>
      <c r="N122" s="7">
        <f t="shared" si="4"/>
        <v>0</v>
      </c>
      <c r="O122" s="7">
        <f t="shared" si="5"/>
        <v>0</v>
      </c>
      <c r="P122" s="7"/>
    </row>
    <row r="123" spans="1:16" x14ac:dyDescent="0.25">
      <c r="A123" s="5" t="s">
        <v>281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260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277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>
        <v>225</v>
      </c>
      <c r="K124" s="7"/>
      <c r="L124" s="7">
        <v>280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75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/>
      <c r="K125" s="7"/>
      <c r="L125" s="7">
        <v>210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172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320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76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>
        <v>170</v>
      </c>
      <c r="K127" s="7"/>
      <c r="L127" s="7">
        <v>190</v>
      </c>
      <c r="M127" s="7">
        <v>200</v>
      </c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228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220</v>
      </c>
      <c r="K128" s="7"/>
      <c r="L128" s="7">
        <v>260</v>
      </c>
      <c r="M128" s="7">
        <v>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77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330</v>
      </c>
      <c r="K129" s="7"/>
      <c r="L129" s="7">
        <v>380</v>
      </c>
      <c r="M129" s="7"/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276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600</v>
      </c>
      <c r="K130" s="7"/>
      <c r="L130" s="7">
        <v>360</v>
      </c>
      <c r="M130" s="7"/>
      <c r="N130" s="7">
        <f t="shared" si="4"/>
        <v>0</v>
      </c>
      <c r="O130" s="7">
        <f t="shared" si="5"/>
        <v>0</v>
      </c>
      <c r="P130" s="7" t="s">
        <v>269</v>
      </c>
    </row>
    <row r="131" spans="1:16" x14ac:dyDescent="0.25">
      <c r="A131" s="5" t="s">
        <v>78</v>
      </c>
      <c r="B131" s="6">
        <v>0</v>
      </c>
      <c r="C131" s="10"/>
      <c r="D131" s="7"/>
      <c r="E131" s="8"/>
      <c r="F131" s="8"/>
      <c r="G131" s="9">
        <v>4000</v>
      </c>
      <c r="H131" s="26">
        <f t="shared" si="3"/>
        <v>0</v>
      </c>
      <c r="I131" s="7"/>
      <c r="J131" s="7"/>
      <c r="K131" s="7"/>
      <c r="L131" s="7">
        <v>760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79</v>
      </c>
      <c r="B132" s="6">
        <v>0</v>
      </c>
      <c r="C132" s="10"/>
      <c r="D132" s="7"/>
      <c r="E132" s="8"/>
      <c r="F132" s="8"/>
      <c r="G132" s="9">
        <v>3000</v>
      </c>
      <c r="H132" s="26">
        <f t="shared" si="3"/>
        <v>0</v>
      </c>
      <c r="I132" s="7"/>
      <c r="J132" s="7">
        <v>265</v>
      </c>
      <c r="K132" s="7"/>
      <c r="L132" s="7">
        <v>40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80</v>
      </c>
      <c r="B133" s="6">
        <v>1</v>
      </c>
      <c r="C133" s="10"/>
      <c r="D133" s="7"/>
      <c r="E133" s="8"/>
      <c r="F133" s="8"/>
      <c r="G133" s="9">
        <v>2000</v>
      </c>
      <c r="H133" s="26">
        <f t="shared" si="3"/>
        <v>0</v>
      </c>
      <c r="I133" s="7"/>
      <c r="J133" s="7">
        <v>110</v>
      </c>
      <c r="K133" s="7"/>
      <c r="L133" s="7">
        <v>150</v>
      </c>
      <c r="M133" s="7"/>
      <c r="N133" s="7">
        <f t="shared" si="4"/>
        <v>1</v>
      </c>
      <c r="O133" s="7">
        <f t="shared" si="5"/>
        <v>0</v>
      </c>
      <c r="P133" s="7"/>
    </row>
    <row r="134" spans="1:16" x14ac:dyDescent="0.25">
      <c r="A134" s="5" t="s">
        <v>283</v>
      </c>
      <c r="B134" s="6">
        <v>49</v>
      </c>
      <c r="C134" s="10"/>
      <c r="D134" s="7"/>
      <c r="E134" s="8"/>
      <c r="F134" s="8"/>
      <c r="G134" s="9">
        <v>200</v>
      </c>
      <c r="H134" s="26">
        <f t="shared" si="3"/>
        <v>0</v>
      </c>
      <c r="I134" s="7"/>
      <c r="J134" s="7"/>
      <c r="K134" s="7"/>
      <c r="L134" s="7">
        <v>5</v>
      </c>
      <c r="M134" s="7"/>
      <c r="N134" s="7">
        <f t="shared" si="4"/>
        <v>49</v>
      </c>
      <c r="O134" s="7">
        <f t="shared" si="5"/>
        <v>0</v>
      </c>
      <c r="P134" s="7"/>
    </row>
    <row r="135" spans="1:16" x14ac:dyDescent="0.25">
      <c r="A135" s="5" t="s">
        <v>81</v>
      </c>
      <c r="B135" s="6">
        <v>5</v>
      </c>
      <c r="C135" s="10"/>
      <c r="D135" s="7"/>
      <c r="E135" s="8"/>
      <c r="F135" s="8"/>
      <c r="G135" s="9">
        <v>1000</v>
      </c>
      <c r="H135" s="26">
        <f t="shared" si="3"/>
        <v>0</v>
      </c>
      <c r="I135" s="7"/>
      <c r="J135" s="7"/>
      <c r="K135" s="7"/>
      <c r="L135" s="7">
        <v>45</v>
      </c>
      <c r="M135" s="7"/>
      <c r="N135" s="7">
        <f t="shared" si="4"/>
        <v>5</v>
      </c>
      <c r="O135" s="7">
        <f t="shared" si="5"/>
        <v>0</v>
      </c>
      <c r="P135" s="7"/>
    </row>
    <row r="136" spans="1:16" x14ac:dyDescent="0.25">
      <c r="A136" s="5" t="s">
        <v>162</v>
      </c>
      <c r="B136" s="6">
        <v>8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40</v>
      </c>
      <c r="M136" s="7"/>
      <c r="N136" s="7">
        <f t="shared" si="4"/>
        <v>8</v>
      </c>
      <c r="O136" s="7">
        <f t="shared" si="5"/>
        <v>0</v>
      </c>
      <c r="P136" s="7">
        <v>-1</v>
      </c>
    </row>
    <row r="137" spans="1:16" x14ac:dyDescent="0.25">
      <c r="A137" s="5" t="s">
        <v>82</v>
      </c>
      <c r="B137" s="6">
        <v>0</v>
      </c>
      <c r="C137" s="10"/>
      <c r="D137" s="7"/>
      <c r="E137" s="8"/>
      <c r="F137" s="8"/>
      <c r="G137" s="9">
        <v>1000</v>
      </c>
      <c r="H137" s="26">
        <f t="shared" ref="H137:H218" si="6">(E137+F137)*G137</f>
        <v>0</v>
      </c>
      <c r="I137" s="7"/>
      <c r="J137" s="7">
        <v>28</v>
      </c>
      <c r="K137" s="7"/>
      <c r="L137" s="7">
        <v>45</v>
      </c>
      <c r="M137" s="7"/>
      <c r="N137" s="7">
        <f t="shared" si="4"/>
        <v>0</v>
      </c>
      <c r="O137" s="7">
        <f t="shared" si="5"/>
        <v>0</v>
      </c>
      <c r="P137" s="7"/>
    </row>
    <row r="138" spans="1:16" x14ac:dyDescent="0.25">
      <c r="A138" s="5" t="s">
        <v>83</v>
      </c>
      <c r="B138" s="6">
        <v>0</v>
      </c>
      <c r="C138" s="10"/>
      <c r="D138" s="7"/>
      <c r="E138" s="8"/>
      <c r="F138" s="8"/>
      <c r="G138" s="9">
        <v>1000</v>
      </c>
      <c r="H138" s="26">
        <f t="shared" si="6"/>
        <v>0</v>
      </c>
      <c r="I138" s="7"/>
      <c r="J138" s="7"/>
      <c r="K138" s="7"/>
      <c r="L138" s="7">
        <v>40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84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30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182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>
        <v>23</v>
      </c>
      <c r="K140" s="7"/>
      <c r="L140" s="7">
        <v>40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185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26</v>
      </c>
      <c r="K141" s="7"/>
      <c r="L141" s="7">
        <v>45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236</v>
      </c>
      <c r="B142" s="6">
        <v>2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/>
      <c r="K142" s="7"/>
      <c r="L142" s="7">
        <v>65</v>
      </c>
      <c r="M142" s="7"/>
      <c r="N142" s="7">
        <f t="shared" si="4"/>
        <v>2</v>
      </c>
      <c r="O142" s="7">
        <f t="shared" si="5"/>
        <v>0</v>
      </c>
      <c r="P142" s="7"/>
    </row>
    <row r="143" spans="1:16" x14ac:dyDescent="0.25">
      <c r="A143" s="5" t="s">
        <v>85</v>
      </c>
      <c r="B143" s="6">
        <v>0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>
        <v>50</v>
      </c>
      <c r="K143" s="7"/>
      <c r="L143" s="7">
        <v>65</v>
      </c>
      <c r="M143" s="7"/>
      <c r="N143" s="7">
        <f t="shared" si="4"/>
        <v>0</v>
      </c>
      <c r="O143" s="7">
        <f t="shared" si="5"/>
        <v>0</v>
      </c>
      <c r="P143" s="7"/>
    </row>
    <row r="144" spans="1:16" x14ac:dyDescent="0.25">
      <c r="A144" s="5" t="s">
        <v>273</v>
      </c>
      <c r="B144" s="6">
        <v>6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45</v>
      </c>
      <c r="K144" s="7"/>
      <c r="L144" s="7">
        <v>65</v>
      </c>
      <c r="M144" s="7"/>
      <c r="N144" s="7">
        <f t="shared" si="4"/>
        <v>6</v>
      </c>
      <c r="O144" s="7">
        <f t="shared" si="5"/>
        <v>0</v>
      </c>
      <c r="P144" s="7">
        <v>-1</v>
      </c>
    </row>
    <row r="145" spans="1:16" x14ac:dyDescent="0.25">
      <c r="A145" s="5" t="s">
        <v>86</v>
      </c>
      <c r="B145" s="6">
        <v>0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42</v>
      </c>
      <c r="K145" s="7"/>
      <c r="L145" s="7">
        <v>60</v>
      </c>
      <c r="M145" s="7"/>
      <c r="N145" s="7">
        <f t="shared" si="4"/>
        <v>0</v>
      </c>
      <c r="O145" s="7">
        <f t="shared" si="5"/>
        <v>0</v>
      </c>
      <c r="P145" s="7"/>
    </row>
    <row r="146" spans="1:16" x14ac:dyDescent="0.25">
      <c r="A146" s="5" t="s">
        <v>198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/>
      <c r="K146" s="7"/>
      <c r="L146" s="7">
        <v>65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194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>
        <v>25</v>
      </c>
      <c r="K147" s="7"/>
      <c r="L147" s="7">
        <v>50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87</v>
      </c>
      <c r="B148" s="6">
        <v>0</v>
      </c>
      <c r="C148" s="10"/>
      <c r="D148" s="7"/>
      <c r="E148" s="8"/>
      <c r="F148" s="8"/>
      <c r="G148" s="9">
        <v>4000</v>
      </c>
      <c r="H148" s="26">
        <f t="shared" si="6"/>
        <v>0</v>
      </c>
      <c r="I148" s="7"/>
      <c r="J148" s="7"/>
      <c r="K148" s="7"/>
      <c r="L148" s="7">
        <v>280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196</v>
      </c>
      <c r="B149" s="6">
        <v>16</v>
      </c>
      <c r="C149" s="10"/>
      <c r="D149" s="7"/>
      <c r="E149" s="8"/>
      <c r="F149" s="8"/>
      <c r="G149" s="9">
        <v>500</v>
      </c>
      <c r="H149" s="26">
        <f t="shared" si="6"/>
        <v>0</v>
      </c>
      <c r="I149" s="7"/>
      <c r="J149" s="7"/>
      <c r="K149" s="7"/>
      <c r="L149" s="7">
        <v>30</v>
      </c>
      <c r="M149" s="7"/>
      <c r="N149" s="7">
        <f t="shared" si="4"/>
        <v>16</v>
      </c>
      <c r="O149" s="7">
        <f t="shared" si="5"/>
        <v>0</v>
      </c>
      <c r="P149" s="7"/>
    </row>
    <row r="150" spans="1:16" x14ac:dyDescent="0.25">
      <c r="A150" s="5" t="s">
        <v>88</v>
      </c>
      <c r="B150" s="6">
        <v>0</v>
      </c>
      <c r="C150" s="10"/>
      <c r="D150" s="7"/>
      <c r="E150" s="8"/>
      <c r="F150" s="8"/>
      <c r="G150" s="9">
        <v>2000</v>
      </c>
      <c r="H150" s="26">
        <f t="shared" si="6"/>
        <v>0</v>
      </c>
      <c r="I150" s="7"/>
      <c r="J150" s="7"/>
      <c r="K150" s="7"/>
      <c r="L150" s="7">
        <v>125</v>
      </c>
      <c r="M150" s="7"/>
      <c r="N150" s="7">
        <f t="shared" si="4"/>
        <v>0</v>
      </c>
      <c r="O150" s="7">
        <f t="shared" si="5"/>
        <v>0</v>
      </c>
      <c r="P150" s="7"/>
    </row>
    <row r="151" spans="1:16" x14ac:dyDescent="0.25">
      <c r="A151" s="5" t="s">
        <v>285</v>
      </c>
      <c r="B151" s="6">
        <v>5</v>
      </c>
      <c r="C151" s="10"/>
      <c r="D151" s="7"/>
      <c r="E151" s="8"/>
      <c r="F151" s="8"/>
      <c r="G151" s="9">
        <v>1000</v>
      </c>
      <c r="H151" s="26">
        <f t="shared" si="6"/>
        <v>0</v>
      </c>
      <c r="I151" s="7"/>
      <c r="J151" s="7"/>
      <c r="K151" s="7"/>
      <c r="L151" s="7">
        <v>60</v>
      </c>
      <c r="M151" s="7"/>
      <c r="N151" s="7">
        <f t="shared" si="4"/>
        <v>5</v>
      </c>
      <c r="O151" s="7">
        <f t="shared" si="5"/>
        <v>0</v>
      </c>
      <c r="P151" s="7"/>
    </row>
    <row r="152" spans="1:16" x14ac:dyDescent="0.25">
      <c r="A152" s="5" t="s">
        <v>288</v>
      </c>
      <c r="B152" s="6">
        <v>10</v>
      </c>
      <c r="C152" s="10"/>
      <c r="D152" s="7"/>
      <c r="E152" s="8"/>
      <c r="F152" s="8"/>
      <c r="G152" s="9">
        <v>500</v>
      </c>
      <c r="H152" s="26">
        <f t="shared" si="6"/>
        <v>0</v>
      </c>
      <c r="I152" s="7"/>
      <c r="J152" s="7"/>
      <c r="K152" s="7"/>
      <c r="L152" s="7">
        <v>15</v>
      </c>
      <c r="M152" s="7"/>
      <c r="N152" s="7">
        <f t="shared" si="4"/>
        <v>10</v>
      </c>
      <c r="O152" s="7">
        <f t="shared" si="5"/>
        <v>0</v>
      </c>
      <c r="P152" s="7"/>
    </row>
    <row r="153" spans="1:16" x14ac:dyDescent="0.25">
      <c r="A153" s="5" t="s">
        <v>289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18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286</v>
      </c>
      <c r="B154" s="6">
        <v>12</v>
      </c>
      <c r="C154" s="10"/>
      <c r="D154" s="7"/>
      <c r="E154" s="8"/>
      <c r="F154" s="8"/>
      <c r="G154" s="9">
        <v>200</v>
      </c>
      <c r="H154" s="26">
        <f t="shared" si="6"/>
        <v>0</v>
      </c>
      <c r="I154" s="7"/>
      <c r="J154" s="7"/>
      <c r="K154" s="7"/>
      <c r="L154" s="7">
        <v>10</v>
      </c>
      <c r="M154" s="7"/>
      <c r="N154" s="7">
        <f t="shared" si="4"/>
        <v>12</v>
      </c>
      <c r="O154" s="7">
        <f t="shared" si="5"/>
        <v>0</v>
      </c>
      <c r="P154" s="7"/>
    </row>
    <row r="155" spans="1:16" x14ac:dyDescent="0.25">
      <c r="A155" s="5" t="s">
        <v>89</v>
      </c>
      <c r="B155" s="6">
        <v>0</v>
      </c>
      <c r="C155" s="10"/>
      <c r="D155" s="7"/>
      <c r="E155" s="8"/>
      <c r="F155" s="8"/>
      <c r="G155" s="9">
        <v>1000</v>
      </c>
      <c r="H155" s="26">
        <f t="shared" si="6"/>
        <v>0</v>
      </c>
      <c r="I155" s="7"/>
      <c r="J155" s="7"/>
      <c r="K155" s="7"/>
      <c r="L155" s="7">
        <v>60</v>
      </c>
      <c r="M155" s="7"/>
      <c r="N155" s="7">
        <f t="shared" si="4"/>
        <v>0</v>
      </c>
      <c r="O155" s="7">
        <f t="shared" si="5"/>
        <v>0</v>
      </c>
      <c r="P155" s="7"/>
    </row>
    <row r="156" spans="1:16" x14ac:dyDescent="0.25">
      <c r="A156" s="5" t="s">
        <v>274</v>
      </c>
      <c r="B156" s="6">
        <v>3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3</v>
      </c>
      <c r="O156" s="7">
        <f t="shared" si="5"/>
        <v>0</v>
      </c>
      <c r="P156" s="7"/>
    </row>
    <row r="157" spans="1:16" x14ac:dyDescent="0.25">
      <c r="A157" s="5" t="s">
        <v>221</v>
      </c>
      <c r="B157" s="6">
        <v>4</v>
      </c>
      <c r="C157" s="10"/>
      <c r="D157" s="7"/>
      <c r="E157" s="8"/>
      <c r="F157" s="8"/>
      <c r="G157" s="9"/>
      <c r="H157" s="26"/>
      <c r="I157" s="7"/>
      <c r="J157" s="7"/>
      <c r="K157" s="7"/>
      <c r="L157" s="7"/>
      <c r="M157" s="7"/>
      <c r="N157" s="7">
        <f t="shared" si="4"/>
        <v>4</v>
      </c>
      <c r="O157" s="7"/>
      <c r="P157" s="7">
        <v>-1</v>
      </c>
    </row>
    <row r="158" spans="1:16" x14ac:dyDescent="0.25">
      <c r="A158" s="5" t="s">
        <v>220</v>
      </c>
      <c r="B158" s="6">
        <v>4</v>
      </c>
      <c r="C158" s="10"/>
      <c r="D158" s="7"/>
      <c r="E158" s="8"/>
      <c r="F158" s="8"/>
      <c r="G158" s="9">
        <v>1000</v>
      </c>
      <c r="H158" s="26"/>
      <c r="I158" s="7"/>
      <c r="J158" s="7">
        <v>120</v>
      </c>
      <c r="K158" s="7"/>
      <c r="L158" s="7"/>
      <c r="M158" s="7"/>
      <c r="N158" s="7">
        <f t="shared" si="4"/>
        <v>4</v>
      </c>
      <c r="O158" s="7">
        <f t="shared" si="5"/>
        <v>0</v>
      </c>
      <c r="P158" s="7">
        <v>-1</v>
      </c>
    </row>
    <row r="159" spans="1:16" x14ac:dyDescent="0.25">
      <c r="A159" s="5" t="s">
        <v>256</v>
      </c>
      <c r="B159" s="6">
        <v>6</v>
      </c>
      <c r="C159" s="10"/>
      <c r="D159" s="7"/>
      <c r="E159" s="8"/>
      <c r="F159" s="8"/>
      <c r="G159" s="9"/>
      <c r="H159" s="26">
        <f t="shared" si="6"/>
        <v>0</v>
      </c>
      <c r="I159" s="7"/>
      <c r="J159" s="7"/>
      <c r="K159" s="7"/>
      <c r="L159" s="7"/>
      <c r="M159" s="7"/>
      <c r="N159" s="7">
        <f t="shared" si="4"/>
        <v>6</v>
      </c>
      <c r="O159" s="7"/>
      <c r="P159" s="7"/>
    </row>
    <row r="160" spans="1:16" x14ac:dyDescent="0.25">
      <c r="A160" s="5" t="s">
        <v>193</v>
      </c>
      <c r="B160" s="6">
        <v>1</v>
      </c>
      <c r="C160" s="7"/>
      <c r="D160" s="7"/>
      <c r="E160" s="8"/>
      <c r="F160" s="8"/>
      <c r="G160" s="9">
        <v>1000</v>
      </c>
      <c r="H160" s="26">
        <f t="shared" si="6"/>
        <v>0</v>
      </c>
      <c r="I160" s="7"/>
      <c r="J160" s="7">
        <v>120</v>
      </c>
      <c r="K160" s="7"/>
      <c r="L160" s="7">
        <v>210</v>
      </c>
      <c r="M160" s="7">
        <v>110</v>
      </c>
      <c r="N160" s="7">
        <f t="shared" si="4"/>
        <v>1</v>
      </c>
      <c r="O160" s="7">
        <f t="shared" si="5"/>
        <v>0</v>
      </c>
      <c r="P160" s="7"/>
    </row>
    <row r="161" spans="1:16" x14ac:dyDescent="0.25">
      <c r="A161" s="5" t="s">
        <v>280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/>
      <c r="K161" s="7"/>
      <c r="L161" s="7">
        <v>300</v>
      </c>
      <c r="M161" s="7"/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90</v>
      </c>
      <c r="B162" s="6">
        <v>14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280</v>
      </c>
      <c r="M162" s="7"/>
      <c r="N162" s="7">
        <f t="shared" ref="N162:N227" si="7">B162+C162-D162-E162-F162</f>
        <v>14</v>
      </c>
      <c r="O162" s="7">
        <f t="shared" si="5"/>
        <v>0</v>
      </c>
      <c r="P162" s="7"/>
    </row>
    <row r="163" spans="1:16" x14ac:dyDescent="0.25">
      <c r="A163" s="5" t="s">
        <v>292</v>
      </c>
      <c r="B163" s="6">
        <v>23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>
        <v>155</v>
      </c>
      <c r="N163" s="7">
        <f t="shared" si="7"/>
        <v>23</v>
      </c>
      <c r="O163" s="7">
        <f t="shared" si="5"/>
        <v>0</v>
      </c>
      <c r="P163" s="7"/>
    </row>
    <row r="164" spans="1:16" x14ac:dyDescent="0.25">
      <c r="A164" s="5" t="s">
        <v>297</v>
      </c>
      <c r="B164" s="6">
        <v>91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>
        <v>140</v>
      </c>
      <c r="K164" s="7"/>
      <c r="L164" s="7">
        <v>270</v>
      </c>
      <c r="M164" s="7"/>
      <c r="N164" s="7">
        <f t="shared" si="7"/>
        <v>91</v>
      </c>
      <c r="O164" s="7">
        <f t="shared" si="5"/>
        <v>0</v>
      </c>
      <c r="P164" s="7"/>
    </row>
    <row r="165" spans="1:16" x14ac:dyDescent="0.25">
      <c r="A165" s="5" t="s">
        <v>275</v>
      </c>
      <c r="B165" s="6">
        <v>2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 t="s">
        <v>303</v>
      </c>
      <c r="J165" s="7"/>
      <c r="K165" s="7"/>
      <c r="L165" s="7">
        <v>65</v>
      </c>
      <c r="M165" s="7"/>
      <c r="N165" s="7">
        <f t="shared" si="7"/>
        <v>2</v>
      </c>
      <c r="O165" s="7">
        <f t="shared" si="5"/>
        <v>0</v>
      </c>
      <c r="P165" s="7"/>
    </row>
    <row r="166" spans="1:16" x14ac:dyDescent="0.25">
      <c r="A166" s="5" t="s">
        <v>91</v>
      </c>
      <c r="B166" s="6">
        <v>0</v>
      </c>
      <c r="C166" s="7"/>
      <c r="D166" s="7"/>
      <c r="E166" s="8"/>
      <c r="F166" s="8"/>
      <c r="G166" s="9">
        <v>50</v>
      </c>
      <c r="H166" s="26">
        <f t="shared" si="6"/>
        <v>0</v>
      </c>
      <c r="I166" s="7"/>
      <c r="J166" s="7"/>
      <c r="K166" s="7"/>
      <c r="L166" s="7">
        <v>3</v>
      </c>
      <c r="M166" s="7"/>
      <c r="N166" s="7">
        <f t="shared" si="7"/>
        <v>0</v>
      </c>
      <c r="O166" s="7">
        <f t="shared" si="5"/>
        <v>0</v>
      </c>
      <c r="P166" s="7"/>
    </row>
    <row r="167" spans="1:16" x14ac:dyDescent="0.25">
      <c r="A167" s="5" t="s">
        <v>92</v>
      </c>
      <c r="B167" s="6">
        <v>0</v>
      </c>
      <c r="C167" s="7"/>
      <c r="D167" s="7"/>
      <c r="E167" s="8"/>
      <c r="F167" s="8"/>
      <c r="G167" s="9">
        <v>50</v>
      </c>
      <c r="H167" s="26"/>
      <c r="I167" s="7"/>
      <c r="J167" s="7"/>
      <c r="K167" s="7"/>
      <c r="L167" s="7">
        <v>2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210</v>
      </c>
      <c r="B168" s="6">
        <v>0</v>
      </c>
      <c r="C168" s="7"/>
      <c r="D168" s="7"/>
      <c r="E168" s="8"/>
      <c r="F168" s="8"/>
      <c r="G168" s="9">
        <v>4000</v>
      </c>
      <c r="H168" s="26">
        <f t="shared" si="6"/>
        <v>0</v>
      </c>
      <c r="I168" s="7"/>
      <c r="J168" s="7">
        <v>365</v>
      </c>
      <c r="K168" s="7"/>
      <c r="L168" s="7">
        <v>395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234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385</v>
      </c>
      <c r="K169" s="7"/>
      <c r="L169" s="7">
        <v>350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237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410</v>
      </c>
      <c r="K170" s="7"/>
      <c r="L170" s="7">
        <v>550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251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/>
      <c r="K171" s="7"/>
      <c r="L171" s="7">
        <v>920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93</v>
      </c>
      <c r="B172" s="6">
        <v>2</v>
      </c>
      <c r="C172" s="10"/>
      <c r="D172" s="7"/>
      <c r="E172" s="8"/>
      <c r="F172" s="8"/>
      <c r="G172" s="9">
        <v>4000</v>
      </c>
      <c r="H172" s="26">
        <f t="shared" si="6"/>
        <v>0</v>
      </c>
      <c r="I172" s="7"/>
      <c r="J172" s="7">
        <v>680</v>
      </c>
      <c r="K172" s="7"/>
      <c r="L172" s="7">
        <v>850</v>
      </c>
      <c r="M172" s="7"/>
      <c r="N172" s="7">
        <f t="shared" si="7"/>
        <v>2</v>
      </c>
      <c r="O172" s="7">
        <f t="shared" si="5"/>
        <v>0</v>
      </c>
      <c r="P172" s="7"/>
    </row>
    <row r="173" spans="1:16" x14ac:dyDescent="0.25">
      <c r="A173" s="5" t="s">
        <v>94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/>
      <c r="K173" s="7"/>
      <c r="L173" s="7">
        <v>550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222</v>
      </c>
      <c r="B174" s="6">
        <v>0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500</v>
      </c>
      <c r="M174" s="7"/>
      <c r="N174" s="7">
        <f t="shared" si="7"/>
        <v>0</v>
      </c>
      <c r="O174" s="7">
        <f t="shared" si="5"/>
        <v>0</v>
      </c>
      <c r="P174" s="7"/>
    </row>
    <row r="175" spans="1:16" x14ac:dyDescent="0.25">
      <c r="A175" s="5" t="s">
        <v>242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850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95</v>
      </c>
      <c r="B176" s="6">
        <v>0</v>
      </c>
      <c r="C176" s="10"/>
      <c r="D176" s="7"/>
      <c r="E176" s="8"/>
      <c r="F176" s="8"/>
      <c r="G176" s="9">
        <v>500</v>
      </c>
      <c r="H176" s="26">
        <f t="shared" si="6"/>
        <v>0</v>
      </c>
      <c r="I176" s="7"/>
      <c r="J176" s="7"/>
      <c r="K176" s="7"/>
      <c r="L176" s="7">
        <v>18</v>
      </c>
      <c r="M176" s="7"/>
      <c r="N176" s="7">
        <f t="shared" si="7"/>
        <v>0</v>
      </c>
      <c r="O176" s="7">
        <f t="shared" si="5"/>
        <v>0</v>
      </c>
      <c r="P176" s="7"/>
    </row>
    <row r="177" spans="1:16" x14ac:dyDescent="0.25">
      <c r="A177" s="5" t="s">
        <v>184</v>
      </c>
      <c r="B177" s="6">
        <v>0</v>
      </c>
      <c r="C177" s="10"/>
      <c r="D177" s="7"/>
      <c r="E177" s="8"/>
      <c r="F177" s="8"/>
      <c r="G177" s="9">
        <v>18000</v>
      </c>
      <c r="H177" s="26">
        <f t="shared" si="6"/>
        <v>0</v>
      </c>
      <c r="I177" s="7"/>
      <c r="J177" s="7">
        <v>8</v>
      </c>
      <c r="K177" s="7"/>
      <c r="L177" s="7">
        <v>3150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96</v>
      </c>
      <c r="B178" s="6">
        <v>3</v>
      </c>
      <c r="C178" s="10"/>
      <c r="D178" s="7"/>
      <c r="E178" s="8"/>
      <c r="F178" s="8"/>
      <c r="G178" s="9">
        <v>1000</v>
      </c>
      <c r="H178" s="26">
        <f t="shared" si="6"/>
        <v>0</v>
      </c>
      <c r="I178" s="7"/>
      <c r="J178" s="7"/>
      <c r="K178" s="7"/>
      <c r="L178" s="7">
        <v>30</v>
      </c>
      <c r="M178" s="7"/>
      <c r="N178" s="7">
        <f t="shared" si="7"/>
        <v>3</v>
      </c>
      <c r="O178" s="7">
        <f t="shared" si="5"/>
        <v>0</v>
      </c>
      <c r="P178" s="7"/>
    </row>
    <row r="179" spans="1:16" x14ac:dyDescent="0.25">
      <c r="A179" s="5" t="s">
        <v>163</v>
      </c>
      <c r="B179" s="6">
        <v>6</v>
      </c>
      <c r="C179" s="10"/>
      <c r="D179" s="7"/>
      <c r="E179" s="8"/>
      <c r="F179" s="8"/>
      <c r="G179" s="9">
        <v>3000</v>
      </c>
      <c r="H179" s="26">
        <f t="shared" si="6"/>
        <v>0</v>
      </c>
      <c r="I179" s="7"/>
      <c r="J179" s="7">
        <v>260</v>
      </c>
      <c r="K179" s="7"/>
      <c r="L179" s="7">
        <v>295</v>
      </c>
      <c r="M179" s="7"/>
      <c r="N179" s="7">
        <f t="shared" si="7"/>
        <v>6</v>
      </c>
      <c r="O179" s="7">
        <f t="shared" si="5"/>
        <v>0</v>
      </c>
      <c r="P179" s="7"/>
    </row>
    <row r="180" spans="1:16" x14ac:dyDescent="0.25">
      <c r="A180" s="5" t="s">
        <v>97</v>
      </c>
      <c r="B180" s="6">
        <v>0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/>
      <c r="K180" s="7"/>
      <c r="L180" s="7">
        <v>530</v>
      </c>
      <c r="M180" s="7"/>
      <c r="N180" s="7">
        <f t="shared" si="7"/>
        <v>0</v>
      </c>
      <c r="O180" s="7">
        <f t="shared" si="5"/>
        <v>0</v>
      </c>
      <c r="P180" s="7"/>
    </row>
    <row r="181" spans="1:16" x14ac:dyDescent="0.25">
      <c r="A181" s="5" t="s">
        <v>199</v>
      </c>
      <c r="B181" s="6">
        <v>1</v>
      </c>
      <c r="C181" s="10"/>
      <c r="D181" s="7"/>
      <c r="E181" s="8"/>
      <c r="F181" s="8"/>
      <c r="G181" s="9"/>
      <c r="H181" s="26"/>
      <c r="I181" s="7"/>
      <c r="J181" s="7"/>
      <c r="K181" s="7"/>
      <c r="L181" s="7"/>
      <c r="M181" s="7"/>
      <c r="N181" s="7">
        <f t="shared" si="7"/>
        <v>1</v>
      </c>
      <c r="O181" s="7">
        <f t="shared" si="5"/>
        <v>0</v>
      </c>
      <c r="P181" s="7"/>
    </row>
    <row r="182" spans="1:16" x14ac:dyDescent="0.25">
      <c r="A182" s="5" t="s">
        <v>183</v>
      </c>
      <c r="B182" s="6">
        <v>1</v>
      </c>
      <c r="C182" s="10"/>
      <c r="D182" s="7"/>
      <c r="E182" s="8"/>
      <c r="F182" s="8"/>
      <c r="G182" s="9">
        <v>3000</v>
      </c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240</v>
      </c>
      <c r="B183" s="6">
        <v>0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0</v>
      </c>
      <c r="O183" s="7">
        <f t="shared" ref="O183:O218" si="8">E183*L183+F183*M183</f>
        <v>0</v>
      </c>
      <c r="P183" s="7"/>
    </row>
    <row r="184" spans="1:16" x14ac:dyDescent="0.25">
      <c r="A184" s="5" t="s">
        <v>98</v>
      </c>
      <c r="B184" s="6">
        <v>1</v>
      </c>
      <c r="C184" s="10"/>
      <c r="D184" s="7"/>
      <c r="E184" s="8"/>
      <c r="F184" s="8"/>
      <c r="G184" s="9">
        <v>3000</v>
      </c>
      <c r="H184" s="26">
        <f t="shared" ref="H184:H192" si="9">(E184+F184)*G184</f>
        <v>0</v>
      </c>
      <c r="I184" s="7"/>
      <c r="J184" s="7">
        <v>250</v>
      </c>
      <c r="K184" s="7"/>
      <c r="L184" s="7">
        <v>310</v>
      </c>
      <c r="M184" s="7"/>
      <c r="N184" s="7">
        <f t="shared" si="7"/>
        <v>1</v>
      </c>
      <c r="O184" s="7">
        <f t="shared" si="8"/>
        <v>0</v>
      </c>
      <c r="P184" s="7"/>
    </row>
    <row r="185" spans="1:16" x14ac:dyDescent="0.25">
      <c r="A185" s="5" t="s">
        <v>189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9"/>
        <v>0</v>
      </c>
      <c r="I185" s="7"/>
      <c r="J185" s="7"/>
      <c r="K185" s="7"/>
      <c r="L185" s="7">
        <v>260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190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300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153</v>
      </c>
      <c r="B187" s="6">
        <v>0</v>
      </c>
      <c r="C187" s="10"/>
      <c r="D187" s="7"/>
      <c r="E187" s="8"/>
      <c r="F187" s="8"/>
      <c r="G187" s="9">
        <v>1000</v>
      </c>
      <c r="H187" s="26">
        <f t="shared" si="9"/>
        <v>0</v>
      </c>
      <c r="I187" s="7"/>
      <c r="J187" s="7"/>
      <c r="K187" s="7"/>
      <c r="L187" s="7">
        <v>100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150</v>
      </c>
      <c r="B188" s="6">
        <v>0</v>
      </c>
      <c r="C188" s="10"/>
      <c r="D188" s="7"/>
      <c r="E188" s="8"/>
      <c r="F188" s="8"/>
      <c r="G188" s="9">
        <v>3000</v>
      </c>
      <c r="H188" s="26">
        <f t="shared" si="9"/>
        <v>0</v>
      </c>
      <c r="I188" s="7"/>
      <c r="J188" s="7">
        <v>220</v>
      </c>
      <c r="K188" s="7"/>
      <c r="L188" s="7">
        <v>310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99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/>
      <c r="K189" s="7"/>
      <c r="L189" s="7">
        <v>425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213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430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165</v>
      </c>
      <c r="B191" s="6">
        <v>0</v>
      </c>
      <c r="C191" s="10"/>
      <c r="D191" s="7"/>
      <c r="E191" s="8"/>
      <c r="F191" s="8"/>
      <c r="G191" s="9">
        <v>3000</v>
      </c>
      <c r="H191" s="26"/>
      <c r="I191" s="7"/>
      <c r="J191" s="7"/>
      <c r="K191" s="7"/>
      <c r="L191" s="7"/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296</v>
      </c>
      <c r="B192" s="6">
        <v>1</v>
      </c>
      <c r="C192" s="10"/>
      <c r="D192" s="7"/>
      <c r="E192" s="8"/>
      <c r="F192" s="8"/>
      <c r="G192" s="9">
        <v>3000</v>
      </c>
      <c r="H192" s="26">
        <f t="shared" si="9"/>
        <v>0</v>
      </c>
      <c r="I192" s="7"/>
      <c r="J192" s="7">
        <v>190</v>
      </c>
      <c r="K192" s="7"/>
      <c r="L192" s="7">
        <v>260</v>
      </c>
      <c r="M192" s="7"/>
      <c r="N192" s="7">
        <f t="shared" si="7"/>
        <v>1</v>
      </c>
      <c r="O192" s="7">
        <f t="shared" si="8"/>
        <v>0</v>
      </c>
      <c r="P192" s="7"/>
    </row>
    <row r="193" spans="1:16" x14ac:dyDescent="0.25">
      <c r="A193" s="5" t="s">
        <v>252</v>
      </c>
      <c r="B193" s="6">
        <v>0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/>
      <c r="K193" s="7"/>
      <c r="L193" s="7">
        <v>255</v>
      </c>
      <c r="M193" s="7"/>
      <c r="N193" s="7">
        <f t="shared" si="7"/>
        <v>0</v>
      </c>
      <c r="O193" s="7">
        <f t="shared" si="8"/>
        <v>0</v>
      </c>
      <c r="P193" s="7"/>
    </row>
    <row r="194" spans="1:16" x14ac:dyDescent="0.25">
      <c r="A194" s="5" t="s">
        <v>156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360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100</v>
      </c>
      <c r="B195" s="6">
        <v>3</v>
      </c>
      <c r="C195" s="10"/>
      <c r="D195" s="7"/>
      <c r="E195" s="8"/>
      <c r="F195" s="8"/>
      <c r="G195" s="9">
        <v>1000</v>
      </c>
      <c r="H195" s="26">
        <f t="shared" si="6"/>
        <v>0</v>
      </c>
      <c r="I195" s="7"/>
      <c r="J195" s="7"/>
      <c r="K195" s="7"/>
      <c r="L195" s="7">
        <v>80</v>
      </c>
      <c r="M195" s="7"/>
      <c r="N195" s="7">
        <f t="shared" si="7"/>
        <v>3</v>
      </c>
      <c r="O195" s="7">
        <f t="shared" si="8"/>
        <v>0</v>
      </c>
      <c r="P195" s="7"/>
    </row>
    <row r="196" spans="1:16" x14ac:dyDescent="0.25">
      <c r="A196" s="5" t="s">
        <v>101</v>
      </c>
      <c r="B196" s="6">
        <v>2</v>
      </c>
      <c r="C196" s="10"/>
      <c r="D196" s="7"/>
      <c r="E196" s="8"/>
      <c r="F196" s="8"/>
      <c r="G196" s="9">
        <v>3000</v>
      </c>
      <c r="H196" s="26">
        <f t="shared" si="6"/>
        <v>0</v>
      </c>
      <c r="I196" s="7"/>
      <c r="J196" s="7">
        <v>160</v>
      </c>
      <c r="K196" s="7"/>
      <c r="L196" s="7">
        <v>175</v>
      </c>
      <c r="M196" s="7"/>
      <c r="N196" s="7">
        <f t="shared" si="7"/>
        <v>2</v>
      </c>
      <c r="O196" s="7">
        <f t="shared" si="8"/>
        <v>0</v>
      </c>
      <c r="P196" s="7"/>
    </row>
    <row r="197" spans="1:16" x14ac:dyDescent="0.25">
      <c r="A197" s="5" t="s">
        <v>174</v>
      </c>
      <c r="B197" s="6">
        <v>0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/>
      <c r="K197" s="7"/>
      <c r="L197" s="7">
        <v>250</v>
      </c>
      <c r="M197" s="7"/>
      <c r="N197" s="7">
        <f t="shared" si="7"/>
        <v>0</v>
      </c>
      <c r="O197" s="7">
        <f t="shared" si="8"/>
        <v>0</v>
      </c>
      <c r="P197" s="7"/>
    </row>
    <row r="198" spans="1:16" x14ac:dyDescent="0.25">
      <c r="A198" s="5" t="s">
        <v>262</v>
      </c>
      <c r="B198" s="6">
        <v>4</v>
      </c>
      <c r="C198" s="10"/>
      <c r="D198" s="7"/>
      <c r="E198" s="8">
        <v>1</v>
      </c>
      <c r="F198" s="8"/>
      <c r="G198" s="9">
        <v>3000</v>
      </c>
      <c r="H198" s="26">
        <f t="shared" si="6"/>
        <v>3000</v>
      </c>
      <c r="I198" s="7">
        <v>1500</v>
      </c>
      <c r="J198" s="7"/>
      <c r="K198" s="7"/>
      <c r="L198" s="7">
        <v>175</v>
      </c>
      <c r="M198" s="7">
        <v>0</v>
      </c>
      <c r="N198" s="7">
        <f t="shared" si="7"/>
        <v>3</v>
      </c>
      <c r="O198" s="7">
        <f t="shared" si="8"/>
        <v>175</v>
      </c>
      <c r="P198" s="7"/>
    </row>
    <row r="199" spans="1:16" x14ac:dyDescent="0.25">
      <c r="A199" s="5" t="s">
        <v>166</v>
      </c>
      <c r="B199" s="6">
        <v>9</v>
      </c>
      <c r="C199" s="10"/>
      <c r="D199" s="7"/>
      <c r="E199" s="8"/>
      <c r="F199" s="8"/>
      <c r="G199" s="9">
        <v>500</v>
      </c>
      <c r="H199" s="26">
        <f t="shared" si="6"/>
        <v>0</v>
      </c>
      <c r="I199" s="7"/>
      <c r="J199" s="7"/>
      <c r="K199" s="7"/>
      <c r="L199" s="7">
        <v>5</v>
      </c>
      <c r="M199" s="7"/>
      <c r="N199" s="7">
        <f t="shared" si="7"/>
        <v>9</v>
      </c>
      <c r="O199" s="7">
        <f t="shared" si="8"/>
        <v>0</v>
      </c>
      <c r="P199" s="7"/>
    </row>
    <row r="200" spans="1:16" x14ac:dyDescent="0.25">
      <c r="A200" s="5" t="s">
        <v>248</v>
      </c>
      <c r="B200" s="6">
        <v>2</v>
      </c>
      <c r="C200" s="10"/>
      <c r="D200" s="7"/>
      <c r="E200" s="8"/>
      <c r="F200" s="8"/>
      <c r="G200" s="9">
        <v>2000</v>
      </c>
      <c r="H200" s="26">
        <f t="shared" si="6"/>
        <v>0</v>
      </c>
      <c r="I200" s="7"/>
      <c r="J200" s="7"/>
      <c r="K200" s="7"/>
      <c r="L200" s="7">
        <v>280</v>
      </c>
      <c r="M200" s="7"/>
      <c r="N200" s="7">
        <f t="shared" si="7"/>
        <v>2</v>
      </c>
      <c r="O200" s="7">
        <f t="shared" si="8"/>
        <v>0</v>
      </c>
      <c r="P200" s="7"/>
    </row>
    <row r="201" spans="1:16" x14ac:dyDescent="0.25">
      <c r="A201" s="5" t="s">
        <v>249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240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250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220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102</v>
      </c>
      <c r="B203" s="6">
        <v>8</v>
      </c>
      <c r="C203" s="10"/>
      <c r="D203" s="7"/>
      <c r="E203" s="8"/>
      <c r="F203" s="8"/>
      <c r="G203" s="9">
        <v>500</v>
      </c>
      <c r="H203" s="26">
        <f t="shared" si="6"/>
        <v>0</v>
      </c>
      <c r="I203" s="7"/>
      <c r="J203" s="7"/>
      <c r="K203" s="7"/>
      <c r="L203" s="7">
        <v>20</v>
      </c>
      <c r="M203" s="7"/>
      <c r="N203" s="7">
        <f t="shared" si="7"/>
        <v>8</v>
      </c>
      <c r="O203" s="7">
        <f t="shared" si="8"/>
        <v>0</v>
      </c>
      <c r="P203" s="7"/>
    </row>
    <row r="204" spans="1:16" x14ac:dyDescent="0.25">
      <c r="A204" s="5" t="s">
        <v>282</v>
      </c>
      <c r="B204" s="6">
        <v>24</v>
      </c>
      <c r="C204" s="10"/>
      <c r="D204" s="7"/>
      <c r="E204" s="8"/>
      <c r="F204" s="8"/>
      <c r="G204" s="9">
        <v>200</v>
      </c>
      <c r="H204" s="26">
        <f t="shared" si="6"/>
        <v>0</v>
      </c>
      <c r="I204" s="7"/>
      <c r="J204" s="7"/>
      <c r="K204" s="7"/>
      <c r="L204" s="7">
        <v>5</v>
      </c>
      <c r="M204" s="7"/>
      <c r="N204" s="7">
        <f t="shared" si="7"/>
        <v>24</v>
      </c>
      <c r="O204" s="7">
        <f t="shared" si="8"/>
        <v>0</v>
      </c>
      <c r="P204" s="7"/>
    </row>
    <row r="205" spans="1:16" x14ac:dyDescent="0.25">
      <c r="A205" s="5" t="s">
        <v>253</v>
      </c>
      <c r="B205" s="6">
        <v>0</v>
      </c>
      <c r="C205" s="10"/>
      <c r="D205" s="7"/>
      <c r="E205" s="8"/>
      <c r="F205" s="8"/>
      <c r="G205" s="9">
        <v>1000</v>
      </c>
      <c r="H205" s="26">
        <f t="shared" si="6"/>
        <v>0</v>
      </c>
      <c r="I205" s="7"/>
      <c r="J205" s="7">
        <v>30</v>
      </c>
      <c r="K205" s="7"/>
      <c r="L205" s="7">
        <v>45</v>
      </c>
      <c r="M205" s="7"/>
      <c r="N205" s="7">
        <f t="shared" si="7"/>
        <v>0</v>
      </c>
      <c r="O205" s="7">
        <f t="shared" si="8"/>
        <v>0</v>
      </c>
      <c r="P205" s="7"/>
    </row>
    <row r="206" spans="1:16" x14ac:dyDescent="0.25">
      <c r="A206" s="5" t="s">
        <v>152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/>
      <c r="K206" s="7"/>
      <c r="L206" s="7">
        <v>50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103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65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264</v>
      </c>
      <c r="B208" s="6">
        <v>2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>
        <v>26</v>
      </c>
      <c r="K208" s="7"/>
      <c r="L208" s="7">
        <v>45</v>
      </c>
      <c r="M208" s="7"/>
      <c r="N208" s="7">
        <f t="shared" si="7"/>
        <v>2</v>
      </c>
      <c r="O208" s="7">
        <f t="shared" si="8"/>
        <v>0</v>
      </c>
      <c r="P208" s="7"/>
    </row>
    <row r="209" spans="1:16" x14ac:dyDescent="0.25">
      <c r="A209" s="5" t="s">
        <v>245</v>
      </c>
      <c r="B209" s="6">
        <v>2</v>
      </c>
      <c r="C209" s="10"/>
      <c r="D209" s="7"/>
      <c r="E209" s="8"/>
      <c r="F209" s="8"/>
      <c r="G209" s="9">
        <v>3000</v>
      </c>
      <c r="H209" s="26">
        <f t="shared" si="6"/>
        <v>0</v>
      </c>
      <c r="I209" s="7"/>
      <c r="J209" s="7">
        <v>60</v>
      </c>
      <c r="K209" s="7"/>
      <c r="L209" s="7">
        <v>140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104</v>
      </c>
      <c r="B210" s="6">
        <v>2</v>
      </c>
      <c r="C210" s="10"/>
      <c r="D210" s="7"/>
      <c r="E210" s="8"/>
      <c r="F210" s="8"/>
      <c r="G210" s="9">
        <v>1000</v>
      </c>
      <c r="H210" s="26">
        <f t="shared" si="6"/>
        <v>0</v>
      </c>
      <c r="I210" s="7"/>
      <c r="J210" s="7">
        <v>42</v>
      </c>
      <c r="K210" s="7"/>
      <c r="L210" s="7">
        <v>70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293</v>
      </c>
      <c r="B211" s="6">
        <v>20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/>
      <c r="K211" s="7"/>
      <c r="L211" s="7">
        <v>110</v>
      </c>
      <c r="M211" s="7"/>
      <c r="N211" s="7">
        <f t="shared" si="7"/>
        <v>20</v>
      </c>
      <c r="O211" s="7">
        <f t="shared" si="8"/>
        <v>0</v>
      </c>
      <c r="P211" s="7"/>
    </row>
    <row r="212" spans="1:16" x14ac:dyDescent="0.25">
      <c r="A212" s="5" t="s">
        <v>225</v>
      </c>
      <c r="B212" s="6">
        <v>0</v>
      </c>
      <c r="C212" s="10"/>
      <c r="D212" s="7"/>
      <c r="E212" s="8"/>
      <c r="F212" s="8"/>
      <c r="G212" s="9">
        <v>1000</v>
      </c>
      <c r="H212" s="26"/>
      <c r="I212" s="7"/>
      <c r="J212" s="7"/>
      <c r="K212" s="7"/>
      <c r="L212" s="7">
        <v>70</v>
      </c>
      <c r="M212" s="7"/>
      <c r="N212" s="7">
        <f t="shared" si="7"/>
        <v>0</v>
      </c>
      <c r="O212" s="7">
        <f t="shared" si="8"/>
        <v>0</v>
      </c>
      <c r="P212" s="7"/>
    </row>
    <row r="213" spans="1:16" x14ac:dyDescent="0.25">
      <c r="A213" s="5" t="s">
        <v>266</v>
      </c>
      <c r="B213" s="6">
        <v>0</v>
      </c>
      <c r="C213" s="10"/>
      <c r="D213" s="7"/>
      <c r="E213" s="8"/>
      <c r="F213" s="8"/>
      <c r="G213" s="9">
        <v>1000</v>
      </c>
      <c r="H213" s="26"/>
      <c r="I213" s="7"/>
      <c r="J213" s="7"/>
      <c r="K213" s="7"/>
      <c r="L213" s="7">
        <v>75</v>
      </c>
      <c r="M213" s="7"/>
      <c r="N213" s="7">
        <f t="shared" si="7"/>
        <v>0</v>
      </c>
      <c r="O213" s="7">
        <f t="shared" si="8"/>
        <v>0</v>
      </c>
      <c r="P213" s="7"/>
    </row>
    <row r="214" spans="1:16" x14ac:dyDescent="0.25">
      <c r="A214" s="5" t="s">
        <v>105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90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25">
      <c r="A215" s="5" t="s">
        <v>265</v>
      </c>
      <c r="B215" s="6">
        <v>5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45</v>
      </c>
      <c r="M215" s="7"/>
      <c r="N215" s="7">
        <f t="shared" si="7"/>
        <v>5</v>
      </c>
      <c r="O215" s="7">
        <f t="shared" si="8"/>
        <v>0</v>
      </c>
      <c r="P215" s="7"/>
    </row>
    <row r="216" spans="1:16" x14ac:dyDescent="0.25">
      <c r="A216" s="5" t="s">
        <v>195</v>
      </c>
      <c r="B216" s="6">
        <v>1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</v>
      </c>
      <c r="O216" s="7">
        <f t="shared" si="8"/>
        <v>0</v>
      </c>
      <c r="P216" s="7"/>
    </row>
    <row r="217" spans="1:16" x14ac:dyDescent="0.25">
      <c r="A217" s="5" t="s">
        <v>106</v>
      </c>
      <c r="B217" s="6">
        <v>2</v>
      </c>
      <c r="C217" s="7"/>
      <c r="D217" s="7"/>
      <c r="E217" s="8"/>
      <c r="F217" s="8"/>
      <c r="G217" s="9">
        <v>2000</v>
      </c>
      <c r="H217" s="26">
        <f t="shared" si="6"/>
        <v>0</v>
      </c>
      <c r="I217" s="7"/>
      <c r="J217" s="7">
        <v>40</v>
      </c>
      <c r="K217" s="7"/>
      <c r="L217" s="7">
        <v>50</v>
      </c>
      <c r="M217" s="7"/>
      <c r="N217" s="7">
        <f t="shared" si="7"/>
        <v>2</v>
      </c>
      <c r="O217" s="7">
        <f t="shared" si="8"/>
        <v>0</v>
      </c>
      <c r="P217" s="7"/>
    </row>
    <row r="218" spans="1:16" x14ac:dyDescent="0.25">
      <c r="A218" s="5" t="s">
        <v>192</v>
      </c>
      <c r="B218" s="6">
        <v>0</v>
      </c>
      <c r="C218" s="7"/>
      <c r="D218" s="7"/>
      <c r="E218" s="8"/>
      <c r="F218" s="8"/>
      <c r="G218" s="9">
        <v>3000</v>
      </c>
      <c r="H218" s="26">
        <f t="shared" si="6"/>
        <v>0</v>
      </c>
      <c r="I218" s="7"/>
      <c r="J218" s="7"/>
      <c r="K218" s="7"/>
      <c r="L218" s="7">
        <v>500</v>
      </c>
      <c r="M218" s="7"/>
      <c r="N218" s="7">
        <f t="shared" si="7"/>
        <v>0</v>
      </c>
      <c r="O218" s="7">
        <f t="shared" si="8"/>
        <v>0</v>
      </c>
      <c r="P218" s="7"/>
    </row>
    <row r="219" spans="1:16" x14ac:dyDescent="0.25">
      <c r="A219" s="5" t="s">
        <v>202</v>
      </c>
      <c r="B219" s="6">
        <v>7</v>
      </c>
      <c r="C219" s="7"/>
      <c r="D219" s="7"/>
      <c r="E219" s="8"/>
      <c r="F219" s="8"/>
      <c r="G219" s="9"/>
      <c r="H219" s="26"/>
      <c r="I219" s="7"/>
      <c r="J219" s="7"/>
      <c r="K219" s="7"/>
      <c r="L219" s="7"/>
      <c r="M219" s="7"/>
      <c r="N219" s="7">
        <f t="shared" si="7"/>
        <v>7</v>
      </c>
      <c r="O219" s="7"/>
      <c r="P219" s="7"/>
    </row>
    <row r="220" spans="1:16" x14ac:dyDescent="0.25">
      <c r="A220" s="5" t="s">
        <v>205</v>
      </c>
      <c r="B220" s="6">
        <v>0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0</v>
      </c>
      <c r="O220" s="7"/>
      <c r="P220" s="7"/>
    </row>
    <row r="221" spans="1:16" x14ac:dyDescent="0.25">
      <c r="A221" s="5" t="s">
        <v>169</v>
      </c>
      <c r="B221" s="6">
        <v>102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102</v>
      </c>
      <c r="O221" s="7"/>
      <c r="P221" s="7"/>
    </row>
    <row r="222" spans="1:16" x14ac:dyDescent="0.25">
      <c r="A222" s="5" t="s">
        <v>170</v>
      </c>
      <c r="B222" s="6">
        <v>0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0</v>
      </c>
      <c r="O222" s="7"/>
      <c r="P222" s="7"/>
    </row>
    <row r="223" spans="1:16" x14ac:dyDescent="0.25">
      <c r="A223" s="5" t="s">
        <v>206</v>
      </c>
      <c r="B223" s="6">
        <v>52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52</v>
      </c>
      <c r="O223" s="7"/>
      <c r="P223" s="7"/>
    </row>
    <row r="224" spans="1:16" x14ac:dyDescent="0.25">
      <c r="A224" s="5" t="s">
        <v>171</v>
      </c>
      <c r="B224" s="6">
        <v>7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7</v>
      </c>
      <c r="O224" s="7"/>
      <c r="P224" s="7"/>
    </row>
    <row r="225" spans="1:16" x14ac:dyDescent="0.25">
      <c r="A225" s="5" t="s">
        <v>204</v>
      </c>
      <c r="B225" s="6">
        <v>38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38</v>
      </c>
      <c r="O225" s="7"/>
      <c r="P225" s="7"/>
    </row>
    <row r="226" spans="1:16" x14ac:dyDescent="0.25">
      <c r="A226" s="5" t="s">
        <v>203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207</v>
      </c>
      <c r="B227" s="6">
        <v>0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0</v>
      </c>
      <c r="O227" s="7"/>
      <c r="P227" s="7"/>
    </row>
    <row r="228" spans="1:16" x14ac:dyDescent="0.25">
      <c r="A228" s="12" t="s">
        <v>107</v>
      </c>
      <c r="B228" s="13">
        <v>1011</v>
      </c>
      <c r="C228" s="14"/>
      <c r="D228" s="14"/>
      <c r="E228" s="15"/>
      <c r="F228" s="15"/>
      <c r="G228" s="16"/>
      <c r="H228" s="27">
        <f>SUM(H2:H218)</f>
        <v>14000</v>
      </c>
      <c r="I228" s="17">
        <f>SUM(I2:I217)</f>
        <v>3600</v>
      </c>
      <c r="J228" s="17"/>
      <c r="K228" s="17">
        <f>SUM(K2:K217)</f>
        <v>0</v>
      </c>
      <c r="L228" s="17"/>
      <c r="M228" s="17"/>
      <c r="N228" s="17">
        <f>SUM(N2:N227)</f>
        <v>1006</v>
      </c>
      <c r="O228" s="17">
        <f>SUM(O2:O227)</f>
        <v>885</v>
      </c>
      <c r="P228" s="17">
        <f>SUM(P2:P227)</f>
        <v>-10</v>
      </c>
    </row>
    <row r="229" spans="1:16" x14ac:dyDescent="0.25">
      <c r="A229" s="18" t="s">
        <v>108</v>
      </c>
      <c r="B229" s="18">
        <f>O228</f>
        <v>885</v>
      </c>
      <c r="C229" s="2" t="s">
        <v>109</v>
      </c>
      <c r="D229" s="2" t="s">
        <v>110</v>
      </c>
      <c r="N229" s="28"/>
    </row>
    <row r="230" spans="1:16" x14ac:dyDescent="0.25">
      <c r="A230" s="19" t="s">
        <v>111</v>
      </c>
      <c r="B230" s="20">
        <f>(C230+D230)/670</f>
        <v>229.53731343283582</v>
      </c>
      <c r="C230" s="8">
        <v>50940</v>
      </c>
      <c r="D230" s="8">
        <v>102850</v>
      </c>
    </row>
    <row r="231" spans="1:16" x14ac:dyDescent="0.25">
      <c r="A231" s="19" t="s">
        <v>14</v>
      </c>
      <c r="B231" s="21">
        <v>150</v>
      </c>
      <c r="C231" s="8" t="s">
        <v>126</v>
      </c>
      <c r="D231" s="8"/>
    </row>
    <row r="232" spans="1:16" x14ac:dyDescent="0.25">
      <c r="A232" s="19" t="s">
        <v>112</v>
      </c>
      <c r="B232" s="20">
        <f>D232/670</f>
        <v>0</v>
      </c>
      <c r="C232" s="8"/>
      <c r="D232" s="8"/>
    </row>
    <row r="233" spans="1:16" x14ac:dyDescent="0.25">
      <c r="A233" s="19" t="s">
        <v>113</v>
      </c>
      <c r="B233" s="20"/>
      <c r="C233" s="8"/>
      <c r="D233" s="8"/>
    </row>
    <row r="234" spans="1:16" x14ac:dyDescent="0.25">
      <c r="A234" s="12" t="s">
        <v>114</v>
      </c>
      <c r="B234" s="22">
        <f>B229+B230+B232+B233+B231</f>
        <v>1264.5373134328358</v>
      </c>
      <c r="C234" s="8"/>
      <c r="D234" s="8"/>
    </row>
    <row r="235" spans="1:16" x14ac:dyDescent="0.25">
      <c r="A235" s="19" t="s">
        <v>6</v>
      </c>
      <c r="B235" s="20">
        <f>D235/670</f>
        <v>132.61194029850745</v>
      </c>
      <c r="C235" s="8"/>
      <c r="D235" s="8">
        <v>88850</v>
      </c>
    </row>
    <row r="236" spans="1:16" x14ac:dyDescent="0.25">
      <c r="A236" s="19" t="s">
        <v>115</v>
      </c>
      <c r="B236" s="20">
        <f>C236/670</f>
        <v>5.3731343283582094</v>
      </c>
      <c r="C236" s="8">
        <v>3600</v>
      </c>
      <c r="D236" s="8"/>
    </row>
    <row r="237" spans="1:16" x14ac:dyDescent="0.25">
      <c r="A237" s="19" t="s">
        <v>64</v>
      </c>
      <c r="B237" s="20">
        <f>C237/670</f>
        <v>3.7313432835820897</v>
      </c>
      <c r="C237" s="8">
        <v>2500</v>
      </c>
      <c r="D237" s="8"/>
    </row>
    <row r="238" spans="1:16" x14ac:dyDescent="0.25">
      <c r="A238" s="19" t="s">
        <v>116</v>
      </c>
      <c r="B238" s="20"/>
      <c r="C238" s="8"/>
      <c r="D238" s="8"/>
    </row>
    <row r="239" spans="1:16" x14ac:dyDescent="0.25">
      <c r="A239" s="12" t="s">
        <v>117</v>
      </c>
      <c r="B239" s="20">
        <f>B235+B236+B237+B238</f>
        <v>141.71641791044775</v>
      </c>
      <c r="C239" s="8"/>
      <c r="D239" s="8"/>
    </row>
    <row r="240" spans="1:16" x14ac:dyDescent="0.25">
      <c r="A240" s="12" t="s">
        <v>118</v>
      </c>
      <c r="B240" s="22">
        <f>B234-B239</f>
        <v>1122.8208955223881</v>
      </c>
      <c r="C240" s="8"/>
      <c r="D240" s="8"/>
    </row>
    <row r="241" spans="1:6" x14ac:dyDescent="0.25">
      <c r="A241" s="19" t="s">
        <v>119</v>
      </c>
      <c r="B241" s="20">
        <f>C241/670</f>
        <v>0</v>
      </c>
      <c r="C241" s="8"/>
      <c r="D241" s="8"/>
    </row>
    <row r="242" spans="1:6" x14ac:dyDescent="0.25">
      <c r="A242" s="19" t="s">
        <v>120</v>
      </c>
      <c r="B242" s="20"/>
      <c r="C242" s="8"/>
      <c r="D242" s="8"/>
    </row>
    <row r="243" spans="1:6" x14ac:dyDescent="0.25">
      <c r="A243" s="19" t="s">
        <v>121</v>
      </c>
      <c r="B243" s="20">
        <f>C243/2</f>
        <v>0</v>
      </c>
      <c r="C243" s="8"/>
      <c r="D243" s="8"/>
    </row>
    <row r="244" spans="1:6" x14ac:dyDescent="0.25">
      <c r="A244" s="12" t="s">
        <v>122</v>
      </c>
      <c r="B244" s="22">
        <f>B241+B242+B243</f>
        <v>0</v>
      </c>
      <c r="C244" s="8"/>
      <c r="D244" s="8"/>
    </row>
    <row r="245" spans="1:6" x14ac:dyDescent="0.25">
      <c r="A245" s="19" t="s">
        <v>123</v>
      </c>
      <c r="B245" s="20">
        <v>905</v>
      </c>
      <c r="C245" s="8"/>
      <c r="D245" s="8"/>
    </row>
    <row r="246" spans="1:6" x14ac:dyDescent="0.25">
      <c r="A246" s="19" t="s">
        <v>36</v>
      </c>
      <c r="B246" s="20"/>
      <c r="C246" s="8"/>
      <c r="D246" s="8"/>
    </row>
    <row r="247" spans="1:6" x14ac:dyDescent="0.25">
      <c r="A247" s="19" t="s">
        <v>124</v>
      </c>
      <c r="B247" s="20">
        <f>C247/2.3</f>
        <v>0</v>
      </c>
      <c r="C247" s="8"/>
      <c r="D247" s="8"/>
    </row>
    <row r="248" spans="1:6" x14ac:dyDescent="0.25">
      <c r="A248" s="19" t="s">
        <v>125</v>
      </c>
      <c r="B248" s="20">
        <f>C248/670</f>
        <v>196.92537313432837</v>
      </c>
      <c r="C248" s="8">
        <v>131940</v>
      </c>
      <c r="D248" s="8"/>
      <c r="F248" t="s">
        <v>126</v>
      </c>
    </row>
    <row r="249" spans="1:6" x14ac:dyDescent="0.25">
      <c r="A249" s="19" t="s">
        <v>127</v>
      </c>
      <c r="B249" s="20">
        <f>D249/670</f>
        <v>20.895522388059703</v>
      </c>
      <c r="C249" s="8"/>
      <c r="D249" s="8">
        <v>14000</v>
      </c>
    </row>
    <row r="250" spans="1:6" x14ac:dyDescent="0.25">
      <c r="A250" s="12" t="s">
        <v>128</v>
      </c>
      <c r="B250" s="22">
        <f>B245+B246+B247+B248+B249</f>
        <v>1122.8208955223881</v>
      </c>
      <c r="C250" s="8"/>
      <c r="D250" s="8"/>
    </row>
    <row r="251" spans="1:6" x14ac:dyDescent="0.25">
      <c r="A251" s="19" t="s">
        <v>129</v>
      </c>
      <c r="B251" s="20">
        <f>C251/670</f>
        <v>0</v>
      </c>
      <c r="C251" s="8"/>
      <c r="D251" s="8"/>
    </row>
    <row r="252" spans="1:6" x14ac:dyDescent="0.25">
      <c r="A252" s="12" t="s">
        <v>107</v>
      </c>
      <c r="B252" s="22">
        <f>B251</f>
        <v>0</v>
      </c>
      <c r="C252" s="8"/>
      <c r="D252" s="8"/>
    </row>
    <row r="253" spans="1:6" x14ac:dyDescent="0.25">
      <c r="A253" s="12" t="s">
        <v>130</v>
      </c>
      <c r="B253" s="20">
        <f>B240-B244-B250-B252</f>
        <v>0</v>
      </c>
      <c r="C253" s="8" t="s">
        <v>126</v>
      </c>
      <c r="D253" s="8"/>
    </row>
    <row r="255" spans="1:6" x14ac:dyDescent="0.25">
      <c r="A255" s="12" t="s">
        <v>131</v>
      </c>
      <c r="B255" s="23" t="s">
        <v>10</v>
      </c>
    </row>
    <row r="256" spans="1:6" x14ac:dyDescent="0.25">
      <c r="A256" s="12" t="s">
        <v>132</v>
      </c>
      <c r="B256" s="7"/>
    </row>
    <row r="257" spans="1:2" x14ac:dyDescent="0.25">
      <c r="A257" s="19" t="s">
        <v>133</v>
      </c>
      <c r="B257" s="7"/>
    </row>
    <row r="258" spans="1:2" x14ac:dyDescent="0.25">
      <c r="A258" s="12" t="s">
        <v>134</v>
      </c>
      <c r="B258" s="17">
        <f>B256-B257</f>
        <v>0</v>
      </c>
    </row>
    <row r="259" spans="1:2" x14ac:dyDescent="0.25">
      <c r="A259" s="12" t="s">
        <v>135</v>
      </c>
      <c r="B259" s="17">
        <f>B260+B261+B262+B263+B264+B265+B266+B267</f>
        <v>0</v>
      </c>
    </row>
    <row r="260" spans="1:2" x14ac:dyDescent="0.25">
      <c r="A260" s="19" t="s">
        <v>136</v>
      </c>
      <c r="B260" s="7"/>
    </row>
    <row r="261" spans="1:2" x14ac:dyDescent="0.25">
      <c r="A261" s="19" t="s">
        <v>137</v>
      </c>
      <c r="B261" s="7"/>
    </row>
    <row r="262" spans="1:2" x14ac:dyDescent="0.25">
      <c r="A262" s="19" t="s">
        <v>138</v>
      </c>
      <c r="B262" s="7"/>
    </row>
    <row r="263" spans="1:2" x14ac:dyDescent="0.25">
      <c r="A263" s="19" t="s">
        <v>139</v>
      </c>
      <c r="B263" s="7"/>
    </row>
    <row r="264" spans="1:2" x14ac:dyDescent="0.25">
      <c r="A264" s="19" t="s">
        <v>140</v>
      </c>
      <c r="B264" s="7"/>
    </row>
    <row r="265" spans="1:2" x14ac:dyDescent="0.25">
      <c r="A265" s="19" t="s">
        <v>141</v>
      </c>
      <c r="B265" s="7"/>
    </row>
    <row r="266" spans="1:2" x14ac:dyDescent="0.25">
      <c r="A266" s="19" t="s">
        <v>142</v>
      </c>
      <c r="B266" s="7"/>
    </row>
    <row r="267" spans="1:2" x14ac:dyDescent="0.25">
      <c r="A267" s="19" t="s">
        <v>143</v>
      </c>
      <c r="B267" s="7"/>
    </row>
    <row r="268" spans="1:2" x14ac:dyDescent="0.25">
      <c r="A268" s="12" t="s">
        <v>144</v>
      </c>
      <c r="B268" s="17">
        <f>B269+B270+B271</f>
        <v>0</v>
      </c>
    </row>
    <row r="269" spans="1:2" x14ac:dyDescent="0.25">
      <c r="A269" s="19" t="s">
        <v>145</v>
      </c>
      <c r="B269" s="7"/>
    </row>
    <row r="270" spans="1:2" x14ac:dyDescent="0.25">
      <c r="A270" s="19" t="s">
        <v>146</v>
      </c>
      <c r="B270" s="7"/>
    </row>
    <row r="271" spans="1:2" x14ac:dyDescent="0.25">
      <c r="A271" s="19" t="s">
        <v>147</v>
      </c>
      <c r="B271" s="7"/>
    </row>
    <row r="272" spans="1:2" x14ac:dyDescent="0.25">
      <c r="A272" s="12" t="s">
        <v>148</v>
      </c>
      <c r="B272" s="17">
        <f>B258-B259-B268</f>
        <v>0</v>
      </c>
    </row>
    <row r="278" spans="1:5" x14ac:dyDescent="0.25">
      <c r="A278" s="24"/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5"/>
      <c r="B285" s="25"/>
      <c r="C285" s="25"/>
      <c r="D285" s="25"/>
      <c r="E285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9608-D9D4-4ABF-97BF-356C072E42EC}">
  <dimension ref="A1:Y286"/>
  <sheetViews>
    <sheetView zoomScale="80" zoomScaleNormal="80" workbookViewId="0">
      <pane ySplit="1" topLeftCell="A29" activePane="bottomLeft" state="frozen"/>
      <selection pane="bottomLeft" activeCell="A176" sqref="A176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193</v>
      </c>
      <c r="C3" s="7"/>
      <c r="D3" s="7">
        <v>100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2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1500</v>
      </c>
      <c r="M4" s="7"/>
      <c r="N4" s="7">
        <f>B4+C4-D4-E4-F4</f>
        <v>2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300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1</v>
      </c>
      <c r="C16" s="7"/>
      <c r="D16" s="7"/>
      <c r="E16" s="8"/>
      <c r="F16" s="8"/>
      <c r="G16" s="9">
        <v>5000</v>
      </c>
      <c r="H16" s="26">
        <f t="shared" si="0"/>
        <v>0</v>
      </c>
      <c r="I16" s="7"/>
      <c r="J16" s="7"/>
      <c r="K16" s="7"/>
      <c r="L16" s="7">
        <v>2600</v>
      </c>
      <c r="M16" s="7"/>
      <c r="N16" s="7">
        <f t="shared" si="2"/>
        <v>1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3</v>
      </c>
      <c r="C25" s="7">
        <v>3</v>
      </c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 t="s">
        <v>304</v>
      </c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2</v>
      </c>
      <c r="C26" s="7">
        <v>3</v>
      </c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 t="s">
        <v>304</v>
      </c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2</v>
      </c>
      <c r="C27" s="7">
        <v>3</v>
      </c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 t="s">
        <v>304</v>
      </c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1</v>
      </c>
      <c r="C28" s="7">
        <v>3</v>
      </c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 t="s">
        <v>304</v>
      </c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2</v>
      </c>
      <c r="C29" s="7">
        <v>2</v>
      </c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 t="s">
        <v>304</v>
      </c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/>
      <c r="C30" s="7">
        <v>3</v>
      </c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 t="s">
        <v>304</v>
      </c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820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0</v>
      </c>
      <c r="C55" s="7">
        <v>2</v>
      </c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 t="s">
        <v>304</v>
      </c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272</v>
      </c>
      <c r="B78" s="6">
        <v>3</v>
      </c>
      <c r="C78" s="10"/>
      <c r="D78" s="7"/>
      <c r="E78" s="8"/>
      <c r="F78" s="8"/>
      <c r="G78" s="9">
        <v>5000</v>
      </c>
      <c r="H78" s="26">
        <f t="shared" si="3"/>
        <v>0</v>
      </c>
      <c r="I78" s="7"/>
      <c r="J78" s="7"/>
      <c r="K78" s="7"/>
      <c r="L78" s="7">
        <v>550</v>
      </c>
      <c r="M78" s="7"/>
      <c r="N78" s="7">
        <f t="shared" si="2"/>
        <v>3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500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1</v>
      </c>
      <c r="C93" s="10">
        <v>2</v>
      </c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 t="s">
        <v>304</v>
      </c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0</v>
      </c>
      <c r="C95" s="10">
        <v>2</v>
      </c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 t="s">
        <v>304</v>
      </c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5</v>
      </c>
      <c r="C100" s="10">
        <v>7</v>
      </c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 t="s">
        <v>304</v>
      </c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4</v>
      </c>
      <c r="C110" s="10"/>
      <c r="D110" s="7"/>
      <c r="E110" s="8">
        <v>1</v>
      </c>
      <c r="F110" s="8"/>
      <c r="G110" s="9">
        <v>2000</v>
      </c>
      <c r="H110" s="26">
        <f t="shared" si="3"/>
        <v>2000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100</v>
      </c>
      <c r="P110" s="7" t="s">
        <v>247</v>
      </c>
    </row>
    <row r="111" spans="1:21" x14ac:dyDescent="0.25">
      <c r="A111" s="5" t="s">
        <v>311</v>
      </c>
      <c r="B111" s="6">
        <v>0</v>
      </c>
      <c r="C111" s="10">
        <v>1</v>
      </c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 t="s">
        <v>304</v>
      </c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5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5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6</v>
      </c>
      <c r="C145" s="10"/>
      <c r="D145" s="7"/>
      <c r="E145" s="8">
        <v>2</v>
      </c>
      <c r="F145" s="8"/>
      <c r="G145" s="9">
        <v>1000</v>
      </c>
      <c r="H145" s="26">
        <f t="shared" si="6"/>
        <v>2000</v>
      </c>
      <c r="I145" s="7">
        <v>2200</v>
      </c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130</v>
      </c>
      <c r="P145" s="7">
        <v>-1</v>
      </c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5</v>
      </c>
      <c r="C152" s="10"/>
      <c r="D152" s="7"/>
      <c r="E152" s="8">
        <v>1</v>
      </c>
      <c r="F152" s="8"/>
      <c r="G152" s="9">
        <v>1000</v>
      </c>
      <c r="H152" s="26">
        <f t="shared" si="6"/>
        <v>1000</v>
      </c>
      <c r="I152" s="7">
        <v>700</v>
      </c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60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3</v>
      </c>
      <c r="C157" s="10"/>
      <c r="D157" s="7"/>
      <c r="E157" s="8">
        <v>2</v>
      </c>
      <c r="F157" s="8"/>
      <c r="G157" s="9">
        <v>1000</v>
      </c>
      <c r="H157" s="26">
        <f t="shared" si="6"/>
        <v>2000</v>
      </c>
      <c r="I157" s="7">
        <v>2200</v>
      </c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120</v>
      </c>
      <c r="P157" s="7"/>
    </row>
    <row r="158" spans="1:16" x14ac:dyDescent="0.25">
      <c r="A158" s="5" t="s">
        <v>221</v>
      </c>
      <c r="B158" s="6">
        <v>4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4</v>
      </c>
      <c r="O158" s="7"/>
      <c r="P158" s="7">
        <v>-1</v>
      </c>
    </row>
    <row r="159" spans="1:16" x14ac:dyDescent="0.25">
      <c r="A159" s="5" t="s">
        <v>220</v>
      </c>
      <c r="B159" s="6">
        <v>4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4</v>
      </c>
      <c r="O159" s="7">
        <f t="shared" si="5"/>
        <v>0</v>
      </c>
      <c r="P159" s="7">
        <v>-1</v>
      </c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14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/>
      <c r="N163" s="7">
        <f t="shared" ref="N163:N228" si="7">B163+C163-D163-E163-F163</f>
        <v>14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280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 t="s">
        <v>303</v>
      </c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>
        <v>4</v>
      </c>
      <c r="D170" s="7"/>
      <c r="E170" s="8">
        <v>1</v>
      </c>
      <c r="F170" s="8"/>
      <c r="G170" s="9">
        <v>4000</v>
      </c>
      <c r="H170" s="26"/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400</v>
      </c>
      <c r="P170" s="7" t="s">
        <v>304</v>
      </c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0</v>
      </c>
      <c r="C174" s="10">
        <v>1</v>
      </c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 t="s">
        <v>304</v>
      </c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0</v>
      </c>
      <c r="C176" s="10">
        <v>2</v>
      </c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 t="s">
        <v>304</v>
      </c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6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6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1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1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0</v>
      </c>
      <c r="C213" s="10">
        <v>10</v>
      </c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 t="s">
        <v>304</v>
      </c>
    </row>
    <row r="214" spans="1:16" x14ac:dyDescent="0.25">
      <c r="A214" s="5" t="s">
        <v>266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1006</v>
      </c>
      <c r="C229" s="14"/>
      <c r="D229" s="14"/>
      <c r="E229" s="15"/>
      <c r="F229" s="15"/>
      <c r="G229" s="16"/>
      <c r="H229" s="27">
        <f>SUM(H2:H219)</f>
        <v>7000</v>
      </c>
      <c r="I229" s="17">
        <f>SUM(I2:I218)</f>
        <v>5800</v>
      </c>
      <c r="J229" s="17"/>
      <c r="K229" s="17">
        <f>SUM(K2:K218)</f>
        <v>0</v>
      </c>
      <c r="L229" s="17"/>
      <c r="M229" s="17"/>
      <c r="N229" s="17">
        <f>SUM(N2:N228)</f>
        <v>947</v>
      </c>
      <c r="O229" s="17">
        <f>SUM(O2:O228)</f>
        <v>810</v>
      </c>
      <c r="P229" s="17">
        <f>SUM(P2:P228)</f>
        <v>-10</v>
      </c>
    </row>
    <row r="230" spans="1:16" x14ac:dyDescent="0.25">
      <c r="A230" s="18" t="s">
        <v>108</v>
      </c>
      <c r="B230" s="18">
        <f>O229</f>
        <v>810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66.925373134328353</v>
      </c>
      <c r="C231" s="8">
        <v>44840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1026.9253731343283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8.656716417910447</v>
      </c>
      <c r="C237" s="8">
        <v>5800</v>
      </c>
      <c r="D237" s="8"/>
    </row>
    <row r="238" spans="1:16" x14ac:dyDescent="0.25">
      <c r="A238" s="19" t="s">
        <v>64</v>
      </c>
      <c r="B238" s="20">
        <f>C238/670</f>
        <v>21.492537313432837</v>
      </c>
      <c r="C238" s="8">
        <v>14400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30.149253731343286</v>
      </c>
      <c r="C240" s="8"/>
      <c r="D240" s="8"/>
    </row>
    <row r="241" spans="1:6" x14ac:dyDescent="0.25">
      <c r="A241" s="12" t="s">
        <v>118</v>
      </c>
      <c r="B241" s="22">
        <f>B235-B240</f>
        <v>996.77611940298505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795</v>
      </c>
      <c r="C246" s="8"/>
      <c r="D246" s="8"/>
    </row>
    <row r="247" spans="1:6" x14ac:dyDescent="0.25">
      <c r="A247" s="19" t="s">
        <v>36</v>
      </c>
      <c r="B247" s="20">
        <v>100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101.77611940298507</v>
      </c>
      <c r="C249" s="8">
        <v>68190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996.77611940298505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3B3E-17C4-4253-AC93-E1BB1D2FE400}">
  <dimension ref="A1:Y286"/>
  <sheetViews>
    <sheetView zoomScale="80" zoomScaleNormal="80" workbookViewId="0">
      <pane ySplit="1" topLeftCell="A176" activePane="bottomLeft" state="frozen"/>
      <selection pane="bottomLeft" activeCell="G239" sqref="G239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2</v>
      </c>
      <c r="C4" s="7"/>
      <c r="D4" s="7"/>
      <c r="E4" s="8">
        <v>2</v>
      </c>
      <c r="F4" s="8"/>
      <c r="G4" s="9">
        <v>5000</v>
      </c>
      <c r="H4" s="26">
        <v>5000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3200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1</v>
      </c>
      <c r="C16" s="7"/>
      <c r="D16" s="7"/>
      <c r="E16" s="8">
        <v>1</v>
      </c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2550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3</v>
      </c>
      <c r="C78" s="10"/>
      <c r="D78" s="7"/>
      <c r="E78" s="8">
        <v>2</v>
      </c>
      <c r="F78" s="8"/>
      <c r="G78" s="9">
        <v>5000</v>
      </c>
      <c r="H78" s="26"/>
      <c r="I78" s="7">
        <v>700</v>
      </c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1600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5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5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4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4</v>
      </c>
      <c r="O158" s="7"/>
      <c r="P158" s="7">
        <v>-1</v>
      </c>
    </row>
    <row r="159" spans="1:16" x14ac:dyDescent="0.25">
      <c r="A159" s="5" t="s">
        <v>220</v>
      </c>
      <c r="B159" s="6">
        <v>4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4</v>
      </c>
      <c r="O159" s="7">
        <f t="shared" si="5"/>
        <v>0</v>
      </c>
      <c r="P159" s="7">
        <v>-1</v>
      </c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14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/>
      <c r="N163" s="7">
        <f t="shared" ref="N163:N228" si="7">B163+C163-D163-E163-F163</f>
        <v>14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280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3</v>
      </c>
      <c r="C170" s="7"/>
      <c r="D170" s="7"/>
      <c r="E170" s="8"/>
      <c r="F170" s="8"/>
      <c r="G170" s="9">
        <v>4000</v>
      </c>
      <c r="H170" s="26"/>
      <c r="I170" s="7"/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6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6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1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1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947</v>
      </c>
      <c r="C229" s="14"/>
      <c r="D229" s="14"/>
      <c r="E229" s="15"/>
      <c r="F229" s="15"/>
      <c r="G229" s="16"/>
      <c r="H229" s="27">
        <f>SUM(H2:H219)</f>
        <v>5000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942</v>
      </c>
      <c r="O229" s="17">
        <f>SUM(O2:O228)</f>
        <v>7350</v>
      </c>
      <c r="P229" s="17">
        <f>SUM(P2:P228)</f>
        <v>-10</v>
      </c>
    </row>
    <row r="230" spans="1:16" x14ac:dyDescent="0.25">
      <c r="A230" s="18" t="s">
        <v>108</v>
      </c>
      <c r="B230" s="18">
        <f>O229</f>
        <v>7350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101.77611940298507</v>
      </c>
      <c r="C231" s="8">
        <v>68190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7601.7761194029854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1.044776119402985</v>
      </c>
      <c r="C237" s="8">
        <v>700</v>
      </c>
      <c r="D237" s="8"/>
    </row>
    <row r="238" spans="1:16" x14ac:dyDescent="0.25">
      <c r="A238" s="19" t="s">
        <v>64</v>
      </c>
      <c r="B238" s="20">
        <f>C238/670</f>
        <v>14.73134328358209</v>
      </c>
      <c r="C238" s="8">
        <v>9870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15.776119402985074</v>
      </c>
      <c r="C240" s="8"/>
      <c r="D240" s="8"/>
    </row>
    <row r="241" spans="1:6" x14ac:dyDescent="0.25">
      <c r="A241" s="12" t="s">
        <v>118</v>
      </c>
      <c r="B241" s="22">
        <f>B235-B240</f>
        <v>7586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5900</v>
      </c>
      <c r="C246" s="8"/>
      <c r="D246" s="8"/>
    </row>
    <row r="247" spans="1:6" x14ac:dyDescent="0.25">
      <c r="A247" s="19" t="s">
        <v>36</v>
      </c>
      <c r="B247" s="20">
        <v>1600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86</v>
      </c>
      <c r="C249" s="8">
        <v>57620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7586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8D45-C90C-4862-AD49-2450828F12F1}">
  <dimension ref="A1:Y286"/>
  <sheetViews>
    <sheetView zoomScale="80" zoomScaleNormal="80" workbookViewId="0">
      <pane ySplit="1" topLeftCell="A200" activePane="bottomLeft" state="frozen"/>
      <selection pane="bottomLeft" activeCell="F230" sqref="F230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3</v>
      </c>
      <c r="C9" s="10">
        <v>7</v>
      </c>
      <c r="D9" s="7">
        <v>2</v>
      </c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 t="s">
        <v>317</v>
      </c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5</v>
      </c>
      <c r="C136" s="10"/>
      <c r="D136" s="7">
        <v>2</v>
      </c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 t="s">
        <v>304</v>
      </c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4</v>
      </c>
      <c r="C158" s="10">
        <v>1</v>
      </c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 t="s">
        <v>318</v>
      </c>
    </row>
    <row r="159" spans="1:16" x14ac:dyDescent="0.25">
      <c r="A159" s="5" t="s">
        <v>220</v>
      </c>
      <c r="B159" s="6">
        <v>4</v>
      </c>
      <c r="C159" s="10">
        <v>1</v>
      </c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 t="s">
        <v>318</v>
      </c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14</v>
      </c>
      <c r="C163" s="7"/>
      <c r="D163" s="7">
        <v>1</v>
      </c>
      <c r="E163" s="8">
        <v>1</v>
      </c>
      <c r="F163" s="8"/>
      <c r="G163" s="9">
        <v>2500</v>
      </c>
      <c r="H163" s="26">
        <f t="shared" si="6"/>
        <v>2500</v>
      </c>
      <c r="I163" s="7">
        <v>700</v>
      </c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260</v>
      </c>
      <c r="P163" s="7" t="s">
        <v>316</v>
      </c>
    </row>
    <row r="164" spans="1:16" x14ac:dyDescent="0.25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3</v>
      </c>
      <c r="C170" s="7"/>
      <c r="D170" s="7"/>
      <c r="E170" s="8"/>
      <c r="F170" s="8"/>
      <c r="G170" s="9">
        <v>4000</v>
      </c>
      <c r="H170" s="26"/>
      <c r="I170" s="7"/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6</v>
      </c>
      <c r="C180" s="10"/>
      <c r="D180" s="7"/>
      <c r="E180" s="8">
        <v>1</v>
      </c>
      <c r="F180" s="8"/>
      <c r="G180" s="9">
        <v>3000</v>
      </c>
      <c r="H180" s="26">
        <f t="shared" si="6"/>
        <v>3000</v>
      </c>
      <c r="I180" s="7">
        <v>700</v>
      </c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295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1</v>
      </c>
      <c r="C185" s="10"/>
      <c r="D185" s="7">
        <v>1</v>
      </c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 t="s">
        <v>304</v>
      </c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0</v>
      </c>
      <c r="C214" s="10">
        <v>6</v>
      </c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 t="s">
        <v>304</v>
      </c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942</v>
      </c>
      <c r="C229" s="14"/>
      <c r="D229" s="14"/>
      <c r="E229" s="15"/>
      <c r="F229" s="15"/>
      <c r="G229" s="16"/>
      <c r="H229" s="27">
        <f>SUM(H2:H219)</f>
        <v>5500</v>
      </c>
      <c r="I229" s="17">
        <f>SUM(I2:I218)</f>
        <v>1400</v>
      </c>
      <c r="J229" s="17"/>
      <c r="K229" s="17">
        <f>SUM(K2:K218)</f>
        <v>0</v>
      </c>
      <c r="L229" s="17"/>
      <c r="M229" s="17"/>
      <c r="N229" s="17">
        <f>SUM(N2:N228)</f>
        <v>949</v>
      </c>
      <c r="O229" s="17">
        <f>SUM(O2:O228)</f>
        <v>555</v>
      </c>
      <c r="P229" s="17">
        <f>SUM(P2:P228)</f>
        <v>-8</v>
      </c>
    </row>
    <row r="230" spans="1:16" x14ac:dyDescent="0.25">
      <c r="A230" s="18" t="s">
        <v>108</v>
      </c>
      <c r="B230" s="18">
        <f>O229</f>
        <v>555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86</v>
      </c>
      <c r="C231" s="8">
        <v>57620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791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2.08955223880597</v>
      </c>
      <c r="C237" s="8">
        <v>1400</v>
      </c>
      <c r="D237" s="8"/>
    </row>
    <row r="238" spans="1:16" x14ac:dyDescent="0.25">
      <c r="A238" s="19" t="s">
        <v>64</v>
      </c>
      <c r="B238" s="20">
        <f>C238/670</f>
        <v>69.28358208955224</v>
      </c>
      <c r="C238" s="8">
        <v>46420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71.373134328358205</v>
      </c>
      <c r="C240" s="8"/>
      <c r="D240" s="8"/>
    </row>
    <row r="241" spans="1:6" x14ac:dyDescent="0.25">
      <c r="A241" s="12" t="s">
        <v>118</v>
      </c>
      <c r="B241" s="22">
        <f>B235-B240</f>
        <v>719.62686567164178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705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14.626865671641792</v>
      </c>
      <c r="C249" s="8">
        <v>9800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719.62686567164178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F77-6EE8-4C9E-88F7-585C4D156FF2}">
  <dimension ref="A1:Y286"/>
  <sheetViews>
    <sheetView zoomScale="80" zoomScaleNormal="80" workbookViewId="0">
      <pane ySplit="1" topLeftCell="A221" activePane="bottomLeft" state="frozen"/>
      <selection pane="bottomLeft" activeCell="F235" sqref="F235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1</v>
      </c>
      <c r="C51" s="7"/>
      <c r="D51" s="7"/>
      <c r="E51" s="8">
        <v>1</v>
      </c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1300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>
        <v>-1</v>
      </c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>
        <v>-1</v>
      </c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3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400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949</v>
      </c>
      <c r="C229" s="14"/>
      <c r="D229" s="14"/>
      <c r="E229" s="15"/>
      <c r="F229" s="15"/>
      <c r="G229" s="16"/>
      <c r="H229" s="27">
        <f>SUM(H2:H219)</f>
        <v>4000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947</v>
      </c>
      <c r="O229" s="17">
        <f>SUM(O2:O228)</f>
        <v>1700</v>
      </c>
      <c r="P229" s="17">
        <f>SUM(P2:P228)</f>
        <v>-10</v>
      </c>
    </row>
    <row r="230" spans="1:16" x14ac:dyDescent="0.25">
      <c r="A230" s="18" t="s">
        <v>108</v>
      </c>
      <c r="B230" s="18">
        <f>O229</f>
        <v>1700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14.626865671641792</v>
      </c>
      <c r="C231" s="8">
        <v>9800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1864.6268656716418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1.044776119402985</v>
      </c>
      <c r="C237" s="8">
        <v>700</v>
      </c>
      <c r="D237" s="8"/>
    </row>
    <row r="238" spans="1:16" x14ac:dyDescent="0.25">
      <c r="A238" s="19" t="s">
        <v>64</v>
      </c>
      <c r="B238" s="20">
        <f>C238/670</f>
        <v>2.9850746268656718</v>
      </c>
      <c r="C238" s="8">
        <v>2000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4.0298507462686572</v>
      </c>
      <c r="C240" s="8"/>
      <c r="D240" s="8"/>
    </row>
    <row r="241" spans="1:6" x14ac:dyDescent="0.25">
      <c r="A241" s="12" t="s">
        <v>118</v>
      </c>
      <c r="B241" s="22">
        <f>B235-B240</f>
        <v>1860.5970149253731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1850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10.597014925373134</v>
      </c>
      <c r="C249" s="8">
        <v>7100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1860.5970149253731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A0A2-6615-407C-9BE0-88415745C77C}">
  <dimension ref="A1:Y286"/>
  <sheetViews>
    <sheetView zoomScale="80" zoomScaleNormal="80" workbookViewId="0">
      <pane ySplit="1" topLeftCell="A209" activePane="bottomLeft" state="frozen"/>
      <selection pane="bottomLeft" activeCell="F232" sqref="F232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4</v>
      </c>
      <c r="C28" s="7"/>
      <c r="D28" s="7"/>
      <c r="E28" s="8">
        <v>1</v>
      </c>
      <c r="F28" s="8"/>
      <c r="G28" s="9">
        <v>2000</v>
      </c>
      <c r="H28" s="26">
        <f t="shared" si="0"/>
        <v>2000</v>
      </c>
      <c r="I28" s="7">
        <v>1500</v>
      </c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185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2</v>
      </c>
      <c r="C95" s="10"/>
      <c r="D95" s="7"/>
      <c r="E95" s="8">
        <v>1</v>
      </c>
      <c r="F95" s="8"/>
      <c r="G95" s="9">
        <v>3000</v>
      </c>
      <c r="H95" s="26">
        <f t="shared" si="3"/>
        <v>3000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180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12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700</v>
      </c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>
        <v>-1</v>
      </c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>
        <v>-1</v>
      </c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947</v>
      </c>
      <c r="C229" s="14"/>
      <c r="D229" s="14"/>
      <c r="E229" s="15"/>
      <c r="F229" s="15"/>
      <c r="G229" s="16"/>
      <c r="H229" s="27">
        <f>SUM(H2:H219)</f>
        <v>8000</v>
      </c>
      <c r="I229" s="17">
        <f>SUM(I2:I218)</f>
        <v>2200</v>
      </c>
      <c r="J229" s="17"/>
      <c r="K229" s="17">
        <f>SUM(K2:K218)</f>
        <v>0</v>
      </c>
      <c r="L229" s="17"/>
      <c r="M229" s="17"/>
      <c r="N229" s="17">
        <f>SUM(N2:N228)</f>
        <v>944</v>
      </c>
      <c r="O229" s="17">
        <f>SUM(O2:O228)</f>
        <v>565</v>
      </c>
      <c r="P229" s="17">
        <f>SUM(P2:P228)</f>
        <v>-10</v>
      </c>
    </row>
    <row r="230" spans="1:16" x14ac:dyDescent="0.25">
      <c r="A230" s="18" t="s">
        <v>108</v>
      </c>
      <c r="B230" s="18">
        <f>O229</f>
        <v>565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10.597014925373134</v>
      </c>
      <c r="C231" s="8">
        <v>7100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725.59701492537317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3.283582089552239</v>
      </c>
      <c r="C237" s="8">
        <v>2200</v>
      </c>
      <c r="D237" s="8"/>
    </row>
    <row r="238" spans="1:16" x14ac:dyDescent="0.25">
      <c r="A238" s="19" t="s">
        <v>64</v>
      </c>
      <c r="B238" s="20">
        <f>C238/670</f>
        <v>5.2238805970149258</v>
      </c>
      <c r="C238" s="8">
        <v>3500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8.5074626865671643</v>
      </c>
      <c r="C240" s="8"/>
      <c r="D240" s="8"/>
    </row>
    <row r="241" spans="1:6" x14ac:dyDescent="0.25">
      <c r="A241" s="12" t="s">
        <v>118</v>
      </c>
      <c r="B241" s="22">
        <f>B235-B240</f>
        <v>717.08955223880605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715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2.08955223880597</v>
      </c>
      <c r="C249" s="8">
        <v>1400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717.08955223880594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1.1368683772161603E-13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D943-72C1-47CC-AFAB-9ACFD90C9FA5}">
  <dimension ref="A1:Y286"/>
  <sheetViews>
    <sheetView zoomScale="80" zoomScaleNormal="80" workbookViewId="0">
      <pane ySplit="1" topLeftCell="A221" activePane="bottomLeft" state="frozen"/>
      <selection pane="bottomLeft" activeCell="G242" sqref="G242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1</v>
      </c>
      <c r="C161" s="7"/>
      <c r="D161" s="7">
        <v>1</v>
      </c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 t="s">
        <v>316</v>
      </c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23</v>
      </c>
      <c r="C164" s="7"/>
      <c r="D164" s="7"/>
      <c r="E164" s="8">
        <v>1</v>
      </c>
      <c r="F164" s="8"/>
      <c r="G164" s="9">
        <v>1000</v>
      </c>
      <c r="H164" s="26">
        <f t="shared" si="6"/>
        <v>1000</v>
      </c>
      <c r="I164" s="7">
        <v>700</v>
      </c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260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944</v>
      </c>
      <c r="C229" s="14"/>
      <c r="D229" s="14"/>
      <c r="E229" s="15"/>
      <c r="F229" s="15"/>
      <c r="G229" s="16"/>
      <c r="H229" s="27">
        <f>SUM(H2:H219)</f>
        <v>1000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942</v>
      </c>
      <c r="O229" s="17">
        <f>SUM(O2:O228)</f>
        <v>260</v>
      </c>
      <c r="P229" s="17">
        <f>SUM(P2:P228)</f>
        <v>-7</v>
      </c>
    </row>
    <row r="230" spans="1:16" x14ac:dyDescent="0.25">
      <c r="A230" s="18" t="s">
        <v>108</v>
      </c>
      <c r="B230" s="18">
        <f>O229</f>
        <v>260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2.08955223880597</v>
      </c>
      <c r="C231" s="8">
        <v>1400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412.08955223880599</v>
      </c>
      <c r="C235" s="8"/>
      <c r="D235" s="8"/>
    </row>
    <row r="236" spans="1:16" x14ac:dyDescent="0.25">
      <c r="A236" s="19" t="s">
        <v>6</v>
      </c>
      <c r="B236" s="20">
        <f>D236/670</f>
        <v>0</v>
      </c>
      <c r="C236" s="8"/>
      <c r="D236" s="8"/>
    </row>
    <row r="237" spans="1:16" x14ac:dyDescent="0.25">
      <c r="A237" s="19" t="s">
        <v>115</v>
      </c>
      <c r="B237" s="20">
        <f>C237/670</f>
        <v>0</v>
      </c>
      <c r="C237" s="8"/>
      <c r="D237" s="8"/>
    </row>
    <row r="238" spans="1:16" x14ac:dyDescent="0.25">
      <c r="A238" s="19" t="s">
        <v>64</v>
      </c>
      <c r="B238" s="20">
        <f>C238/670</f>
        <v>1.4925373134328359</v>
      </c>
      <c r="C238" s="8">
        <v>1000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1.4925373134328359</v>
      </c>
      <c r="C240" s="8"/>
      <c r="D240" s="8"/>
    </row>
    <row r="241" spans="1:6" x14ac:dyDescent="0.25">
      <c r="A241" s="12" t="s">
        <v>118</v>
      </c>
      <c r="B241" s="22">
        <f>B235-B240</f>
        <v>410.59701492537317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410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0.59701492537313428</v>
      </c>
      <c r="C249" s="8">
        <v>400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410.59701492537312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5.6843418860808015E-14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A8AE-7305-4972-A293-080951BD6A91}">
  <sheetPr filterMode="1"/>
  <dimension ref="A1:Y285"/>
  <sheetViews>
    <sheetView zoomScale="80" zoomScaleNormal="80" workbookViewId="0">
      <pane ySplit="1" topLeftCell="A75" activePane="bottomLeft" state="frozen"/>
      <selection pane="bottomLeft" activeCell="P97" sqref="P97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hidden="1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hidden="1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hidden="1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hidden="1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hidden="1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hidden="1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hidden="1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hidden="1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hidden="1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hidden="1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hidden="1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hidden="1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hidden="1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hidden="1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hidden="1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hidden="1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hidden="1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hidden="1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hidden="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hidden="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hidden="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hidden="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hidden="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hidden="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320</v>
      </c>
      <c r="R58" s="4"/>
      <c r="S58" s="4"/>
      <c r="T58" s="4"/>
      <c r="U58" s="4"/>
    </row>
    <row r="59" spans="1:21" hidden="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hidden="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hidden="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hidden="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hidden="1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hidden="1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hidden="1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hidden="1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hidden="1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hidden="1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hidden="1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hidden="1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1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hidden="1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hidden="1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hidden="1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hidden="1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hidden="1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hidden="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hidden="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hidden="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2" si="5">E111*L111+F111*M111</f>
        <v>0</v>
      </c>
      <c r="P111" s="7"/>
    </row>
    <row r="112" spans="1:21" hidden="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hidden="1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hidden="1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hidden="1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hidden="1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hidden="1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hidden="1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hidden="1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hidden="1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hidden="1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hidden="1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hidden="1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hidden="1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hidden="1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hidden="1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hidden="1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hidden="1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hidden="1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hidden="1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hidden="1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8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hidden="1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hidden="1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hidden="1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hidden="1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hidden="1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hidden="1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hidden="1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hidden="1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hidden="1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hidden="1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hidden="1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hidden="1" x14ac:dyDescent="0.25">
      <c r="A161" s="5" t="s">
        <v>280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/>
      <c r="K161" s="7"/>
      <c r="L161" s="7">
        <v>300</v>
      </c>
      <c r="M161" s="7"/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90</v>
      </c>
      <c r="B162" s="6">
        <v>12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260</v>
      </c>
      <c r="M162" s="7"/>
      <c r="N162" s="7">
        <f t="shared" ref="N162:N227" si="7">B162+C162-D162-E162-F162</f>
        <v>12</v>
      </c>
      <c r="O162" s="7">
        <f t="shared" si="5"/>
        <v>0</v>
      </c>
      <c r="P162" s="7"/>
    </row>
    <row r="163" spans="1:16" x14ac:dyDescent="0.25">
      <c r="A163" s="5" t="s">
        <v>292</v>
      </c>
      <c r="B163" s="6">
        <v>22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>
        <v>155</v>
      </c>
      <c r="N163" s="7">
        <f t="shared" si="7"/>
        <v>22</v>
      </c>
      <c r="O163" s="7">
        <f t="shared" si="5"/>
        <v>0</v>
      </c>
      <c r="P163" s="7"/>
    </row>
    <row r="164" spans="1:16" x14ac:dyDescent="0.25">
      <c r="A164" s="5" t="s">
        <v>297</v>
      </c>
      <c r="B164" s="6">
        <v>91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>
        <v>140</v>
      </c>
      <c r="K164" s="7"/>
      <c r="L164" s="7">
        <v>250</v>
      </c>
      <c r="M164" s="7"/>
      <c r="N164" s="7">
        <f t="shared" si="7"/>
        <v>91</v>
      </c>
      <c r="O164" s="7">
        <f t="shared" si="5"/>
        <v>0</v>
      </c>
      <c r="P164" s="7"/>
    </row>
    <row r="165" spans="1:16" x14ac:dyDescent="0.25">
      <c r="A165" s="5" t="s">
        <v>275</v>
      </c>
      <c r="B165" s="6">
        <v>2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/>
      <c r="K165" s="7"/>
      <c r="L165" s="7">
        <v>65</v>
      </c>
      <c r="M165" s="7"/>
      <c r="N165" s="7">
        <f t="shared" si="7"/>
        <v>2</v>
      </c>
      <c r="O165" s="7">
        <f t="shared" si="5"/>
        <v>0</v>
      </c>
      <c r="P165" s="7"/>
    </row>
    <row r="166" spans="1:16" hidden="1" x14ac:dyDescent="0.25">
      <c r="A166" s="5" t="s">
        <v>91</v>
      </c>
      <c r="B166" s="6">
        <v>0</v>
      </c>
      <c r="C166" s="7"/>
      <c r="D166" s="7"/>
      <c r="E166" s="8"/>
      <c r="F166" s="8"/>
      <c r="G166" s="9">
        <v>50</v>
      </c>
      <c r="H166" s="26">
        <f t="shared" si="6"/>
        <v>0</v>
      </c>
      <c r="I166" s="7"/>
      <c r="J166" s="7"/>
      <c r="K166" s="7"/>
      <c r="L166" s="7">
        <v>3</v>
      </c>
      <c r="M166" s="7"/>
      <c r="N166" s="7">
        <f t="shared" si="7"/>
        <v>0</v>
      </c>
      <c r="O166" s="7">
        <f t="shared" si="5"/>
        <v>0</v>
      </c>
      <c r="P166" s="7"/>
    </row>
    <row r="167" spans="1:16" hidden="1" x14ac:dyDescent="0.25">
      <c r="A167" s="5" t="s">
        <v>92</v>
      </c>
      <c r="B167" s="6">
        <v>0</v>
      </c>
      <c r="C167" s="7"/>
      <c r="D167" s="7"/>
      <c r="E167" s="8"/>
      <c r="F167" s="8"/>
      <c r="G167" s="9">
        <v>50</v>
      </c>
      <c r="H167" s="26"/>
      <c r="I167" s="7"/>
      <c r="J167" s="7"/>
      <c r="K167" s="7"/>
      <c r="L167" s="7">
        <v>2</v>
      </c>
      <c r="M167" s="7"/>
      <c r="N167" s="7">
        <f t="shared" si="7"/>
        <v>0</v>
      </c>
      <c r="O167" s="7">
        <f t="shared" si="5"/>
        <v>0</v>
      </c>
      <c r="P167" s="7"/>
    </row>
    <row r="168" spans="1:16" hidden="1" x14ac:dyDescent="0.25">
      <c r="A168" s="5" t="s">
        <v>210</v>
      </c>
      <c r="B168" s="6">
        <v>0</v>
      </c>
      <c r="C168" s="7"/>
      <c r="D168" s="7"/>
      <c r="E168" s="8"/>
      <c r="F168" s="8"/>
      <c r="G168" s="9">
        <v>4000</v>
      </c>
      <c r="H168" s="26">
        <f t="shared" si="6"/>
        <v>0</v>
      </c>
      <c r="I168" s="7"/>
      <c r="J168" s="7">
        <v>365</v>
      </c>
      <c r="K168" s="7"/>
      <c r="L168" s="7">
        <v>395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234</v>
      </c>
      <c r="B169" s="6">
        <v>2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385</v>
      </c>
      <c r="K169" s="7"/>
      <c r="L169" s="7">
        <v>400</v>
      </c>
      <c r="M169" s="7"/>
      <c r="N169" s="7">
        <f t="shared" si="7"/>
        <v>2</v>
      </c>
      <c r="O169" s="7">
        <f t="shared" si="5"/>
        <v>0</v>
      </c>
      <c r="P169" s="7"/>
    </row>
    <row r="170" spans="1:16" hidden="1" x14ac:dyDescent="0.25">
      <c r="A170" s="5" t="s">
        <v>237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410</v>
      </c>
      <c r="K170" s="7"/>
      <c r="L170" s="7">
        <v>550</v>
      </c>
      <c r="M170" s="7"/>
      <c r="N170" s="7">
        <f t="shared" si="7"/>
        <v>0</v>
      </c>
      <c r="O170" s="7">
        <f t="shared" si="5"/>
        <v>0</v>
      </c>
      <c r="P170" s="7"/>
    </row>
    <row r="171" spans="1:16" hidden="1" x14ac:dyDescent="0.25">
      <c r="A171" s="5" t="s">
        <v>251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/>
      <c r="K171" s="7"/>
      <c r="L171" s="7">
        <v>920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93</v>
      </c>
      <c r="B172" s="6">
        <v>2</v>
      </c>
      <c r="C172" s="10"/>
      <c r="D172" s="7"/>
      <c r="E172" s="8"/>
      <c r="F172" s="8"/>
      <c r="G172" s="9">
        <v>4000</v>
      </c>
      <c r="H172" s="26">
        <f t="shared" si="6"/>
        <v>0</v>
      </c>
      <c r="I172" s="7"/>
      <c r="J172" s="7">
        <v>680</v>
      </c>
      <c r="K172" s="7"/>
      <c r="L172" s="7">
        <v>850</v>
      </c>
      <c r="M172" s="7"/>
      <c r="N172" s="7">
        <f t="shared" si="7"/>
        <v>2</v>
      </c>
      <c r="O172" s="7">
        <f t="shared" si="5"/>
        <v>0</v>
      </c>
      <c r="P172" s="7"/>
    </row>
    <row r="173" spans="1:16" x14ac:dyDescent="0.25">
      <c r="A173" s="5" t="s">
        <v>314</v>
      </c>
      <c r="B173" s="6">
        <v>1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/>
      <c r="K173" s="7"/>
      <c r="L173" s="7">
        <v>550</v>
      </c>
      <c r="M173" s="7"/>
      <c r="N173" s="7">
        <f t="shared" si="7"/>
        <v>1</v>
      </c>
      <c r="O173" s="7">
        <f t="shared" si="5"/>
        <v>0</v>
      </c>
      <c r="P173" s="7"/>
    </row>
    <row r="174" spans="1:16" hidden="1" x14ac:dyDescent="0.25">
      <c r="A174" s="5" t="s">
        <v>222</v>
      </c>
      <c r="B174" s="6">
        <v>0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500</v>
      </c>
      <c r="M174" s="7"/>
      <c r="N174" s="7">
        <f t="shared" si="7"/>
        <v>0</v>
      </c>
      <c r="O174" s="7">
        <f t="shared" si="5"/>
        <v>0</v>
      </c>
      <c r="P174" s="7"/>
    </row>
    <row r="175" spans="1:16" x14ac:dyDescent="0.25">
      <c r="A175" s="5" t="s">
        <v>322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850</v>
      </c>
      <c r="M175" s="7"/>
      <c r="N175" s="7">
        <f t="shared" si="7"/>
        <v>2</v>
      </c>
      <c r="O175" s="7">
        <f t="shared" si="5"/>
        <v>0</v>
      </c>
      <c r="P175" s="7"/>
    </row>
    <row r="176" spans="1:16" hidden="1" x14ac:dyDescent="0.25">
      <c r="A176" s="5" t="s">
        <v>95</v>
      </c>
      <c r="B176" s="6">
        <v>0</v>
      </c>
      <c r="C176" s="10"/>
      <c r="D176" s="7"/>
      <c r="E176" s="8"/>
      <c r="F176" s="8"/>
      <c r="G176" s="9">
        <v>500</v>
      </c>
      <c r="H176" s="26">
        <f t="shared" si="6"/>
        <v>0</v>
      </c>
      <c r="I176" s="7"/>
      <c r="J176" s="7"/>
      <c r="K176" s="7"/>
      <c r="L176" s="7">
        <v>18</v>
      </c>
      <c r="M176" s="7"/>
      <c r="N176" s="7">
        <f t="shared" si="7"/>
        <v>0</v>
      </c>
      <c r="O176" s="7">
        <f t="shared" si="5"/>
        <v>0</v>
      </c>
      <c r="P176" s="7"/>
    </row>
    <row r="177" spans="1:16" hidden="1" x14ac:dyDescent="0.25">
      <c r="A177" s="5" t="s">
        <v>184</v>
      </c>
      <c r="B177" s="6">
        <v>0</v>
      </c>
      <c r="C177" s="10"/>
      <c r="D177" s="7"/>
      <c r="E177" s="8"/>
      <c r="F177" s="8"/>
      <c r="G177" s="9">
        <v>18000</v>
      </c>
      <c r="H177" s="26">
        <f t="shared" si="6"/>
        <v>0</v>
      </c>
      <c r="I177" s="7"/>
      <c r="J177" s="7">
        <v>8</v>
      </c>
      <c r="K177" s="7"/>
      <c r="L177" s="7">
        <v>3150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96</v>
      </c>
      <c r="B178" s="6">
        <v>3</v>
      </c>
      <c r="C178" s="10"/>
      <c r="D178" s="7"/>
      <c r="E178" s="8"/>
      <c r="F178" s="8"/>
      <c r="G178" s="9">
        <v>1000</v>
      </c>
      <c r="H178" s="26">
        <f t="shared" si="6"/>
        <v>0</v>
      </c>
      <c r="I178" s="7"/>
      <c r="J178" s="7"/>
      <c r="K178" s="7"/>
      <c r="L178" s="7">
        <v>30</v>
      </c>
      <c r="M178" s="7"/>
      <c r="N178" s="7">
        <f t="shared" si="7"/>
        <v>3</v>
      </c>
      <c r="O178" s="7">
        <f t="shared" si="5"/>
        <v>0</v>
      </c>
      <c r="P178" s="7"/>
    </row>
    <row r="179" spans="1:16" x14ac:dyDescent="0.25">
      <c r="A179" s="5" t="s">
        <v>163</v>
      </c>
      <c r="B179" s="6">
        <v>5</v>
      </c>
      <c r="C179" s="10"/>
      <c r="D179" s="7"/>
      <c r="E179" s="8"/>
      <c r="F179" s="8"/>
      <c r="G179" s="9">
        <v>3000</v>
      </c>
      <c r="H179" s="26">
        <f t="shared" si="6"/>
        <v>0</v>
      </c>
      <c r="I179" s="7"/>
      <c r="J179" s="7">
        <v>260</v>
      </c>
      <c r="K179" s="7"/>
      <c r="L179" s="7">
        <v>295</v>
      </c>
      <c r="M179" s="7"/>
      <c r="N179" s="7">
        <f t="shared" si="7"/>
        <v>5</v>
      </c>
      <c r="O179" s="7">
        <f t="shared" si="5"/>
        <v>0</v>
      </c>
      <c r="P179" s="7"/>
    </row>
    <row r="180" spans="1:16" hidden="1" x14ac:dyDescent="0.25">
      <c r="A180" s="5" t="s">
        <v>97</v>
      </c>
      <c r="B180" s="6">
        <v>0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/>
      <c r="K180" s="7"/>
      <c r="L180" s="7">
        <v>530</v>
      </c>
      <c r="M180" s="7"/>
      <c r="N180" s="7">
        <f t="shared" si="7"/>
        <v>0</v>
      </c>
      <c r="O180" s="7">
        <f t="shared" si="5"/>
        <v>0</v>
      </c>
      <c r="P180" s="7"/>
    </row>
    <row r="181" spans="1:16" x14ac:dyDescent="0.25">
      <c r="A181" s="5" t="s">
        <v>199</v>
      </c>
      <c r="B181" s="6">
        <v>1</v>
      </c>
      <c r="C181" s="10"/>
      <c r="D181" s="7"/>
      <c r="E181" s="8"/>
      <c r="F181" s="8"/>
      <c r="G181" s="9"/>
      <c r="H181" s="26"/>
      <c r="I181" s="7"/>
      <c r="J181" s="7"/>
      <c r="K181" s="7"/>
      <c r="L181" s="7"/>
      <c r="M181" s="7"/>
      <c r="N181" s="7">
        <f t="shared" si="7"/>
        <v>1</v>
      </c>
      <c r="O181" s="7">
        <f t="shared" si="5"/>
        <v>0</v>
      </c>
      <c r="P181" s="7"/>
    </row>
    <row r="182" spans="1:16" x14ac:dyDescent="0.25">
      <c r="A182" s="5" t="s">
        <v>183</v>
      </c>
      <c r="B182" s="6">
        <v>1</v>
      </c>
      <c r="C182" s="10"/>
      <c r="D182" s="7"/>
      <c r="E182" s="8"/>
      <c r="F182" s="8"/>
      <c r="G182" s="9">
        <v>3000</v>
      </c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hidden="1" x14ac:dyDescent="0.25">
      <c r="A183" s="5" t="s">
        <v>240</v>
      </c>
      <c r="B183" s="6">
        <v>0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0</v>
      </c>
      <c r="O183" s="7">
        <f t="shared" ref="O183:O218" si="8">E183*L183+F183*M183</f>
        <v>0</v>
      </c>
      <c r="P183" s="7"/>
    </row>
    <row r="184" spans="1:16" hidden="1" x14ac:dyDescent="0.25">
      <c r="A184" s="5" t="s">
        <v>98</v>
      </c>
      <c r="B184" s="6">
        <v>0</v>
      </c>
      <c r="C184" s="10"/>
      <c r="D184" s="7"/>
      <c r="E184" s="8"/>
      <c r="F184" s="8"/>
      <c r="G184" s="9">
        <v>3000</v>
      </c>
      <c r="H184" s="26">
        <f t="shared" ref="H184:H192" si="9">(E184+F184)*G184</f>
        <v>0</v>
      </c>
      <c r="I184" s="7"/>
      <c r="J184" s="7">
        <v>250</v>
      </c>
      <c r="K184" s="7"/>
      <c r="L184" s="7">
        <v>310</v>
      </c>
      <c r="M184" s="7"/>
      <c r="N184" s="7">
        <f t="shared" si="7"/>
        <v>0</v>
      </c>
      <c r="O184" s="7">
        <f t="shared" si="8"/>
        <v>0</v>
      </c>
      <c r="P184" s="7"/>
    </row>
    <row r="185" spans="1:16" hidden="1" x14ac:dyDescent="0.25">
      <c r="A185" s="5" t="s">
        <v>189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9"/>
        <v>0</v>
      </c>
      <c r="I185" s="7"/>
      <c r="J185" s="7"/>
      <c r="K185" s="7"/>
      <c r="L185" s="7">
        <v>260</v>
      </c>
      <c r="M185" s="7"/>
      <c r="N185" s="7">
        <f t="shared" si="7"/>
        <v>0</v>
      </c>
      <c r="O185" s="7">
        <f t="shared" si="8"/>
        <v>0</v>
      </c>
      <c r="P185" s="7"/>
    </row>
    <row r="186" spans="1:16" hidden="1" x14ac:dyDescent="0.25">
      <c r="A186" s="5" t="s">
        <v>190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300</v>
      </c>
      <c r="M186" s="7"/>
      <c r="N186" s="7">
        <f t="shared" si="7"/>
        <v>0</v>
      </c>
      <c r="O186" s="7">
        <f t="shared" si="8"/>
        <v>0</v>
      </c>
      <c r="P186" s="7"/>
    </row>
    <row r="187" spans="1:16" hidden="1" x14ac:dyDescent="0.25">
      <c r="A187" s="5" t="s">
        <v>153</v>
      </c>
      <c r="B187" s="6">
        <v>0</v>
      </c>
      <c r="C187" s="10"/>
      <c r="D187" s="7"/>
      <c r="E187" s="8"/>
      <c r="F187" s="8"/>
      <c r="G187" s="9">
        <v>1000</v>
      </c>
      <c r="H187" s="26">
        <f t="shared" si="9"/>
        <v>0</v>
      </c>
      <c r="I187" s="7"/>
      <c r="J187" s="7"/>
      <c r="K187" s="7"/>
      <c r="L187" s="7">
        <v>100</v>
      </c>
      <c r="M187" s="7"/>
      <c r="N187" s="7">
        <f t="shared" si="7"/>
        <v>0</v>
      </c>
      <c r="O187" s="7">
        <f t="shared" si="8"/>
        <v>0</v>
      </c>
      <c r="P187" s="7"/>
    </row>
    <row r="188" spans="1:16" hidden="1" x14ac:dyDescent="0.25">
      <c r="A188" s="5" t="s">
        <v>150</v>
      </c>
      <c r="B188" s="6">
        <v>0</v>
      </c>
      <c r="C188" s="10"/>
      <c r="D188" s="7"/>
      <c r="E188" s="8"/>
      <c r="F188" s="8"/>
      <c r="G188" s="9">
        <v>3000</v>
      </c>
      <c r="H188" s="26">
        <f t="shared" si="9"/>
        <v>0</v>
      </c>
      <c r="I188" s="7"/>
      <c r="J188" s="7">
        <v>220</v>
      </c>
      <c r="K188" s="7"/>
      <c r="L188" s="7">
        <v>310</v>
      </c>
      <c r="M188" s="7"/>
      <c r="N188" s="7">
        <f t="shared" si="7"/>
        <v>0</v>
      </c>
      <c r="O188" s="7">
        <f t="shared" si="8"/>
        <v>0</v>
      </c>
      <c r="P188" s="7"/>
    </row>
    <row r="189" spans="1:16" hidden="1" x14ac:dyDescent="0.25">
      <c r="A189" s="5" t="s">
        <v>99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/>
      <c r="K189" s="7"/>
      <c r="L189" s="7">
        <v>425</v>
      </c>
      <c r="M189" s="7"/>
      <c r="N189" s="7">
        <f t="shared" si="7"/>
        <v>0</v>
      </c>
      <c r="O189" s="7">
        <f t="shared" si="8"/>
        <v>0</v>
      </c>
      <c r="P189" s="7"/>
    </row>
    <row r="190" spans="1:16" hidden="1" x14ac:dyDescent="0.25">
      <c r="A190" s="5" t="s">
        <v>213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430</v>
      </c>
      <c r="M190" s="7"/>
      <c r="N190" s="7">
        <f t="shared" si="7"/>
        <v>0</v>
      </c>
      <c r="O190" s="7">
        <f t="shared" si="8"/>
        <v>0</v>
      </c>
      <c r="P190" s="7"/>
    </row>
    <row r="191" spans="1:16" hidden="1" x14ac:dyDescent="0.25">
      <c r="A191" s="5" t="s">
        <v>165</v>
      </c>
      <c r="B191" s="6">
        <v>0</v>
      </c>
      <c r="C191" s="10"/>
      <c r="D191" s="7"/>
      <c r="E191" s="8"/>
      <c r="F191" s="8"/>
      <c r="G191" s="9">
        <v>3000</v>
      </c>
      <c r="H191" s="26"/>
      <c r="I191" s="7"/>
      <c r="J191" s="7"/>
      <c r="K191" s="7"/>
      <c r="L191" s="7"/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296</v>
      </c>
      <c r="B192" s="6">
        <v>1</v>
      </c>
      <c r="C192" s="10"/>
      <c r="D192" s="7"/>
      <c r="E192" s="8"/>
      <c r="F192" s="8"/>
      <c r="G192" s="9">
        <v>3000</v>
      </c>
      <c r="H192" s="26">
        <f t="shared" si="9"/>
        <v>0</v>
      </c>
      <c r="I192" s="7"/>
      <c r="J192" s="7">
        <v>190</v>
      </c>
      <c r="K192" s="7"/>
      <c r="L192" s="7">
        <v>260</v>
      </c>
      <c r="M192" s="7"/>
      <c r="N192" s="7">
        <f t="shared" si="7"/>
        <v>1</v>
      </c>
      <c r="O192" s="7">
        <f t="shared" si="8"/>
        <v>0</v>
      </c>
      <c r="P192" s="7"/>
    </row>
    <row r="193" spans="1:16" hidden="1" x14ac:dyDescent="0.25">
      <c r="A193" s="5" t="s">
        <v>252</v>
      </c>
      <c r="B193" s="6">
        <v>0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/>
      <c r="K193" s="7"/>
      <c r="L193" s="7">
        <v>255</v>
      </c>
      <c r="M193" s="7"/>
      <c r="N193" s="7">
        <f t="shared" si="7"/>
        <v>0</v>
      </c>
      <c r="O193" s="7">
        <f t="shared" si="8"/>
        <v>0</v>
      </c>
      <c r="P193" s="7"/>
    </row>
    <row r="194" spans="1:16" hidden="1" x14ac:dyDescent="0.25">
      <c r="A194" s="5" t="s">
        <v>156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360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100</v>
      </c>
      <c r="B195" s="6">
        <v>3</v>
      </c>
      <c r="C195" s="10"/>
      <c r="D195" s="7"/>
      <c r="E195" s="8"/>
      <c r="F195" s="8"/>
      <c r="G195" s="9">
        <v>1000</v>
      </c>
      <c r="H195" s="26">
        <f t="shared" si="6"/>
        <v>0</v>
      </c>
      <c r="I195" s="7"/>
      <c r="J195" s="7"/>
      <c r="K195" s="7"/>
      <c r="L195" s="7">
        <v>80</v>
      </c>
      <c r="M195" s="7"/>
      <c r="N195" s="7">
        <f t="shared" si="7"/>
        <v>3</v>
      </c>
      <c r="O195" s="7">
        <f t="shared" si="8"/>
        <v>0</v>
      </c>
      <c r="P195" s="7"/>
    </row>
    <row r="196" spans="1:16" x14ac:dyDescent="0.25">
      <c r="A196" s="5" t="s">
        <v>101</v>
      </c>
      <c r="B196" s="6">
        <v>2</v>
      </c>
      <c r="C196" s="10"/>
      <c r="D196" s="7"/>
      <c r="E196" s="8"/>
      <c r="F196" s="8"/>
      <c r="G196" s="9">
        <v>3000</v>
      </c>
      <c r="H196" s="26">
        <f t="shared" si="6"/>
        <v>0</v>
      </c>
      <c r="I196" s="7"/>
      <c r="J196" s="7">
        <v>160</v>
      </c>
      <c r="K196" s="7"/>
      <c r="L196" s="7">
        <v>175</v>
      </c>
      <c r="M196" s="7"/>
      <c r="N196" s="7">
        <f t="shared" si="7"/>
        <v>2</v>
      </c>
      <c r="O196" s="7">
        <f t="shared" si="8"/>
        <v>0</v>
      </c>
      <c r="P196" s="7"/>
    </row>
    <row r="197" spans="1:16" hidden="1" x14ac:dyDescent="0.25">
      <c r="A197" s="5" t="s">
        <v>174</v>
      </c>
      <c r="B197" s="6">
        <v>0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/>
      <c r="K197" s="7"/>
      <c r="L197" s="7">
        <v>250</v>
      </c>
      <c r="M197" s="7"/>
      <c r="N197" s="7">
        <f t="shared" si="7"/>
        <v>0</v>
      </c>
      <c r="O197" s="7">
        <f t="shared" si="8"/>
        <v>0</v>
      </c>
      <c r="P197" s="7"/>
    </row>
    <row r="198" spans="1:16" x14ac:dyDescent="0.25">
      <c r="A198" s="5" t="s">
        <v>262</v>
      </c>
      <c r="B198" s="6">
        <v>3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175</v>
      </c>
      <c r="M198" s="7">
        <v>0</v>
      </c>
      <c r="N198" s="7">
        <f t="shared" si="7"/>
        <v>3</v>
      </c>
      <c r="O198" s="7">
        <f t="shared" si="8"/>
        <v>0</v>
      </c>
      <c r="P198" s="7"/>
    </row>
    <row r="199" spans="1:16" x14ac:dyDescent="0.25">
      <c r="A199" s="5" t="s">
        <v>166</v>
      </c>
      <c r="B199" s="6">
        <v>9</v>
      </c>
      <c r="C199" s="10"/>
      <c r="D199" s="7"/>
      <c r="E199" s="8"/>
      <c r="F199" s="8"/>
      <c r="G199" s="9">
        <v>500</v>
      </c>
      <c r="H199" s="26">
        <f t="shared" si="6"/>
        <v>0</v>
      </c>
      <c r="I199" s="7"/>
      <c r="J199" s="7"/>
      <c r="K199" s="7"/>
      <c r="L199" s="7">
        <v>5</v>
      </c>
      <c r="M199" s="7"/>
      <c r="N199" s="7">
        <f t="shared" si="7"/>
        <v>9</v>
      </c>
      <c r="O199" s="7">
        <f t="shared" si="8"/>
        <v>0</v>
      </c>
      <c r="P199" s="7"/>
    </row>
    <row r="200" spans="1:16" x14ac:dyDescent="0.25">
      <c r="A200" s="5" t="s">
        <v>248</v>
      </c>
      <c r="B200" s="6">
        <v>2</v>
      </c>
      <c r="C200" s="10"/>
      <c r="D200" s="7"/>
      <c r="E200" s="8"/>
      <c r="F200" s="8"/>
      <c r="G200" s="9">
        <v>2000</v>
      </c>
      <c r="H200" s="26">
        <f t="shared" si="6"/>
        <v>0</v>
      </c>
      <c r="I200" s="7"/>
      <c r="J200" s="7"/>
      <c r="K200" s="7"/>
      <c r="L200" s="7">
        <v>280</v>
      </c>
      <c r="M200" s="7"/>
      <c r="N200" s="7">
        <f t="shared" si="7"/>
        <v>2</v>
      </c>
      <c r="O200" s="7">
        <f t="shared" si="8"/>
        <v>0</v>
      </c>
      <c r="P200" s="7"/>
    </row>
    <row r="201" spans="1:16" x14ac:dyDescent="0.25">
      <c r="A201" s="5" t="s">
        <v>249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240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250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220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102</v>
      </c>
      <c r="B203" s="6">
        <v>8</v>
      </c>
      <c r="C203" s="10"/>
      <c r="D203" s="7"/>
      <c r="E203" s="8"/>
      <c r="F203" s="8"/>
      <c r="G203" s="9">
        <v>500</v>
      </c>
      <c r="H203" s="26">
        <f t="shared" si="6"/>
        <v>0</v>
      </c>
      <c r="I203" s="7"/>
      <c r="J203" s="7"/>
      <c r="K203" s="7"/>
      <c r="L203" s="7">
        <v>20</v>
      </c>
      <c r="M203" s="7"/>
      <c r="N203" s="7">
        <f t="shared" si="7"/>
        <v>8</v>
      </c>
      <c r="O203" s="7">
        <f t="shared" si="8"/>
        <v>0</v>
      </c>
      <c r="P203" s="7"/>
    </row>
    <row r="204" spans="1:16" x14ac:dyDescent="0.25">
      <c r="A204" s="5" t="s">
        <v>282</v>
      </c>
      <c r="B204" s="6">
        <v>24</v>
      </c>
      <c r="C204" s="10"/>
      <c r="D204" s="7"/>
      <c r="E204" s="8"/>
      <c r="F204" s="8"/>
      <c r="G204" s="9">
        <v>200</v>
      </c>
      <c r="H204" s="26">
        <f t="shared" si="6"/>
        <v>0</v>
      </c>
      <c r="I204" s="7"/>
      <c r="J204" s="7"/>
      <c r="K204" s="7"/>
      <c r="L204" s="7">
        <v>5</v>
      </c>
      <c r="M204" s="7"/>
      <c r="N204" s="7">
        <f t="shared" si="7"/>
        <v>24</v>
      </c>
      <c r="O204" s="7">
        <f t="shared" si="8"/>
        <v>0</v>
      </c>
      <c r="P204" s="7"/>
    </row>
    <row r="205" spans="1:16" hidden="1" x14ac:dyDescent="0.25">
      <c r="A205" s="5" t="s">
        <v>253</v>
      </c>
      <c r="B205" s="6">
        <v>0</v>
      </c>
      <c r="C205" s="10"/>
      <c r="D205" s="7"/>
      <c r="E205" s="8"/>
      <c r="F205" s="8"/>
      <c r="G205" s="9">
        <v>1000</v>
      </c>
      <c r="H205" s="26">
        <f t="shared" si="6"/>
        <v>0</v>
      </c>
      <c r="I205" s="7"/>
      <c r="J205" s="7">
        <v>30</v>
      </c>
      <c r="K205" s="7"/>
      <c r="L205" s="7">
        <v>45</v>
      </c>
      <c r="M205" s="7"/>
      <c r="N205" s="7">
        <f t="shared" si="7"/>
        <v>0</v>
      </c>
      <c r="O205" s="7">
        <f t="shared" si="8"/>
        <v>0</v>
      </c>
      <c r="P205" s="7"/>
    </row>
    <row r="206" spans="1:16" hidden="1" x14ac:dyDescent="0.25">
      <c r="A206" s="5" t="s">
        <v>152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/>
      <c r="K206" s="7"/>
      <c r="L206" s="7">
        <v>50</v>
      </c>
      <c r="M206" s="7"/>
      <c r="N206" s="7">
        <f t="shared" si="7"/>
        <v>0</v>
      </c>
      <c r="O206" s="7">
        <f t="shared" si="8"/>
        <v>0</v>
      </c>
      <c r="P206" s="7"/>
    </row>
    <row r="207" spans="1:16" hidden="1" x14ac:dyDescent="0.25">
      <c r="A207" s="5" t="s">
        <v>103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65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264</v>
      </c>
      <c r="B208" s="6">
        <v>2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>
        <v>26</v>
      </c>
      <c r="K208" s="7"/>
      <c r="L208" s="7">
        <v>45</v>
      </c>
      <c r="M208" s="7"/>
      <c r="N208" s="7">
        <f t="shared" si="7"/>
        <v>2</v>
      </c>
      <c r="O208" s="7">
        <f t="shared" si="8"/>
        <v>0</v>
      </c>
      <c r="P208" s="7"/>
    </row>
    <row r="209" spans="1:16" x14ac:dyDescent="0.25">
      <c r="A209" s="5" t="s">
        <v>245</v>
      </c>
      <c r="B209" s="6">
        <v>2</v>
      </c>
      <c r="C209" s="10"/>
      <c r="D209" s="7"/>
      <c r="E209" s="8"/>
      <c r="F209" s="8"/>
      <c r="G209" s="9">
        <v>3000</v>
      </c>
      <c r="H209" s="26">
        <f t="shared" si="6"/>
        <v>0</v>
      </c>
      <c r="I209" s="7"/>
      <c r="J209" s="7">
        <v>60</v>
      </c>
      <c r="K209" s="7"/>
      <c r="L209" s="7">
        <v>140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104</v>
      </c>
      <c r="B210" s="6">
        <v>2</v>
      </c>
      <c r="C210" s="10"/>
      <c r="D210" s="7"/>
      <c r="E210" s="8"/>
      <c r="F210" s="8"/>
      <c r="G210" s="9">
        <v>1000</v>
      </c>
      <c r="H210" s="26">
        <f t="shared" si="6"/>
        <v>0</v>
      </c>
      <c r="I210" s="7"/>
      <c r="J210" s="7">
        <v>42</v>
      </c>
      <c r="K210" s="7"/>
      <c r="L210" s="7">
        <v>70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293</v>
      </c>
      <c r="B211" s="6">
        <v>20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/>
      <c r="K211" s="7"/>
      <c r="L211" s="7">
        <v>110</v>
      </c>
      <c r="M211" s="7"/>
      <c r="N211" s="7">
        <f t="shared" si="7"/>
        <v>20</v>
      </c>
      <c r="O211" s="7">
        <f t="shared" si="8"/>
        <v>0</v>
      </c>
      <c r="P211" s="7"/>
    </row>
    <row r="212" spans="1:16" x14ac:dyDescent="0.25">
      <c r="A212" s="5" t="s">
        <v>313</v>
      </c>
      <c r="B212" s="6">
        <v>10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100</v>
      </c>
      <c r="M212" s="7"/>
      <c r="N212" s="7">
        <f t="shared" si="7"/>
        <v>10</v>
      </c>
      <c r="O212" s="7">
        <f t="shared" si="8"/>
        <v>0</v>
      </c>
      <c r="P212" s="7"/>
    </row>
    <row r="213" spans="1:16" x14ac:dyDescent="0.25">
      <c r="A213" s="5" t="s">
        <v>266</v>
      </c>
      <c r="B213" s="6">
        <v>6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75</v>
      </c>
      <c r="M213" s="7"/>
      <c r="N213" s="7">
        <f t="shared" si="7"/>
        <v>6</v>
      </c>
      <c r="O213" s="7">
        <f t="shared" si="8"/>
        <v>0</v>
      </c>
      <c r="P213" s="7"/>
    </row>
    <row r="214" spans="1:16" hidden="1" x14ac:dyDescent="0.25">
      <c r="A214" s="5" t="s">
        <v>105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90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25">
      <c r="A215" s="5" t="s">
        <v>265</v>
      </c>
      <c r="B215" s="6">
        <v>5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45</v>
      </c>
      <c r="M215" s="7"/>
      <c r="N215" s="7">
        <f t="shared" si="7"/>
        <v>5</v>
      </c>
      <c r="O215" s="7">
        <f t="shared" si="8"/>
        <v>0</v>
      </c>
      <c r="P215" s="7"/>
    </row>
    <row r="216" spans="1:16" x14ac:dyDescent="0.25">
      <c r="A216" s="5" t="s">
        <v>195</v>
      </c>
      <c r="B216" s="6">
        <v>1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</v>
      </c>
      <c r="O216" s="7">
        <f t="shared" si="8"/>
        <v>0</v>
      </c>
      <c r="P216" s="7"/>
    </row>
    <row r="217" spans="1:16" x14ac:dyDescent="0.25">
      <c r="A217" s="5" t="s">
        <v>106</v>
      </c>
      <c r="B217" s="6">
        <v>2</v>
      </c>
      <c r="C217" s="7"/>
      <c r="D217" s="7"/>
      <c r="E217" s="8"/>
      <c r="F217" s="8"/>
      <c r="G217" s="9">
        <v>2000</v>
      </c>
      <c r="H217" s="26">
        <f t="shared" si="6"/>
        <v>0</v>
      </c>
      <c r="I217" s="7"/>
      <c r="J217" s="7">
        <v>40</v>
      </c>
      <c r="K217" s="7"/>
      <c r="L217" s="7">
        <v>50</v>
      </c>
      <c r="M217" s="7"/>
      <c r="N217" s="7">
        <f t="shared" si="7"/>
        <v>2</v>
      </c>
      <c r="O217" s="7">
        <f t="shared" si="8"/>
        <v>0</v>
      </c>
      <c r="P217" s="7"/>
    </row>
    <row r="218" spans="1:16" hidden="1" x14ac:dyDescent="0.25">
      <c r="A218" s="5" t="s">
        <v>192</v>
      </c>
      <c r="B218" s="6">
        <v>0</v>
      </c>
      <c r="C218" s="7"/>
      <c r="D218" s="7"/>
      <c r="E218" s="8"/>
      <c r="F218" s="8"/>
      <c r="G218" s="9">
        <v>3000</v>
      </c>
      <c r="H218" s="26">
        <f t="shared" si="6"/>
        <v>0</v>
      </c>
      <c r="I218" s="7"/>
      <c r="J218" s="7"/>
      <c r="K218" s="7"/>
      <c r="L218" s="7">
        <v>500</v>
      </c>
      <c r="M218" s="7"/>
      <c r="N218" s="7">
        <f t="shared" si="7"/>
        <v>0</v>
      </c>
      <c r="O218" s="7">
        <f t="shared" si="8"/>
        <v>0</v>
      </c>
      <c r="P218" s="7"/>
    </row>
    <row r="219" spans="1:16" x14ac:dyDescent="0.25">
      <c r="A219" s="5" t="s">
        <v>202</v>
      </c>
      <c r="B219" s="6">
        <v>7</v>
      </c>
      <c r="C219" s="7"/>
      <c r="D219" s="7"/>
      <c r="E219" s="8"/>
      <c r="F219" s="8"/>
      <c r="G219" s="9"/>
      <c r="H219" s="26"/>
      <c r="I219" s="7"/>
      <c r="J219" s="7"/>
      <c r="K219" s="7"/>
      <c r="L219" s="7"/>
      <c r="M219" s="7"/>
      <c r="N219" s="7">
        <f t="shared" si="7"/>
        <v>7</v>
      </c>
      <c r="O219" s="7"/>
      <c r="P219" s="7"/>
    </row>
    <row r="220" spans="1:16" hidden="1" x14ac:dyDescent="0.25">
      <c r="A220" s="5" t="s">
        <v>205</v>
      </c>
      <c r="B220" s="6">
        <v>0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0</v>
      </c>
      <c r="O220" s="7"/>
      <c r="P220" s="7"/>
    </row>
    <row r="221" spans="1:16" x14ac:dyDescent="0.25">
      <c r="A221" s="5" t="s">
        <v>169</v>
      </c>
      <c r="B221" s="6">
        <v>102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102</v>
      </c>
      <c r="O221" s="7"/>
      <c r="P221" s="7"/>
    </row>
    <row r="222" spans="1:16" hidden="1" x14ac:dyDescent="0.25">
      <c r="A222" s="5" t="s">
        <v>170</v>
      </c>
      <c r="B222" s="6">
        <v>0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0</v>
      </c>
      <c r="O222" s="7"/>
      <c r="P222" s="7"/>
    </row>
    <row r="223" spans="1:16" x14ac:dyDescent="0.25">
      <c r="A223" s="5" t="s">
        <v>206</v>
      </c>
      <c r="B223" s="6">
        <v>52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52</v>
      </c>
      <c r="O223" s="7"/>
      <c r="P223" s="7"/>
    </row>
    <row r="224" spans="1:16" x14ac:dyDescent="0.25">
      <c r="A224" s="5" t="s">
        <v>171</v>
      </c>
      <c r="B224" s="6">
        <v>7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7</v>
      </c>
      <c r="O224" s="7"/>
      <c r="P224" s="7"/>
    </row>
    <row r="225" spans="1:16" x14ac:dyDescent="0.25">
      <c r="A225" s="5" t="s">
        <v>204</v>
      </c>
      <c r="B225" s="6">
        <v>38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38</v>
      </c>
      <c r="O225" s="7"/>
      <c r="P225" s="7"/>
    </row>
    <row r="226" spans="1:16" x14ac:dyDescent="0.25">
      <c r="A226" s="5" t="s">
        <v>203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hidden="1" x14ac:dyDescent="0.25">
      <c r="A227" s="5" t="s">
        <v>207</v>
      </c>
      <c r="B227" s="6">
        <v>0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0</v>
      </c>
      <c r="O227" s="7"/>
      <c r="P227" s="7"/>
    </row>
    <row r="228" spans="1:16" x14ac:dyDescent="0.25">
      <c r="A228" s="12" t="s">
        <v>107</v>
      </c>
      <c r="B228" s="13">
        <v>943</v>
      </c>
      <c r="C228" s="14"/>
      <c r="D228" s="14"/>
      <c r="E228" s="15"/>
      <c r="F228" s="15"/>
      <c r="G228" s="16"/>
      <c r="H228" s="27">
        <f>SUM(H2:H218)</f>
        <v>0</v>
      </c>
      <c r="I228" s="17">
        <f>SUM(I2:I217)</f>
        <v>0</v>
      </c>
      <c r="J228" s="17"/>
      <c r="K228" s="17">
        <f>SUM(K2:K217)</f>
        <v>0</v>
      </c>
      <c r="L228" s="17"/>
      <c r="M228" s="17"/>
      <c r="N228" s="17">
        <f>SUM(N2:N227)</f>
        <v>942</v>
      </c>
      <c r="O228" s="17">
        <f>SUM(O2:O227)</f>
        <v>0</v>
      </c>
      <c r="P228" s="17">
        <f>SUM(P2:P227)</f>
        <v>-9</v>
      </c>
    </row>
    <row r="229" spans="1:16" hidden="1" x14ac:dyDescent="0.25">
      <c r="A229" s="18" t="s">
        <v>108</v>
      </c>
      <c r="B229" s="18">
        <f>O228</f>
        <v>0</v>
      </c>
      <c r="C229" s="2" t="s">
        <v>109</v>
      </c>
      <c r="D229" s="2" t="s">
        <v>110</v>
      </c>
      <c r="N229" s="29"/>
    </row>
    <row r="230" spans="1:16" hidden="1" x14ac:dyDescent="0.25">
      <c r="A230" s="19" t="s">
        <v>111</v>
      </c>
      <c r="B230" s="20">
        <f>(C230+D230)/670</f>
        <v>0</v>
      </c>
      <c r="C230" s="8"/>
      <c r="D230" s="8"/>
    </row>
    <row r="231" spans="1:16" x14ac:dyDescent="0.25">
      <c r="A231" s="19" t="s">
        <v>14</v>
      </c>
      <c r="B231" s="21">
        <v>150</v>
      </c>
      <c r="C231" s="8" t="s">
        <v>126</v>
      </c>
      <c r="D231" s="8"/>
    </row>
    <row r="232" spans="1:16" hidden="1" x14ac:dyDescent="0.25">
      <c r="A232" s="19" t="s">
        <v>112</v>
      </c>
      <c r="B232" s="20">
        <f>D232/670</f>
        <v>0</v>
      </c>
      <c r="C232" s="8"/>
      <c r="D232" s="8"/>
    </row>
    <row r="233" spans="1:16" hidden="1" x14ac:dyDescent="0.25">
      <c r="A233" s="19" t="s">
        <v>113</v>
      </c>
      <c r="B233" s="20"/>
      <c r="C233" s="8"/>
      <c r="D233" s="8"/>
    </row>
    <row r="234" spans="1:16" x14ac:dyDescent="0.25">
      <c r="A234" s="12" t="s">
        <v>114</v>
      </c>
      <c r="B234" s="22">
        <f>B229+B230+B232+B233+B231</f>
        <v>150</v>
      </c>
      <c r="C234" s="8"/>
      <c r="D234" s="8"/>
    </row>
    <row r="235" spans="1:16" hidden="1" x14ac:dyDescent="0.25">
      <c r="A235" s="19" t="s">
        <v>6</v>
      </c>
      <c r="B235" s="20">
        <f>D235/670</f>
        <v>0</v>
      </c>
      <c r="C235" s="8"/>
      <c r="D235" s="8"/>
    </row>
    <row r="236" spans="1:16" hidden="1" x14ac:dyDescent="0.25">
      <c r="A236" s="19" t="s">
        <v>115</v>
      </c>
      <c r="B236" s="20">
        <f>C236/670</f>
        <v>0</v>
      </c>
      <c r="C236" s="8"/>
      <c r="D236" s="8"/>
    </row>
    <row r="237" spans="1:16" hidden="1" x14ac:dyDescent="0.25">
      <c r="A237" s="19" t="s">
        <v>64</v>
      </c>
      <c r="B237" s="20">
        <f>C237/670</f>
        <v>0</v>
      </c>
      <c r="C237" s="8"/>
      <c r="D237" s="8"/>
    </row>
    <row r="238" spans="1:16" hidden="1" x14ac:dyDescent="0.25">
      <c r="A238" s="19" t="s">
        <v>116</v>
      </c>
      <c r="B238" s="20"/>
      <c r="C238" s="8"/>
      <c r="D238" s="8"/>
    </row>
    <row r="239" spans="1:16" hidden="1" x14ac:dyDescent="0.25">
      <c r="A239" s="12" t="s">
        <v>117</v>
      </c>
      <c r="B239" s="20">
        <f>B235+B236+B237+B238</f>
        <v>0</v>
      </c>
      <c r="C239" s="8"/>
      <c r="D239" s="8"/>
    </row>
    <row r="240" spans="1:16" x14ac:dyDescent="0.25">
      <c r="A240" s="12" t="s">
        <v>118</v>
      </c>
      <c r="B240" s="22">
        <f>B234-B239</f>
        <v>150</v>
      </c>
      <c r="C240" s="8"/>
      <c r="D240" s="8"/>
    </row>
    <row r="241" spans="1:6" hidden="1" x14ac:dyDescent="0.25">
      <c r="A241" s="19" t="s">
        <v>119</v>
      </c>
      <c r="B241" s="20">
        <f>C241/670</f>
        <v>0</v>
      </c>
      <c r="C241" s="8"/>
      <c r="D241" s="8"/>
    </row>
    <row r="242" spans="1:6" hidden="1" x14ac:dyDescent="0.25">
      <c r="A242" s="19" t="s">
        <v>120</v>
      </c>
      <c r="B242" s="20"/>
      <c r="C242" s="8"/>
      <c r="D242" s="8"/>
    </row>
    <row r="243" spans="1:6" hidden="1" x14ac:dyDescent="0.25">
      <c r="A243" s="19" t="s">
        <v>121</v>
      </c>
      <c r="B243" s="20">
        <f>C243/2</f>
        <v>0</v>
      </c>
      <c r="C243" s="8"/>
      <c r="D243" s="8"/>
    </row>
    <row r="244" spans="1:6" hidden="1" x14ac:dyDescent="0.25">
      <c r="A244" s="12" t="s">
        <v>122</v>
      </c>
      <c r="B244" s="22">
        <f>B241+B242+B243</f>
        <v>0</v>
      </c>
      <c r="C244" s="8"/>
      <c r="D244" s="8"/>
    </row>
    <row r="245" spans="1:6" hidden="1" x14ac:dyDescent="0.25">
      <c r="A245" s="19" t="s">
        <v>123</v>
      </c>
      <c r="B245" s="20"/>
      <c r="C245" s="8"/>
      <c r="D245" s="8"/>
    </row>
    <row r="246" spans="1:6" hidden="1" x14ac:dyDescent="0.25">
      <c r="A246" s="19" t="s">
        <v>36</v>
      </c>
      <c r="B246" s="20"/>
      <c r="C246" s="8"/>
      <c r="D246" s="8"/>
    </row>
    <row r="247" spans="1:6" hidden="1" x14ac:dyDescent="0.25">
      <c r="A247" s="19" t="s">
        <v>124</v>
      </c>
      <c r="B247" s="20">
        <f>C247/2.3</f>
        <v>0</v>
      </c>
      <c r="C247" s="8"/>
      <c r="D247" s="8"/>
    </row>
    <row r="248" spans="1:6" hidden="1" x14ac:dyDescent="0.25">
      <c r="A248" s="19" t="s">
        <v>125</v>
      </c>
      <c r="B248" s="20">
        <f>C248/670</f>
        <v>0</v>
      </c>
      <c r="C248" s="8"/>
      <c r="D248" s="8"/>
      <c r="F248" t="s">
        <v>126</v>
      </c>
    </row>
    <row r="249" spans="1:6" hidden="1" x14ac:dyDescent="0.25">
      <c r="A249" s="19" t="s">
        <v>127</v>
      </c>
      <c r="B249" s="20">
        <f>D249/670</f>
        <v>0</v>
      </c>
      <c r="C249" s="8"/>
      <c r="D249" s="8"/>
    </row>
    <row r="250" spans="1:6" hidden="1" x14ac:dyDescent="0.25">
      <c r="A250" s="12" t="s">
        <v>128</v>
      </c>
      <c r="B250" s="22">
        <f>B245+B246+B247+B248+B249</f>
        <v>0</v>
      </c>
      <c r="C250" s="8"/>
      <c r="D250" s="8"/>
    </row>
    <row r="251" spans="1:6" hidden="1" x14ac:dyDescent="0.25">
      <c r="A251" s="19" t="s">
        <v>129</v>
      </c>
      <c r="B251" s="20">
        <f>C251/670</f>
        <v>0</v>
      </c>
      <c r="C251" s="8"/>
      <c r="D251" s="8"/>
    </row>
    <row r="252" spans="1:6" hidden="1" x14ac:dyDescent="0.25">
      <c r="A252" s="12" t="s">
        <v>107</v>
      </c>
      <c r="B252" s="22">
        <f>B251</f>
        <v>0</v>
      </c>
      <c r="C252" s="8"/>
      <c r="D252" s="8"/>
    </row>
    <row r="253" spans="1:6" x14ac:dyDescent="0.25">
      <c r="A253" s="12" t="s">
        <v>130</v>
      </c>
      <c r="B253" s="20">
        <f>B240-B244-B250-B252</f>
        <v>150</v>
      </c>
      <c r="C253" s="8" t="s">
        <v>126</v>
      </c>
      <c r="D253" s="8"/>
    </row>
    <row r="255" spans="1:6" x14ac:dyDescent="0.25">
      <c r="A255" s="12" t="s">
        <v>131</v>
      </c>
      <c r="B255" s="23" t="s">
        <v>10</v>
      </c>
    </row>
    <row r="256" spans="1:6" x14ac:dyDescent="0.25">
      <c r="A256" s="12" t="s">
        <v>132</v>
      </c>
      <c r="B256" s="7"/>
    </row>
    <row r="257" spans="1:2" x14ac:dyDescent="0.25">
      <c r="A257" s="19" t="s">
        <v>133</v>
      </c>
      <c r="B257" s="7"/>
    </row>
    <row r="258" spans="1:2" x14ac:dyDescent="0.25">
      <c r="A258" s="12" t="s">
        <v>134</v>
      </c>
      <c r="B258" s="17">
        <f>B256-B257</f>
        <v>0</v>
      </c>
    </row>
    <row r="259" spans="1:2" x14ac:dyDescent="0.25">
      <c r="A259" s="12" t="s">
        <v>135</v>
      </c>
      <c r="B259" s="17">
        <f>B260+B261+B262+B263+B264+B265+B266+B267</f>
        <v>0</v>
      </c>
    </row>
    <row r="260" spans="1:2" x14ac:dyDescent="0.25">
      <c r="A260" s="19" t="s">
        <v>136</v>
      </c>
      <c r="B260" s="7"/>
    </row>
    <row r="261" spans="1:2" x14ac:dyDescent="0.25">
      <c r="A261" s="19" t="s">
        <v>137</v>
      </c>
      <c r="B261" s="7"/>
    </row>
    <row r="262" spans="1:2" x14ac:dyDescent="0.25">
      <c r="A262" s="19" t="s">
        <v>138</v>
      </c>
      <c r="B262" s="7"/>
    </row>
    <row r="263" spans="1:2" x14ac:dyDescent="0.25">
      <c r="A263" s="19" t="s">
        <v>139</v>
      </c>
      <c r="B263" s="7"/>
    </row>
    <row r="264" spans="1:2" x14ac:dyDescent="0.25">
      <c r="A264" s="19" t="s">
        <v>140</v>
      </c>
      <c r="B264" s="7"/>
    </row>
    <row r="265" spans="1:2" x14ac:dyDescent="0.25">
      <c r="A265" s="19" t="s">
        <v>141</v>
      </c>
      <c r="B265" s="7"/>
    </row>
    <row r="266" spans="1:2" x14ac:dyDescent="0.25">
      <c r="A266" s="19" t="s">
        <v>142</v>
      </c>
      <c r="B266" s="7"/>
    </row>
    <row r="267" spans="1:2" x14ac:dyDescent="0.25">
      <c r="A267" s="19" t="s">
        <v>143</v>
      </c>
      <c r="B267" s="7"/>
    </row>
    <row r="268" spans="1:2" x14ac:dyDescent="0.25">
      <c r="A268" s="12" t="s">
        <v>144</v>
      </c>
      <c r="B268" s="17">
        <f>B269+B270+B271</f>
        <v>0</v>
      </c>
    </row>
    <row r="269" spans="1:2" x14ac:dyDescent="0.25">
      <c r="A269" s="19" t="s">
        <v>145</v>
      </c>
      <c r="B269" s="7"/>
    </row>
    <row r="270" spans="1:2" x14ac:dyDescent="0.25">
      <c r="A270" s="19" t="s">
        <v>146</v>
      </c>
      <c r="B270" s="7"/>
    </row>
    <row r="271" spans="1:2" x14ac:dyDescent="0.25">
      <c r="A271" s="19" t="s">
        <v>147</v>
      </c>
      <c r="B271" s="7"/>
    </row>
    <row r="272" spans="1:2" x14ac:dyDescent="0.25">
      <c r="A272" s="12" t="s">
        <v>148</v>
      </c>
      <c r="B272" s="17">
        <f>B258-B259-B268</f>
        <v>0</v>
      </c>
    </row>
    <row r="278" spans="1:5" x14ac:dyDescent="0.25">
      <c r="A278" s="24"/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5"/>
      <c r="B285" s="25"/>
      <c r="C285" s="25"/>
      <c r="D285" s="25"/>
      <c r="E285" s="25"/>
    </row>
  </sheetData>
  <autoFilter ref="A1:P253" xr:uid="{62EDA8AE-7305-4972-A293-080951BD6A91}">
    <filterColumn colId="1">
      <filters>
        <filter val="1"/>
        <filter val="10"/>
        <filter val="102"/>
        <filter val="11"/>
        <filter val="12"/>
        <filter val="150.00"/>
        <filter val="16"/>
        <filter val="2"/>
        <filter val="20"/>
        <filter val="22"/>
        <filter val="24"/>
        <filter val="3"/>
        <filter val="38"/>
        <filter val="4"/>
        <filter val="49"/>
        <filter val="5"/>
        <filter val="52"/>
        <filter val="6"/>
        <filter val="7"/>
        <filter val="8"/>
        <filter val="9"/>
        <filter val="91"/>
        <filter val="93"/>
        <filter val="943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8CAE-A3D9-46B1-8167-A93859F01CDF}">
  <dimension ref="A1:Y286"/>
  <sheetViews>
    <sheetView zoomScale="80" zoomScaleNormal="80" workbookViewId="0">
      <pane ySplit="1" topLeftCell="A233" activePane="bottomLeft" state="frozen"/>
      <selection pane="bottomLeft" activeCell="I136" sqref="I136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1</v>
      </c>
      <c r="C11" s="7"/>
      <c r="D11" s="7"/>
      <c r="E11" s="8">
        <v>1</v>
      </c>
      <c r="F11" s="8"/>
      <c r="G11" s="9">
        <v>500</v>
      </c>
      <c r="H11" s="26">
        <f t="shared" si="0"/>
        <v>500</v>
      </c>
      <c r="I11" s="7">
        <v>700</v>
      </c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20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10</v>
      </c>
      <c r="C33" s="7"/>
      <c r="D33" s="7"/>
      <c r="E33" s="8">
        <v>1</v>
      </c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45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7</v>
      </c>
      <c r="C42" s="7"/>
      <c r="D42" s="7"/>
      <c r="E42" s="8">
        <v>1</v>
      </c>
      <c r="F42" s="8"/>
      <c r="G42" s="9">
        <v>1000</v>
      </c>
      <c r="H42" s="26">
        <f t="shared" si="0"/>
        <v>1000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40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3</v>
      </c>
      <c r="C136" s="10"/>
      <c r="D136" s="7"/>
      <c r="E136" s="8">
        <v>1</v>
      </c>
      <c r="F136" s="8"/>
      <c r="G136" s="9">
        <v>1000</v>
      </c>
      <c r="H136" s="26">
        <f t="shared" si="3"/>
        <v>1000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45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4</v>
      </c>
      <c r="C145" s="10"/>
      <c r="D145" s="7"/>
      <c r="E145" s="8">
        <v>1</v>
      </c>
      <c r="F145" s="8"/>
      <c r="G145" s="9">
        <v>1000</v>
      </c>
      <c r="H145" s="26">
        <f t="shared" si="6"/>
        <v>1000</v>
      </c>
      <c r="I145" s="7">
        <v>1500</v>
      </c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65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2</v>
      </c>
      <c r="C173" s="10"/>
      <c r="D173" s="7"/>
      <c r="E173" s="8">
        <v>2</v>
      </c>
      <c r="F173" s="8"/>
      <c r="G173" s="9">
        <v>4000</v>
      </c>
      <c r="H173" s="26">
        <f t="shared" si="6"/>
        <v>8000</v>
      </c>
      <c r="I173" s="7">
        <v>700</v>
      </c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1700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3</v>
      </c>
      <c r="C199" s="10"/>
      <c r="D199" s="7"/>
      <c r="E199" s="8">
        <v>1</v>
      </c>
      <c r="F199" s="8"/>
      <c r="G199" s="9">
        <v>3000</v>
      </c>
      <c r="H199" s="26">
        <f t="shared" si="6"/>
        <v>3000</v>
      </c>
      <c r="I199" s="7">
        <v>700</v>
      </c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175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942</v>
      </c>
      <c r="C229" s="14"/>
      <c r="D229" s="14"/>
      <c r="E229" s="15"/>
      <c r="F229" s="15"/>
      <c r="G229" s="16"/>
      <c r="H229" s="27">
        <f>SUM(H2:H219)</f>
        <v>14500</v>
      </c>
      <c r="I229" s="17">
        <f>SUM(I2:I218)</f>
        <v>3600</v>
      </c>
      <c r="J229" s="17"/>
      <c r="K229" s="17">
        <f>SUM(K2:K218)</f>
        <v>0</v>
      </c>
      <c r="L229" s="17"/>
      <c r="M229" s="17"/>
      <c r="N229" s="17">
        <f>SUM(N2:N228)</f>
        <v>934</v>
      </c>
      <c r="O229" s="17">
        <f>SUM(O2:O228)</f>
        <v>2090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2090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(C231+D231)/670</f>
        <v>73.364014925373127</v>
      </c>
      <c r="C231" s="8">
        <v>400</v>
      </c>
      <c r="D231" s="8">
        <v>48753.89</v>
      </c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D233/670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2313.3640149253733</v>
      </c>
      <c r="C235" s="8"/>
      <c r="D235" s="8"/>
    </row>
    <row r="236" spans="1:16" x14ac:dyDescent="0.25">
      <c r="A236" s="19" t="s">
        <v>6</v>
      </c>
      <c r="B236" s="20">
        <f>D236/670</f>
        <v>60.447761194029852</v>
      </c>
      <c r="C236" s="8"/>
      <c r="D236" s="8">
        <v>40500</v>
      </c>
    </row>
    <row r="237" spans="1:16" x14ac:dyDescent="0.25">
      <c r="A237" s="19" t="s">
        <v>115</v>
      </c>
      <c r="B237" s="20">
        <f>C237/670</f>
        <v>0</v>
      </c>
      <c r="C237" s="8"/>
      <c r="D237" s="8"/>
    </row>
    <row r="238" spans="1:16" x14ac:dyDescent="0.25">
      <c r="A238" s="19" t="s">
        <v>64</v>
      </c>
      <c r="B238" s="20">
        <f>C238/670</f>
        <v>0</v>
      </c>
      <c r="C238" s="8"/>
      <c r="D238" s="8"/>
    </row>
    <row r="239" spans="1:16" x14ac:dyDescent="0.25">
      <c r="A239" s="19" t="s">
        <v>116</v>
      </c>
      <c r="B239" s="20">
        <v>15</v>
      </c>
      <c r="C239" s="8"/>
      <c r="D239" s="8"/>
    </row>
    <row r="240" spans="1:16" x14ac:dyDescent="0.25">
      <c r="A240" s="12" t="s">
        <v>117</v>
      </c>
      <c r="B240" s="20">
        <f>B236+B237+B238+B239</f>
        <v>75.447761194029852</v>
      </c>
      <c r="C240" s="8"/>
      <c r="D240" s="8"/>
    </row>
    <row r="241" spans="1:6" x14ac:dyDescent="0.25">
      <c r="A241" s="12" t="s">
        <v>118</v>
      </c>
      <c r="B241" s="22">
        <f>B235-B240</f>
        <v>2237.9162537313437</v>
      </c>
      <c r="C241" s="8"/>
      <c r="D241" s="8"/>
    </row>
    <row r="242" spans="1:6" x14ac:dyDescent="0.25">
      <c r="A242" s="19" t="s">
        <v>119</v>
      </c>
      <c r="B242" s="20">
        <f>C242/670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320</v>
      </c>
      <c r="C246" s="8"/>
      <c r="D246" s="8"/>
    </row>
    <row r="247" spans="1:6" x14ac:dyDescent="0.25">
      <c r="A247" s="19" t="s">
        <v>36</v>
      </c>
      <c r="B247" s="20">
        <v>1905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C249/670</f>
        <v>0.59701492537313428</v>
      </c>
      <c r="C249" s="8">
        <v>400</v>
      </c>
      <c r="D249" s="8"/>
      <c r="F249" t="s">
        <v>126</v>
      </c>
    </row>
    <row r="250" spans="1:6" x14ac:dyDescent="0.25">
      <c r="A250" s="19" t="s">
        <v>127</v>
      </c>
      <c r="B250" s="20">
        <f>D250/670</f>
        <v>12.319238805970148</v>
      </c>
      <c r="C250" s="8"/>
      <c r="D250" s="8">
        <v>8253.89</v>
      </c>
    </row>
    <row r="251" spans="1:6" x14ac:dyDescent="0.25">
      <c r="A251" s="12" t="s">
        <v>128</v>
      </c>
      <c r="B251" s="22">
        <f>B246+B247+B248+B249+B250</f>
        <v>2237.9162537313432</v>
      </c>
      <c r="C251" s="8"/>
      <c r="D251" s="8"/>
    </row>
    <row r="252" spans="1:6" x14ac:dyDescent="0.25">
      <c r="A252" s="19" t="s">
        <v>129</v>
      </c>
      <c r="B252" s="20">
        <f>C252/670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4.5474735088646412E-13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C71-34E9-402A-A61A-3AD688F24BDD}">
  <dimension ref="A1:Y286"/>
  <sheetViews>
    <sheetView zoomScale="80" zoomScaleNormal="80" workbookViewId="0">
      <pane ySplit="1" topLeftCell="A224" activePane="bottomLeft" state="frozen"/>
      <selection pane="bottomLeft" activeCell="H243" sqref="H243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12</v>
      </c>
      <c r="C36" s="7"/>
      <c r="D36" s="7"/>
      <c r="E36" s="8">
        <v>1</v>
      </c>
      <c r="F36" s="8"/>
      <c r="G36" s="9">
        <v>200</v>
      </c>
      <c r="H36" s="26">
        <f t="shared" si="0"/>
        <v>200</v>
      </c>
      <c r="I36" s="7"/>
      <c r="J36" s="7"/>
      <c r="K36" s="7"/>
      <c r="L36" s="7">
        <v>20</v>
      </c>
      <c r="M36" s="7"/>
      <c r="N36" s="7">
        <f t="shared" si="2"/>
        <v>11</v>
      </c>
      <c r="O36" s="7">
        <f t="shared" si="1"/>
        <v>20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6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2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3500</v>
      </c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400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934</v>
      </c>
      <c r="C229" s="14"/>
      <c r="D229" s="14"/>
      <c r="E229" s="15"/>
      <c r="F229" s="15"/>
      <c r="G229" s="16"/>
      <c r="H229" s="27">
        <f>SUM(H2:H219)</f>
        <v>4200</v>
      </c>
      <c r="I229" s="17">
        <f>SUM(I2:I218)</f>
        <v>3500</v>
      </c>
      <c r="J229" s="17"/>
      <c r="K229" s="17">
        <f>SUM(K2:K218)</f>
        <v>0</v>
      </c>
      <c r="L229" s="17"/>
      <c r="M229" s="17"/>
      <c r="N229" s="17">
        <f>SUM(N2:N228)</f>
        <v>932</v>
      </c>
      <c r="O229" s="17">
        <f>SUM(O2:O228)</f>
        <v>420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420</v>
      </c>
      <c r="C230" s="2" t="s">
        <v>109</v>
      </c>
      <c r="D230" s="2" t="s">
        <v>110</v>
      </c>
      <c r="N230" s="29"/>
    </row>
    <row r="231" spans="1:16" x14ac:dyDescent="0.25">
      <c r="A231" s="19" t="s">
        <v>111</v>
      </c>
      <c r="B231" s="20">
        <f>(C231+D231)/690</f>
        <v>144.92753623188406</v>
      </c>
      <c r="C231" s="8">
        <v>100000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714.92753623188401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5.0724637681159424</v>
      </c>
      <c r="C237" s="8">
        <v>3500</v>
      </c>
      <c r="D237" s="8"/>
    </row>
    <row r="238" spans="1:16" x14ac:dyDescent="0.25">
      <c r="A238" s="19" t="s">
        <v>64</v>
      </c>
      <c r="B238" s="20">
        <f>C238/690</f>
        <v>36.376811594202898</v>
      </c>
      <c r="C238" s="8">
        <v>25100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41.449275362318843</v>
      </c>
      <c r="C240" s="8"/>
      <c r="D240" s="8"/>
    </row>
    <row r="241" spans="1:6" x14ac:dyDescent="0.25">
      <c r="A241" s="12" t="s">
        <v>118</v>
      </c>
      <c r="B241" s="22">
        <f>B235-B240</f>
        <v>673.47826086956513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490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183.47826086956522</v>
      </c>
      <c r="C249" s="8">
        <v>126600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673.47826086956525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0D19-E95F-4077-B708-1B7E611AEC63}">
  <dimension ref="A1:Y286"/>
  <sheetViews>
    <sheetView zoomScale="80" zoomScaleNormal="80" workbookViewId="0">
      <pane ySplit="1" topLeftCell="A229" activePane="bottomLeft" state="frozen"/>
      <selection pane="bottomLeft" activeCell="H244" sqref="H244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93</v>
      </c>
      <c r="C3" s="7"/>
      <c r="D3" s="7"/>
      <c r="E3" s="8">
        <v>5</v>
      </c>
      <c r="F3" s="8"/>
      <c r="G3" s="9">
        <v>500</v>
      </c>
      <c r="H3" s="26">
        <f t="shared" si="0"/>
        <v>2500</v>
      </c>
      <c r="I3" s="7">
        <v>1500</v>
      </c>
      <c r="J3" s="7"/>
      <c r="K3" s="7"/>
      <c r="L3" s="7">
        <v>30</v>
      </c>
      <c r="M3" s="7"/>
      <c r="N3" s="7">
        <f>B3+C3-D3-E3-F3</f>
        <v>88</v>
      </c>
      <c r="O3" s="7">
        <f t="shared" si="1"/>
        <v>150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11</v>
      </c>
      <c r="C36" s="7"/>
      <c r="D36" s="7"/>
      <c r="E36" s="8">
        <v>1</v>
      </c>
      <c r="F36" s="8"/>
      <c r="G36" s="9">
        <v>200</v>
      </c>
      <c r="H36" s="26">
        <f t="shared" si="0"/>
        <v>200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20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6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1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6</v>
      </c>
      <c r="C214" s="10"/>
      <c r="D214" s="7"/>
      <c r="E214" s="8">
        <v>3</v>
      </c>
      <c r="F214" s="8"/>
      <c r="G214" s="9">
        <v>1000</v>
      </c>
      <c r="H214" s="26">
        <f t="shared" si="6"/>
        <v>3000</v>
      </c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225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932</v>
      </c>
      <c r="C229" s="14"/>
      <c r="D229" s="14"/>
      <c r="E229" s="15"/>
      <c r="F229" s="15"/>
      <c r="G229" s="16"/>
      <c r="H229" s="27">
        <f>SUM(H2:H219)</f>
        <v>5700</v>
      </c>
      <c r="I229" s="17">
        <f>SUM(I2:I218)</f>
        <v>1500</v>
      </c>
      <c r="J229" s="17"/>
      <c r="K229" s="17">
        <f>SUM(K2:K218)</f>
        <v>0</v>
      </c>
      <c r="L229" s="17"/>
      <c r="M229" s="17"/>
      <c r="N229" s="30">
        <f>SUM(N2:N228)</f>
        <v>923</v>
      </c>
      <c r="O229" s="17">
        <f>SUM(O2:O228)</f>
        <v>395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395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103.47826086956522</v>
      </c>
      <c r="C231" s="8">
        <v>71400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648.47826086956525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2.1739130434782608</v>
      </c>
      <c r="C237" s="8">
        <v>1500</v>
      </c>
      <c r="D237" s="8"/>
    </row>
    <row r="238" spans="1:16" x14ac:dyDescent="0.25">
      <c r="A238" s="19" t="s">
        <v>64</v>
      </c>
      <c r="B238" s="20">
        <f>C238/690</f>
        <v>52.028985507246375</v>
      </c>
      <c r="C238" s="8">
        <v>35900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54.202898550724633</v>
      </c>
      <c r="C240" s="8"/>
      <c r="D240" s="8"/>
    </row>
    <row r="241" spans="1:6" x14ac:dyDescent="0.25">
      <c r="A241" s="12" t="s">
        <v>118</v>
      </c>
      <c r="B241" s="22">
        <f>B235-B240</f>
        <v>594.27536231884062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170</v>
      </c>
      <c r="C246" s="8"/>
      <c r="D246" s="8"/>
    </row>
    <row r="247" spans="1:6" x14ac:dyDescent="0.25">
      <c r="A247" s="19" t="s">
        <v>36</v>
      </c>
      <c r="B247" s="20">
        <v>150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274.27536231884056</v>
      </c>
      <c r="C249" s="8">
        <v>189250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594.27536231884051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1.1368683772161603E-13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63E1-C3A7-48CF-9EC8-6BC8EFFF8D9E}">
  <dimension ref="A1:Y286"/>
  <sheetViews>
    <sheetView zoomScale="80" zoomScaleNormal="80" workbookViewId="0">
      <pane ySplit="1" topLeftCell="A218" activePane="bottomLeft" state="frozen"/>
      <selection pane="bottomLeft" activeCell="H106" sqref="H106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1</v>
      </c>
      <c r="C31" s="7"/>
      <c r="D31" s="7">
        <v>1</v>
      </c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 t="s">
        <v>304</v>
      </c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5</v>
      </c>
      <c r="C41" s="7"/>
      <c r="D41" s="7"/>
      <c r="E41" s="8">
        <v>1</v>
      </c>
      <c r="F41" s="8"/>
      <c r="G41" s="9">
        <v>1000</v>
      </c>
      <c r="H41" s="26">
        <f t="shared" si="0"/>
        <v>1000</v>
      </c>
      <c r="I41" s="7">
        <v>700</v>
      </c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70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6</v>
      </c>
      <c r="C42" s="7"/>
      <c r="D42" s="7">
        <v>1</v>
      </c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5</v>
      </c>
      <c r="O42" s="7">
        <f t="shared" si="1"/>
        <v>0</v>
      </c>
      <c r="P42" s="7" t="s">
        <v>318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2</v>
      </c>
      <c r="C73" s="10"/>
      <c r="D73" s="7">
        <v>1</v>
      </c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 t="s">
        <v>304</v>
      </c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3</v>
      </c>
      <c r="C74" s="10"/>
      <c r="D74" s="7">
        <v>2</v>
      </c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 t="s">
        <v>304</v>
      </c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1</v>
      </c>
      <c r="C75" s="10">
        <v>1</v>
      </c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 t="s">
        <v>324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11</v>
      </c>
      <c r="C100" s="10"/>
      <c r="D100" s="7">
        <v>2</v>
      </c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 t="s">
        <v>304</v>
      </c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2</v>
      </c>
      <c r="C102" s="10"/>
      <c r="D102" s="7"/>
      <c r="E102" s="8">
        <v>1</v>
      </c>
      <c r="F102" s="8"/>
      <c r="G102" s="9">
        <v>3000</v>
      </c>
      <c r="H102" s="26"/>
      <c r="I102" s="7">
        <v>700</v>
      </c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300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2</v>
      </c>
      <c r="C110" s="10"/>
      <c r="D110" s="7">
        <v>1</v>
      </c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325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8</v>
      </c>
      <c r="C137" s="10"/>
      <c r="D137" s="7">
        <v>3</v>
      </c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 t="s">
        <v>304</v>
      </c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1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2</v>
      </c>
      <c r="C209" s="10">
        <v>10</v>
      </c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 t="s">
        <v>304</v>
      </c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2</v>
      </c>
      <c r="C211" s="10"/>
      <c r="D211" s="7">
        <v>2</v>
      </c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0</v>
      </c>
      <c r="O211" s="7">
        <f t="shared" si="8"/>
        <v>0</v>
      </c>
      <c r="P211" s="7" t="s">
        <v>304</v>
      </c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3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5</v>
      </c>
      <c r="C216" s="10">
        <v>10</v>
      </c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 t="s">
        <v>304</v>
      </c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52</v>
      </c>
      <c r="C224" s="7"/>
      <c r="D224" s="7">
        <v>8</v>
      </c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 t="s">
        <v>304</v>
      </c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923</v>
      </c>
      <c r="C229" s="14"/>
      <c r="D229" s="14"/>
      <c r="E229" s="15"/>
      <c r="F229" s="15"/>
      <c r="G229" s="16"/>
      <c r="H229" s="27">
        <f>SUM(H2:H219)</f>
        <v>1000</v>
      </c>
      <c r="I229" s="17">
        <f>SUM(I2:I218)</f>
        <v>1400</v>
      </c>
      <c r="J229" s="17"/>
      <c r="K229" s="17">
        <f>SUM(K2:K218)</f>
        <v>0</v>
      </c>
      <c r="L229" s="17"/>
      <c r="M229" s="17"/>
      <c r="N229" s="30">
        <f>SUM(N2:N228)</f>
        <v>921</v>
      </c>
      <c r="O229" s="17">
        <f>SUM(O2:O228)</f>
        <v>370</v>
      </c>
      <c r="P229" s="17">
        <f>SUM(P2:P228)</f>
        <v>-4</v>
      </c>
    </row>
    <row r="230" spans="1:16" x14ac:dyDescent="0.25">
      <c r="A230" s="18" t="s">
        <v>108</v>
      </c>
      <c r="B230" s="18">
        <f>O229</f>
        <v>370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49.275362318840578</v>
      </c>
      <c r="C231" s="8">
        <v>34000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569.27536231884051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2.0289855072463769</v>
      </c>
      <c r="C237" s="8">
        <v>1400</v>
      </c>
      <c r="D237" s="8"/>
    </row>
    <row r="238" spans="1:16" x14ac:dyDescent="0.25">
      <c r="A238" s="19" t="s">
        <v>64</v>
      </c>
      <c r="B238" s="20">
        <f>C238/690</f>
        <v>13.478260869565217</v>
      </c>
      <c r="C238" s="8">
        <v>9300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15.507246376811594</v>
      </c>
      <c r="C240" s="8"/>
      <c r="D240" s="8"/>
    </row>
    <row r="241" spans="1:6" x14ac:dyDescent="0.25">
      <c r="A241" s="12" t="s">
        <v>118</v>
      </c>
      <c r="B241" s="22">
        <f>B235-B240</f>
        <v>553.76811594202889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520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33.768115942028984</v>
      </c>
      <c r="C249" s="8">
        <v>23300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553.768115942029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434A-FBE3-479A-B476-8608217F1E30}">
  <dimension ref="A1:Y286"/>
  <sheetViews>
    <sheetView zoomScale="80" zoomScaleNormal="80" workbookViewId="0">
      <pane ySplit="1" topLeftCell="A218" activePane="bottomLeft" state="frozen"/>
      <selection pane="bottomLeft" activeCell="G239" sqref="G239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2</v>
      </c>
      <c r="C7" s="7"/>
      <c r="D7" s="7"/>
      <c r="E7" s="8">
        <v>1</v>
      </c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500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5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5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1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400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104</v>
      </c>
      <c r="B211" s="6">
        <v>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3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921</v>
      </c>
      <c r="C229" s="14"/>
      <c r="D229" s="14"/>
      <c r="E229" s="15"/>
      <c r="F229" s="15"/>
      <c r="G229" s="16"/>
      <c r="H229" s="27">
        <f>SUM(H2:H219)</f>
        <v>4000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30">
        <f>SUM(N2:N228)</f>
        <v>919</v>
      </c>
      <c r="O229" s="17">
        <f>SUM(O2:O228)</f>
        <v>900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900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33.768115942028984</v>
      </c>
      <c r="C231" s="8">
        <v>23300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1083.768115942029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1.0144927536231885</v>
      </c>
      <c r="C237" s="8">
        <v>700</v>
      </c>
      <c r="D237" s="8"/>
    </row>
    <row r="238" spans="1:16" x14ac:dyDescent="0.25">
      <c r="A238" s="19" t="s">
        <v>64</v>
      </c>
      <c r="B238" s="20">
        <f>C238/690</f>
        <v>3.6231884057971016</v>
      </c>
      <c r="C238" s="8">
        <v>2500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4.63768115942029</v>
      </c>
      <c r="C240" s="8"/>
      <c r="D240" s="8"/>
    </row>
    <row r="241" spans="1:6" x14ac:dyDescent="0.25">
      <c r="A241" s="12" t="s">
        <v>118</v>
      </c>
      <c r="B241" s="22">
        <f>B235-B240</f>
        <v>1079.1304347826087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1050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29.130434782608695</v>
      </c>
      <c r="C249" s="8">
        <v>20100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1079.1304347826087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790A-2FB3-4F4D-B42F-2A819894A40E}">
  <dimension ref="A1:Y286"/>
  <sheetViews>
    <sheetView zoomScale="80" zoomScaleNormal="80" workbookViewId="0">
      <pane ySplit="1" topLeftCell="A217" activePane="bottomLeft" state="frozen"/>
      <selection pane="bottomLeft" activeCell="F239" sqref="F239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5</v>
      </c>
      <c r="C42" s="7"/>
      <c r="D42" s="7">
        <v>2</v>
      </c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 t="s">
        <v>318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0</v>
      </c>
      <c r="C47" s="7">
        <v>2</v>
      </c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 t="s">
        <v>327</v>
      </c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0</v>
      </c>
      <c r="C80" s="10">
        <v>2</v>
      </c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 t="s">
        <v>327</v>
      </c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0</v>
      </c>
      <c r="C81" s="10">
        <v>1</v>
      </c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 t="s">
        <v>327</v>
      </c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2</v>
      </c>
      <c r="C111" s="10"/>
      <c r="D111" s="7">
        <v>1</v>
      </c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 t="s">
        <v>304</v>
      </c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0</v>
      </c>
      <c r="C128" s="10">
        <v>30</v>
      </c>
      <c r="D128" s="7"/>
      <c r="E128" s="8">
        <v>1</v>
      </c>
      <c r="F128" s="8"/>
      <c r="G128" s="9">
        <v>3000</v>
      </c>
      <c r="H128" s="26"/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29</v>
      </c>
      <c r="O128" s="7">
        <f t="shared" si="5"/>
        <v>260</v>
      </c>
      <c r="P128" s="7" t="s">
        <v>304</v>
      </c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0</v>
      </c>
      <c r="C175" s="10">
        <v>3</v>
      </c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3</v>
      </c>
      <c r="O175" s="7">
        <f t="shared" si="5"/>
        <v>0</v>
      </c>
      <c r="P175" s="7" t="s">
        <v>304</v>
      </c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0</v>
      </c>
      <c r="C186" s="10">
        <v>9</v>
      </c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 t="s">
        <v>304</v>
      </c>
    </row>
    <row r="187" spans="1:16" x14ac:dyDescent="0.25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0</v>
      </c>
      <c r="C211" s="10">
        <v>10</v>
      </c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 t="s">
        <v>327</v>
      </c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3</v>
      </c>
      <c r="C214" s="10"/>
      <c r="D214" s="7"/>
      <c r="E214" s="8">
        <v>1</v>
      </c>
      <c r="F214" s="8"/>
      <c r="G214" s="9">
        <v>1000</v>
      </c>
      <c r="H214" s="26"/>
      <c r="I214" s="7">
        <v>2000</v>
      </c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75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919</v>
      </c>
      <c r="C229" s="14"/>
      <c r="D229" s="14"/>
      <c r="E229" s="15"/>
      <c r="F229" s="15"/>
      <c r="G229" s="16"/>
      <c r="H229" s="27">
        <f>SUM(H2:H219)</f>
        <v>0</v>
      </c>
      <c r="I229" s="17">
        <f>SUM(I2:I218)</f>
        <v>2000</v>
      </c>
      <c r="J229" s="17"/>
      <c r="K229" s="17">
        <f>SUM(K2:K218)</f>
        <v>0</v>
      </c>
      <c r="L229" s="17"/>
      <c r="M229" s="17"/>
      <c r="N229" s="30">
        <f>SUM(N2:N228)</f>
        <v>971</v>
      </c>
      <c r="O229" s="17">
        <f>SUM(O2:O228)</f>
        <v>335</v>
      </c>
      <c r="P229" s="17">
        <f>SUM(P2:P228)</f>
        <v>-5</v>
      </c>
    </row>
    <row r="230" spans="1:16" x14ac:dyDescent="0.25">
      <c r="A230" s="18" t="s">
        <v>108</v>
      </c>
      <c r="B230" s="18">
        <f>O229</f>
        <v>335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100</v>
      </c>
      <c r="C231" s="8">
        <v>20100</v>
      </c>
      <c r="D231" s="8">
        <v>48900</v>
      </c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585</v>
      </c>
      <c r="C235" s="8"/>
      <c r="D235" s="8"/>
    </row>
    <row r="236" spans="1:16" x14ac:dyDescent="0.25">
      <c r="A236" s="19" t="s">
        <v>6</v>
      </c>
      <c r="B236" s="20">
        <f>D236/690</f>
        <v>49.130434782608695</v>
      </c>
      <c r="C236" s="8"/>
      <c r="D236" s="8">
        <v>33900</v>
      </c>
    </row>
    <row r="237" spans="1:16" x14ac:dyDescent="0.25">
      <c r="A237" s="19" t="s">
        <v>115</v>
      </c>
      <c r="B237" s="20">
        <f>C237/690</f>
        <v>2.8985507246376812</v>
      </c>
      <c r="C237" s="8">
        <v>2000</v>
      </c>
      <c r="D237" s="8"/>
    </row>
    <row r="238" spans="1:16" x14ac:dyDescent="0.25">
      <c r="A238" s="19" t="s">
        <v>64</v>
      </c>
      <c r="B238" s="20">
        <f>C238/690</f>
        <v>7.2463768115942031</v>
      </c>
      <c r="C238" s="8">
        <v>5000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59.275362318840578</v>
      </c>
      <c r="C240" s="8"/>
      <c r="D240" s="8"/>
    </row>
    <row r="241" spans="1:6" x14ac:dyDescent="0.25">
      <c r="A241" s="12" t="s">
        <v>118</v>
      </c>
      <c r="B241" s="22">
        <f>B235-B240</f>
        <v>525.72463768115938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485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18.985507246376812</v>
      </c>
      <c r="C249" s="8">
        <v>13100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21.739130434782609</v>
      </c>
      <c r="C250" s="8"/>
      <c r="D250" s="8">
        <v>15000</v>
      </c>
    </row>
    <row r="251" spans="1:6" x14ac:dyDescent="0.25">
      <c r="A251" s="12" t="s">
        <v>128</v>
      </c>
      <c r="B251" s="22">
        <f>B246+B247+B248+B249+B250</f>
        <v>525.72463768115938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FE40-A236-4FBD-8699-309E549C632F}">
  <dimension ref="A1:Y286"/>
  <sheetViews>
    <sheetView zoomScale="80" zoomScaleNormal="80" workbookViewId="0">
      <pane ySplit="1" topLeftCell="A164" activePane="bottomLeft" state="frozen"/>
      <selection pane="bottomLeft" activeCell="C188" sqref="C188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3</v>
      </c>
      <c r="C20" s="7"/>
      <c r="D20" s="7"/>
      <c r="E20" s="8">
        <v>2</v>
      </c>
      <c r="F20" s="8"/>
      <c r="G20" s="9">
        <v>1000</v>
      </c>
      <c r="H20" s="26">
        <f t="shared" si="0"/>
        <v>2000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360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9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1500</v>
      </c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>
        <v>2</v>
      </c>
      <c r="D125" s="7"/>
      <c r="E125" s="8">
        <v>1</v>
      </c>
      <c r="F125" s="8"/>
      <c r="G125" s="9">
        <v>3000</v>
      </c>
      <c r="H125" s="26">
        <f t="shared" si="3"/>
        <v>3000</v>
      </c>
      <c r="I125" s="7"/>
      <c r="J125" s="7">
        <v>225</v>
      </c>
      <c r="K125" s="7"/>
      <c r="L125" s="7">
        <v>300</v>
      </c>
      <c r="M125" s="7"/>
      <c r="N125" s="7">
        <f t="shared" si="4"/>
        <v>1</v>
      </c>
      <c r="O125" s="7">
        <f t="shared" si="5"/>
        <v>300</v>
      </c>
      <c r="P125" s="7" t="s">
        <v>304</v>
      </c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29</v>
      </c>
      <c r="C128" s="10">
        <v>4</v>
      </c>
      <c r="D128" s="7"/>
      <c r="E128" s="8">
        <v>1</v>
      </c>
      <c r="F128" s="8"/>
      <c r="G128" s="9">
        <v>3000</v>
      </c>
      <c r="H128" s="26"/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32</v>
      </c>
      <c r="O128" s="7">
        <f t="shared" si="5"/>
        <v>260</v>
      </c>
      <c r="P128" s="7" t="s">
        <v>304</v>
      </c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>
        <v>2</v>
      </c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 t="s">
        <v>304</v>
      </c>
    </row>
    <row r="131" spans="1:16" x14ac:dyDescent="0.25">
      <c r="A131" s="5" t="s">
        <v>276</v>
      </c>
      <c r="B131" s="6">
        <v>0</v>
      </c>
      <c r="C131" s="10">
        <v>2</v>
      </c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2</v>
      </c>
      <c r="O131" s="7">
        <f t="shared" si="5"/>
        <v>0</v>
      </c>
      <c r="P131" s="7" t="s">
        <v>304</v>
      </c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0</v>
      </c>
      <c r="C162" s="7">
        <v>27</v>
      </c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 t="s">
        <v>304</v>
      </c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0</v>
      </c>
      <c r="C169" s="7">
        <v>4</v>
      </c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 t="s">
        <v>304</v>
      </c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0</v>
      </c>
      <c r="C171" s="7">
        <v>1</v>
      </c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 t="s">
        <v>304</v>
      </c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0</v>
      </c>
      <c r="C173" s="10">
        <v>3</v>
      </c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 t="s">
        <v>304</v>
      </c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3</v>
      </c>
      <c r="C175" s="10"/>
      <c r="D175" s="7"/>
      <c r="E175" s="8">
        <v>1</v>
      </c>
      <c r="F175" s="8"/>
      <c r="G175" s="9">
        <v>4000</v>
      </c>
      <c r="H175" s="26">
        <f t="shared" si="6"/>
        <v>4000</v>
      </c>
      <c r="I175" s="7">
        <v>1500</v>
      </c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500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>
        <v>3</v>
      </c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3</v>
      </c>
      <c r="O185" s="7">
        <f t="shared" si="8"/>
        <v>0</v>
      </c>
      <c r="P185" s="7" t="s">
        <v>304</v>
      </c>
    </row>
    <row r="186" spans="1:16" x14ac:dyDescent="0.25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0</v>
      </c>
      <c r="C187" s="10">
        <v>3</v>
      </c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971</v>
      </c>
      <c r="C229" s="14"/>
      <c r="D229" s="14"/>
      <c r="E229" s="15"/>
      <c r="F229" s="15"/>
      <c r="G229" s="16"/>
      <c r="H229" s="27">
        <f>SUM(H2:H219)</f>
        <v>12000</v>
      </c>
      <c r="I229" s="17">
        <f>SUM(I2:I218)</f>
        <v>3000</v>
      </c>
      <c r="J229" s="17"/>
      <c r="K229" s="17">
        <f>SUM(K2:K218)</f>
        <v>0</v>
      </c>
      <c r="L229" s="17"/>
      <c r="M229" s="17"/>
      <c r="N229" s="30">
        <f>SUM(N2:N228)</f>
        <v>1016</v>
      </c>
      <c r="O229" s="17">
        <f>SUM(O2:O228)</f>
        <v>1620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1620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18.985507246376812</v>
      </c>
      <c r="C231" s="8">
        <v>13100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1788.9855072463768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4.3478260869565215</v>
      </c>
      <c r="C237" s="8">
        <v>3000</v>
      </c>
      <c r="D237" s="8"/>
    </row>
    <row r="238" spans="1:16" x14ac:dyDescent="0.25">
      <c r="A238" s="19" t="s">
        <v>64</v>
      </c>
      <c r="B238" s="20">
        <f>C238/690</f>
        <v>14.637681159420289</v>
      </c>
      <c r="C238" s="8">
        <v>10100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18.985507246376812</v>
      </c>
      <c r="C240" s="8"/>
      <c r="D240" s="8"/>
    </row>
    <row r="241" spans="1:6" x14ac:dyDescent="0.25">
      <c r="A241" s="12" t="s">
        <v>118</v>
      </c>
      <c r="B241" s="22">
        <f>B235-B240</f>
        <v>1770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1070</v>
      </c>
      <c r="C246" s="8"/>
      <c r="D246" s="8"/>
    </row>
    <row r="247" spans="1:6" x14ac:dyDescent="0.25">
      <c r="A247" s="19" t="s">
        <v>36</v>
      </c>
      <c r="B247" s="20">
        <v>700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0</v>
      </c>
      <c r="C249" s="8"/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1770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02ED-CE04-477A-A8EE-81370A0C787A}">
  <dimension ref="A1:Y286"/>
  <sheetViews>
    <sheetView zoomScale="80" zoomScaleNormal="80" workbookViewId="0">
      <pane ySplit="1" topLeftCell="A182" activePane="bottomLeft" state="frozen"/>
      <selection pane="bottomLeft" activeCell="C187" sqref="C187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9</v>
      </c>
      <c r="C33" s="7"/>
      <c r="D33" s="7"/>
      <c r="E33" s="8">
        <v>1</v>
      </c>
      <c r="F33" s="8"/>
      <c r="G33" s="9">
        <v>1000</v>
      </c>
      <c r="H33" s="26">
        <f t="shared" si="0"/>
        <v>1000</v>
      </c>
      <c r="I33" s="7">
        <v>1500</v>
      </c>
      <c r="J33" s="7">
        <v>25</v>
      </c>
      <c r="K33" s="7"/>
      <c r="L33" s="7">
        <v>45</v>
      </c>
      <c r="M33" s="7"/>
      <c r="N33" s="7">
        <f t="shared" si="2"/>
        <v>8</v>
      </c>
      <c r="O33" s="7">
        <f t="shared" si="1"/>
        <v>45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8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1</v>
      </c>
      <c r="C125" s="10"/>
      <c r="D125" s="7"/>
      <c r="E125" s="8">
        <v>1</v>
      </c>
      <c r="F125" s="8"/>
      <c r="G125" s="9">
        <v>3000</v>
      </c>
      <c r="H125" s="26">
        <f t="shared" si="3"/>
        <v>3000</v>
      </c>
      <c r="I125" s="7">
        <v>700</v>
      </c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310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32</v>
      </c>
      <c r="C128" s="10"/>
      <c r="D128" s="7"/>
      <c r="E128" s="8">
        <v>1</v>
      </c>
      <c r="F128" s="8"/>
      <c r="G128" s="9">
        <v>3000</v>
      </c>
      <c r="H128" s="26">
        <f t="shared" si="3"/>
        <v>3000</v>
      </c>
      <c r="I128" s="7">
        <v>700</v>
      </c>
      <c r="J128" s="7">
        <v>170</v>
      </c>
      <c r="K128" s="7"/>
      <c r="L128" s="7">
        <v>260</v>
      </c>
      <c r="M128" s="7">
        <v>200</v>
      </c>
      <c r="N128" s="7">
        <f t="shared" si="4"/>
        <v>31</v>
      </c>
      <c r="O128" s="7">
        <f t="shared" si="5"/>
        <v>260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2</v>
      </c>
      <c r="C131" s="10"/>
      <c r="D131" s="7"/>
      <c r="E131" s="8">
        <v>2</v>
      </c>
      <c r="F131" s="8"/>
      <c r="G131" s="9">
        <v>3000</v>
      </c>
      <c r="H131" s="26">
        <f t="shared" si="3"/>
        <v>6000</v>
      </c>
      <c r="I131" s="7">
        <v>2200</v>
      </c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840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3</v>
      </c>
      <c r="C185" s="10"/>
      <c r="D185" s="7"/>
      <c r="E185" s="8">
        <v>1</v>
      </c>
      <c r="F185" s="8"/>
      <c r="G185" s="9">
        <v>3000</v>
      </c>
      <c r="H185" s="26">
        <f t="shared" ref="H185:H193" si="9">(E185+F185)*G185</f>
        <v>3000</v>
      </c>
      <c r="I185" s="7">
        <v>700</v>
      </c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375</v>
      </c>
      <c r="P185" s="7"/>
    </row>
    <row r="186" spans="1:16" x14ac:dyDescent="0.25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1012</v>
      </c>
      <c r="C229" s="14"/>
      <c r="D229" s="14"/>
      <c r="E229" s="15"/>
      <c r="F229" s="15"/>
      <c r="G229" s="16"/>
      <c r="H229" s="27">
        <f>SUM(H2:H219)</f>
        <v>16000</v>
      </c>
      <c r="I229" s="17">
        <f>SUM(I2:I218)</f>
        <v>5800</v>
      </c>
      <c r="J229" s="17"/>
      <c r="K229" s="17">
        <f>SUM(K2:K218)</f>
        <v>0</v>
      </c>
      <c r="L229" s="17"/>
      <c r="M229" s="17"/>
      <c r="N229" s="30">
        <f>SUM(N2:N228)</f>
        <v>1010</v>
      </c>
      <c r="O229" s="17">
        <f>SUM(O2:O228)</f>
        <v>1830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1830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144.92753623188406</v>
      </c>
      <c r="C231" s="8">
        <v>100000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2124.927536231884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8.4057971014492754</v>
      </c>
      <c r="C237" s="8">
        <v>5800</v>
      </c>
      <c r="D237" s="8"/>
    </row>
    <row r="238" spans="1:16" x14ac:dyDescent="0.25">
      <c r="A238" s="19" t="s">
        <v>64</v>
      </c>
      <c r="B238" s="20">
        <f>C238/690</f>
        <v>5.7971014492753623</v>
      </c>
      <c r="C238" s="8">
        <v>4000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14.202898550724637</v>
      </c>
      <c r="C240" s="8"/>
      <c r="D240" s="8"/>
    </row>
    <row r="241" spans="1:6" x14ac:dyDescent="0.25">
      <c r="A241" s="12" t="s">
        <v>118</v>
      </c>
      <c r="B241" s="22">
        <f>B235-B240</f>
        <v>2110.7246376811595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1335</v>
      </c>
      <c r="C246" s="8"/>
      <c r="D246" s="8"/>
    </row>
    <row r="247" spans="1:6" x14ac:dyDescent="0.25">
      <c r="A247" s="19" t="s">
        <v>36</v>
      </c>
      <c r="B247" s="20">
        <v>645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130.72463768115941</v>
      </c>
      <c r="C249" s="8">
        <v>90200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2110.7246376811595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3387-761C-405E-82B7-77299BDF3EA8}">
  <dimension ref="A1:Y286"/>
  <sheetViews>
    <sheetView zoomScale="80" zoomScaleNormal="80" workbookViewId="0">
      <pane ySplit="1" topLeftCell="A173" activePane="bottomLeft" state="frozen"/>
      <selection pane="bottomLeft" activeCell="C187" sqref="C187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8</v>
      </c>
      <c r="C33" s="7"/>
      <c r="D33" s="7">
        <v>1</v>
      </c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7</v>
      </c>
      <c r="O33" s="7">
        <f t="shared" si="1"/>
        <v>0</v>
      </c>
      <c r="P33" s="7" t="s">
        <v>316</v>
      </c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2</v>
      </c>
      <c r="C55" s="7"/>
      <c r="D55" s="7"/>
      <c r="E55" s="8">
        <v>1</v>
      </c>
      <c r="F55" s="8"/>
      <c r="G55" s="9">
        <v>4000</v>
      </c>
      <c r="H55" s="26"/>
      <c r="I55" s="7">
        <v>700</v>
      </c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510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8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31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31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2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1006</v>
      </c>
      <c r="C229" s="14"/>
      <c r="D229" s="14"/>
      <c r="E229" s="15"/>
      <c r="F229" s="15"/>
      <c r="G229" s="16"/>
      <c r="H229" s="27">
        <f>SUM(H2:H219)</f>
        <v>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30">
        <f>SUM(N2:N228)</f>
        <v>1008</v>
      </c>
      <c r="O229" s="17">
        <f>SUM(O2:O228)</f>
        <v>510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510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130.72463768115941</v>
      </c>
      <c r="C231" s="8">
        <v>90200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790.72463768115938</v>
      </c>
      <c r="C235" s="8"/>
      <c r="D235" s="8"/>
    </row>
    <row r="236" spans="1:16" x14ac:dyDescent="0.25">
      <c r="A236" s="19" t="s">
        <v>6</v>
      </c>
      <c r="B236" s="20">
        <f>D236/690</f>
        <v>0</v>
      </c>
      <c r="C236" s="8"/>
      <c r="D236" s="8"/>
    </row>
    <row r="237" spans="1:16" x14ac:dyDescent="0.25">
      <c r="A237" s="19" t="s">
        <v>115</v>
      </c>
      <c r="B237" s="20">
        <f>C237/690</f>
        <v>1.0144927536231885</v>
      </c>
      <c r="C237" s="8">
        <v>700</v>
      </c>
      <c r="D237" s="8"/>
    </row>
    <row r="238" spans="1:16" x14ac:dyDescent="0.25">
      <c r="A238" s="19" t="s">
        <v>64</v>
      </c>
      <c r="B238" s="20">
        <f>C238/690</f>
        <v>58.724637681159422</v>
      </c>
      <c r="C238" s="8">
        <v>40520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59.739130434782609</v>
      </c>
      <c r="C240" s="8"/>
      <c r="D240" s="8"/>
    </row>
    <row r="241" spans="1:6" x14ac:dyDescent="0.25">
      <c r="A241" s="12" t="s">
        <v>118</v>
      </c>
      <c r="B241" s="22">
        <f>B235-B240</f>
        <v>730.98550724637676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660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70.985507246376812</v>
      </c>
      <c r="C249" s="8">
        <v>48980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730.98550724637676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3F82-D392-4816-9896-D0D21B2364EA}">
  <dimension ref="A1:Y286"/>
  <sheetViews>
    <sheetView zoomScale="80" zoomScaleNormal="80" workbookViewId="0">
      <pane ySplit="1" topLeftCell="A206" activePane="bottomLeft" state="frozen"/>
      <selection pane="bottomLeft" activeCell="G233" sqref="G233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7</v>
      </c>
      <c r="C33" s="7"/>
      <c r="D33" s="7"/>
      <c r="E33" s="8">
        <v>2</v>
      </c>
      <c r="F33" s="8"/>
      <c r="G33" s="9">
        <v>1000</v>
      </c>
      <c r="H33" s="26">
        <v>1000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90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8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700</v>
      </c>
      <c r="J100" s="7">
        <v>190</v>
      </c>
      <c r="K100" s="7"/>
      <c r="L100" s="7">
        <v>200</v>
      </c>
      <c r="M100" s="7"/>
      <c r="N100" s="7">
        <f t="shared" si="4"/>
        <v>7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4</v>
      </c>
      <c r="C119" s="10"/>
      <c r="D119" s="7">
        <v>1</v>
      </c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 t="s">
        <v>316</v>
      </c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31</v>
      </c>
      <c r="C128" s="10"/>
      <c r="D128" s="7"/>
      <c r="E128" s="8">
        <v>2</v>
      </c>
      <c r="F128" s="8"/>
      <c r="G128" s="9">
        <v>3000</v>
      </c>
      <c r="H128" s="26">
        <f t="shared" si="3"/>
        <v>6000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29</v>
      </c>
      <c r="O128" s="7">
        <f t="shared" si="5"/>
        <v>520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2</v>
      </c>
      <c r="C185" s="10"/>
      <c r="D185" s="7"/>
      <c r="E185" s="8">
        <v>2</v>
      </c>
      <c r="F185" s="8"/>
      <c r="G185" s="9">
        <v>3000</v>
      </c>
      <c r="H185" s="26">
        <v>3000</v>
      </c>
      <c r="I185" s="7">
        <v>700</v>
      </c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750</v>
      </c>
      <c r="P185" s="7"/>
    </row>
    <row r="186" spans="1:16" x14ac:dyDescent="0.25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ref="H186:H193" si="9">(E186+F186)*G186</f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2</v>
      </c>
      <c r="C197" s="10"/>
      <c r="D197" s="7"/>
      <c r="E197" s="8">
        <v>1</v>
      </c>
      <c r="F197" s="8"/>
      <c r="G197" s="9">
        <v>3000</v>
      </c>
      <c r="H197" s="26">
        <f t="shared" si="6"/>
        <v>3000</v>
      </c>
      <c r="I197" s="7">
        <v>700</v>
      </c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175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1004</v>
      </c>
      <c r="C229" s="14"/>
      <c r="D229" s="14"/>
      <c r="E229" s="15"/>
      <c r="F229" s="15"/>
      <c r="G229" s="16"/>
      <c r="H229" s="27">
        <f>SUM(H2:H219)</f>
        <v>16000</v>
      </c>
      <c r="I229" s="17">
        <f>SUM(I2:I218)</f>
        <v>2100</v>
      </c>
      <c r="J229" s="17"/>
      <c r="K229" s="17">
        <f>SUM(K2:K218)</f>
        <v>0</v>
      </c>
      <c r="L229" s="17"/>
      <c r="M229" s="17"/>
      <c r="N229" s="30">
        <f>SUM(N2:N228)</f>
        <v>999</v>
      </c>
      <c r="O229" s="17">
        <f>SUM(O2:O228)</f>
        <v>1735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1735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(C231+D231)/690</f>
        <v>131.85507246376812</v>
      </c>
      <c r="C231" s="8">
        <v>48980</v>
      </c>
      <c r="D231" s="8">
        <v>42000</v>
      </c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D233/690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2016.855072463768</v>
      </c>
      <c r="C235" s="8"/>
      <c r="D235" s="8"/>
    </row>
    <row r="236" spans="1:16" x14ac:dyDescent="0.25">
      <c r="A236" s="19" t="s">
        <v>6</v>
      </c>
      <c r="B236" s="20">
        <f>D236/690</f>
        <v>39.130434782608695</v>
      </c>
      <c r="C236" s="8"/>
      <c r="D236" s="8">
        <v>27000</v>
      </c>
    </row>
    <row r="237" spans="1:16" x14ac:dyDescent="0.25">
      <c r="A237" s="19" t="s">
        <v>115</v>
      </c>
      <c r="B237" s="20">
        <f>C237/690</f>
        <v>3.0434782608695654</v>
      </c>
      <c r="C237" s="8">
        <v>2100</v>
      </c>
      <c r="D237" s="8"/>
    </row>
    <row r="238" spans="1:16" x14ac:dyDescent="0.25">
      <c r="A238" s="19" t="s">
        <v>64</v>
      </c>
      <c r="B238" s="20">
        <f>C238/690</f>
        <v>2.8985507246376812</v>
      </c>
      <c r="C238" s="8">
        <v>2000</v>
      </c>
      <c r="D238" s="8"/>
    </row>
    <row r="239" spans="1:16" x14ac:dyDescent="0.25">
      <c r="A239" s="19" t="s">
        <v>116</v>
      </c>
      <c r="B239" s="20">
        <v>15</v>
      </c>
      <c r="C239" s="8"/>
      <c r="D239" s="8"/>
    </row>
    <row r="240" spans="1:16" x14ac:dyDescent="0.25">
      <c r="A240" s="12" t="s">
        <v>117</v>
      </c>
      <c r="B240" s="20">
        <f>B236+B237+B238+B239</f>
        <v>60.072463768115938</v>
      </c>
      <c r="C240" s="8"/>
      <c r="D240" s="8"/>
    </row>
    <row r="241" spans="1:6" x14ac:dyDescent="0.25">
      <c r="A241" s="12" t="s">
        <v>118</v>
      </c>
      <c r="B241" s="22">
        <f>B235-B240</f>
        <v>1956.782608695652</v>
      </c>
      <c r="C241" s="8"/>
      <c r="D241" s="8"/>
    </row>
    <row r="242" spans="1:6" x14ac:dyDescent="0.25">
      <c r="A242" s="19" t="s">
        <v>119</v>
      </c>
      <c r="B242" s="20">
        <f>C242/690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1870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C249/690</f>
        <v>65.043478260869563</v>
      </c>
      <c r="C249" s="8">
        <v>44880</v>
      </c>
      <c r="D249" s="8"/>
      <c r="F249" t="s">
        <v>126</v>
      </c>
    </row>
    <row r="250" spans="1:6" x14ac:dyDescent="0.25">
      <c r="A250" s="19" t="s">
        <v>127</v>
      </c>
      <c r="B250" s="20">
        <f>D250/690</f>
        <v>21.739130434782609</v>
      </c>
      <c r="C250" s="8"/>
      <c r="D250" s="8">
        <v>15000</v>
      </c>
    </row>
    <row r="251" spans="1:6" x14ac:dyDescent="0.25">
      <c r="A251" s="12" t="s">
        <v>128</v>
      </c>
      <c r="B251" s="22">
        <f>B246+B247+B248+B249+B250</f>
        <v>1956.782608695652</v>
      </c>
      <c r="C251" s="8"/>
      <c r="D251" s="8"/>
    </row>
    <row r="252" spans="1:6" x14ac:dyDescent="0.25">
      <c r="A252" s="19" t="s">
        <v>129</v>
      </c>
      <c r="B252" s="20">
        <f>C252/690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76AB-0ED2-4B07-AD75-E662E49FCEC6}">
  <dimension ref="A1:Y286"/>
  <sheetViews>
    <sheetView zoomScale="80" zoomScaleNormal="80" workbookViewId="0">
      <pane ySplit="1" topLeftCell="A206" activePane="bottomLeft" state="frozen"/>
      <selection pane="bottomLeft" activeCell="I234" sqref="I234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88</v>
      </c>
      <c r="C3" s="7"/>
      <c r="D3" s="7">
        <v>3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85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3</v>
      </c>
      <c r="C28" s="7"/>
      <c r="D28" s="7">
        <v>1</v>
      </c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 t="s">
        <v>304</v>
      </c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5</v>
      </c>
      <c r="C43" s="7"/>
      <c r="D43" s="7"/>
      <c r="E43" s="8">
        <v>1</v>
      </c>
      <c r="F43" s="8"/>
      <c r="G43" s="9">
        <v>3000</v>
      </c>
      <c r="H43" s="26">
        <f t="shared" si="0"/>
        <v>3000</v>
      </c>
      <c r="I43" s="7">
        <v>700</v>
      </c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200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2</v>
      </c>
      <c r="C52" s="7"/>
      <c r="D52" s="7">
        <v>2</v>
      </c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 t="s">
        <v>304</v>
      </c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1</v>
      </c>
      <c r="C69" s="7"/>
      <c r="D69" s="7">
        <v>1</v>
      </c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 t="s">
        <v>304</v>
      </c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7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1500</v>
      </c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1</v>
      </c>
      <c r="C111" s="10"/>
      <c r="D111" s="7">
        <v>1</v>
      </c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 t="s">
        <v>304</v>
      </c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29</v>
      </c>
      <c r="C128" s="10"/>
      <c r="D128" s="7"/>
      <c r="E128" s="8">
        <v>1</v>
      </c>
      <c r="F128" s="8"/>
      <c r="G128" s="9">
        <v>3000</v>
      </c>
      <c r="H128" s="26">
        <f t="shared" si="3"/>
        <v>3000</v>
      </c>
      <c r="I128" s="7">
        <v>4000</v>
      </c>
      <c r="J128" s="7">
        <v>170</v>
      </c>
      <c r="K128" s="7"/>
      <c r="L128" s="7">
        <v>260</v>
      </c>
      <c r="M128" s="7">
        <v>200</v>
      </c>
      <c r="N128" s="7">
        <f t="shared" si="4"/>
        <v>28</v>
      </c>
      <c r="O128" s="7">
        <f t="shared" si="5"/>
        <v>260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91</v>
      </c>
      <c r="C165" s="7"/>
      <c r="D165" s="7"/>
      <c r="E165" s="8">
        <v>1</v>
      </c>
      <c r="F165" s="8"/>
      <c r="G165" s="9">
        <v>1000</v>
      </c>
      <c r="H165" s="26"/>
      <c r="I165" s="7">
        <v>700</v>
      </c>
      <c r="J165" s="7">
        <v>140</v>
      </c>
      <c r="K165" s="7"/>
      <c r="L165" s="7">
        <v>180</v>
      </c>
      <c r="M165" s="7"/>
      <c r="N165" s="7">
        <f t="shared" si="7"/>
        <v>90</v>
      </c>
      <c r="O165" s="7">
        <f t="shared" si="5"/>
        <v>180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>
        <v>2</v>
      </c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 t="s">
        <v>304</v>
      </c>
    </row>
    <row r="186" spans="1:16" x14ac:dyDescent="0.25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ref="H186:H193" si="9">(E186+F186)*G186</f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999</v>
      </c>
      <c r="C229" s="14"/>
      <c r="D229" s="14"/>
      <c r="E229" s="15"/>
      <c r="F229" s="15"/>
      <c r="G229" s="16"/>
      <c r="H229" s="27">
        <f>SUM(H2:H219)</f>
        <v>9000</v>
      </c>
      <c r="I229" s="17">
        <f>SUM(I2:I218)</f>
        <v>6900</v>
      </c>
      <c r="J229" s="17"/>
      <c r="K229" s="17">
        <f>SUM(K2:K218)</f>
        <v>0</v>
      </c>
      <c r="L229" s="17"/>
      <c r="M229" s="17"/>
      <c r="N229" s="30">
        <f>SUM(N2:N228)</f>
        <v>989</v>
      </c>
      <c r="O229" s="17">
        <f>SUM(O2:O228)</f>
        <v>840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840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(C231+D231)/750</f>
        <v>59.84</v>
      </c>
      <c r="C231" s="8">
        <v>44880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D233/750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1049.8400000000001</v>
      </c>
      <c r="C235" s="8"/>
      <c r="D235" s="8"/>
    </row>
    <row r="236" spans="1:16" x14ac:dyDescent="0.25">
      <c r="A236" s="19" t="s">
        <v>6</v>
      </c>
      <c r="B236" s="20">
        <f>D236/750</f>
        <v>0</v>
      </c>
      <c r="C236" s="8"/>
      <c r="D236" s="8"/>
    </row>
    <row r="237" spans="1:16" x14ac:dyDescent="0.25">
      <c r="A237" s="19" t="s">
        <v>115</v>
      </c>
      <c r="B237" s="20">
        <f>C237/750</f>
        <v>9.1999999999999993</v>
      </c>
      <c r="C237" s="8">
        <v>6900</v>
      </c>
      <c r="D237" s="8"/>
    </row>
    <row r="238" spans="1:16" x14ac:dyDescent="0.25">
      <c r="A238" s="19" t="s">
        <v>64</v>
      </c>
      <c r="B238" s="20">
        <f>C238/750</f>
        <v>29.333333333333332</v>
      </c>
      <c r="C238" s="8">
        <v>22000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38.533333333333331</v>
      </c>
      <c r="C240" s="8"/>
      <c r="D240" s="8"/>
    </row>
    <row r="241" spans="1:6" x14ac:dyDescent="0.25">
      <c r="A241" s="12" t="s">
        <v>118</v>
      </c>
      <c r="B241" s="22">
        <f>B235-B240</f>
        <v>1011.3066666666668</v>
      </c>
      <c r="C241" s="8"/>
      <c r="D241" s="8"/>
    </row>
    <row r="242" spans="1:6" x14ac:dyDescent="0.25">
      <c r="A242" s="19" t="s">
        <v>119</v>
      </c>
      <c r="B242" s="20">
        <f>C242/750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790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C249/750</f>
        <v>221.30666666666667</v>
      </c>
      <c r="C249" s="8">
        <v>165980</v>
      </c>
      <c r="D249" s="8"/>
      <c r="F249" t="s">
        <v>126</v>
      </c>
    </row>
    <row r="250" spans="1:6" x14ac:dyDescent="0.25">
      <c r="A250" s="19" t="s">
        <v>127</v>
      </c>
      <c r="B250" s="20">
        <f>D250/750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1011.3066666666666</v>
      </c>
      <c r="C251" s="8"/>
      <c r="D251" s="8"/>
    </row>
    <row r="252" spans="1:6" x14ac:dyDescent="0.25">
      <c r="A252" s="19" t="s">
        <v>129</v>
      </c>
      <c r="B252" s="20">
        <f>C252/750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2.2737367544323206E-13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75EC-3259-4ED1-A238-6AB2025BDEEC}">
  <dimension ref="A1:Y286"/>
  <sheetViews>
    <sheetView zoomScale="80" zoomScaleNormal="80" workbookViewId="0">
      <pane ySplit="1" topLeftCell="A2" activePane="bottomLeft" state="frozen"/>
      <selection pane="bottomLeft" activeCell="H129" sqref="H129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85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85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3</v>
      </c>
      <c r="C23" s="7"/>
      <c r="D23" s="7"/>
      <c r="E23" s="8">
        <v>1</v>
      </c>
      <c r="F23" s="8"/>
      <c r="G23" s="9">
        <v>1000</v>
      </c>
      <c r="H23" s="26">
        <f t="shared" si="0"/>
        <v>1000</v>
      </c>
      <c r="I23" s="7">
        <v>700</v>
      </c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45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28</v>
      </c>
      <c r="C128" s="10"/>
      <c r="D128" s="7"/>
      <c r="E128" s="8">
        <v>2</v>
      </c>
      <c r="F128" s="8"/>
      <c r="G128" s="9">
        <v>3000</v>
      </c>
      <c r="H128" s="26">
        <v>3000</v>
      </c>
      <c r="I128" s="7">
        <v>2900</v>
      </c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520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2</v>
      </c>
      <c r="C130" s="10"/>
      <c r="D130" s="7">
        <v>2</v>
      </c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 t="s">
        <v>316</v>
      </c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6</v>
      </c>
      <c r="C160" s="10"/>
      <c r="D160" s="7"/>
      <c r="E160" s="8">
        <v>1</v>
      </c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20</v>
      </c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90</v>
      </c>
      <c r="C165" s="7"/>
      <c r="D165" s="7"/>
      <c r="E165" s="8">
        <v>1</v>
      </c>
      <c r="F165" s="8"/>
      <c r="G165" s="9">
        <v>2500</v>
      </c>
      <c r="H165" s="26">
        <f t="shared" si="6"/>
        <v>2500</v>
      </c>
      <c r="I165" s="7">
        <v>1500</v>
      </c>
      <c r="J165" s="7">
        <v>140</v>
      </c>
      <c r="K165" s="7"/>
      <c r="L165" s="7">
        <v>180</v>
      </c>
      <c r="M165" s="7"/>
      <c r="N165" s="7">
        <f t="shared" si="7"/>
        <v>89</v>
      </c>
      <c r="O165" s="7">
        <f t="shared" si="5"/>
        <v>180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4</v>
      </c>
      <c r="C169" s="7"/>
      <c r="D169" s="7"/>
      <c r="E169" s="8">
        <v>1</v>
      </c>
      <c r="F169" s="8"/>
      <c r="G169" s="9">
        <v>4000</v>
      </c>
      <c r="H169" s="26">
        <f t="shared" si="6"/>
        <v>4000</v>
      </c>
      <c r="I169" s="7">
        <v>700</v>
      </c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400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5</v>
      </c>
      <c r="C180" s="10"/>
      <c r="D180" s="7"/>
      <c r="E180" s="8">
        <v>1</v>
      </c>
      <c r="F180" s="8"/>
      <c r="G180" s="9">
        <v>3000</v>
      </c>
      <c r="H180" s="26">
        <f t="shared" si="6"/>
        <v>3000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295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2</v>
      </c>
      <c r="C185" s="10"/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9</v>
      </c>
      <c r="C186" s="10"/>
      <c r="D186" s="7"/>
      <c r="E186" s="8">
        <v>1</v>
      </c>
      <c r="F186" s="8"/>
      <c r="G186" s="9">
        <v>3000</v>
      </c>
      <c r="H186" s="26">
        <f t="shared" si="6"/>
        <v>3000</v>
      </c>
      <c r="I186" s="7">
        <v>700</v>
      </c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295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989</v>
      </c>
      <c r="C229" s="14"/>
      <c r="D229" s="14"/>
      <c r="E229" s="15"/>
      <c r="F229" s="15"/>
      <c r="G229" s="16"/>
      <c r="H229" s="27">
        <f>SUM(H2:H219)</f>
        <v>16500</v>
      </c>
      <c r="I229" s="17">
        <f>SUM(I2:I218)</f>
        <v>6500</v>
      </c>
      <c r="J229" s="17"/>
      <c r="K229" s="17">
        <f>SUM(K2:K218)</f>
        <v>0</v>
      </c>
      <c r="L229" s="17"/>
      <c r="M229" s="17"/>
      <c r="N229" s="30">
        <f>SUM(N2:N228)</f>
        <v>979</v>
      </c>
      <c r="O229" s="17">
        <f>SUM(O2:O228)</f>
        <v>1755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1755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(C231+D231)/750</f>
        <v>133.33333333333334</v>
      </c>
      <c r="C231" s="8">
        <v>100000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D233/750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2038.3333333333333</v>
      </c>
      <c r="C235" s="8"/>
      <c r="D235" s="8"/>
    </row>
    <row r="236" spans="1:16" x14ac:dyDescent="0.25">
      <c r="A236" s="19" t="s">
        <v>6</v>
      </c>
      <c r="B236" s="20">
        <f>D236/750</f>
        <v>0</v>
      </c>
      <c r="C236" s="8"/>
      <c r="D236" s="8"/>
    </row>
    <row r="237" spans="1:16" x14ac:dyDescent="0.25">
      <c r="A237" s="19" t="s">
        <v>115</v>
      </c>
      <c r="B237" s="20">
        <f>C237/750</f>
        <v>8.6666666666666661</v>
      </c>
      <c r="C237" s="8">
        <v>6500</v>
      </c>
      <c r="D237" s="8"/>
    </row>
    <row r="238" spans="1:16" x14ac:dyDescent="0.25">
      <c r="A238" s="19" t="s">
        <v>64</v>
      </c>
      <c r="B238" s="20">
        <f>C238/750</f>
        <v>14</v>
      </c>
      <c r="C238" s="8">
        <v>10500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22.666666666666664</v>
      </c>
      <c r="C240" s="8"/>
      <c r="D240" s="8"/>
    </row>
    <row r="241" spans="1:6" x14ac:dyDescent="0.25">
      <c r="A241" s="12" t="s">
        <v>118</v>
      </c>
      <c r="B241" s="22">
        <f>B235-B240</f>
        <v>2015.6666666666665</v>
      </c>
      <c r="C241" s="8"/>
      <c r="D241" s="8"/>
    </row>
    <row r="242" spans="1:6" x14ac:dyDescent="0.25">
      <c r="A242" s="19" t="s">
        <v>119</v>
      </c>
      <c r="B242" s="20">
        <f>C242/750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1090</v>
      </c>
      <c r="C246" s="8"/>
      <c r="D246" s="8"/>
    </row>
    <row r="247" spans="1:6" x14ac:dyDescent="0.25">
      <c r="A247" s="19" t="s">
        <v>36</v>
      </c>
      <c r="B247" s="20">
        <v>815</v>
      </c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C249/750</f>
        <v>110.66666666666667</v>
      </c>
      <c r="C249" s="8">
        <v>83000</v>
      </c>
      <c r="D249" s="8"/>
      <c r="F249" t="s">
        <v>126</v>
      </c>
    </row>
    <row r="250" spans="1:6" x14ac:dyDescent="0.25">
      <c r="A250" s="19" t="s">
        <v>127</v>
      </c>
      <c r="B250" s="20">
        <f>D250/750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2015.6666666666667</v>
      </c>
      <c r="C251" s="8"/>
      <c r="D251" s="8"/>
    </row>
    <row r="252" spans="1:6" x14ac:dyDescent="0.25">
      <c r="A252" s="19" t="s">
        <v>129</v>
      </c>
      <c r="B252" s="20">
        <f>C252/750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-2.2737367544323206E-13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824F-E64F-4688-83A1-21D50ADAABE6}">
  <dimension ref="A1:Y286"/>
  <sheetViews>
    <sheetView zoomScale="80" zoomScaleNormal="80" workbookViewId="0">
      <pane ySplit="1" topLeftCell="A23" activePane="bottomLeft" state="frozen"/>
      <selection pane="bottomLeft" activeCell="F239" sqref="F239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85</v>
      </c>
      <c r="C3" s="7"/>
      <c r="D3" s="7">
        <v>60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25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2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3</v>
      </c>
      <c r="C38" s="7"/>
      <c r="D38" s="7">
        <v>2</v>
      </c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1</v>
      </c>
      <c r="O38" s="7">
        <f t="shared" si="1"/>
        <v>0</v>
      </c>
      <c r="P38" s="7" t="s">
        <v>304</v>
      </c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26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5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0</v>
      </c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89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180</v>
      </c>
      <c r="M165" s="7"/>
      <c r="N165" s="7">
        <f t="shared" si="7"/>
        <v>89</v>
      </c>
      <c r="O165" s="7">
        <f t="shared" si="5"/>
        <v>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3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4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2</v>
      </c>
      <c r="C185" s="10"/>
      <c r="D185" s="7"/>
      <c r="E185" s="8">
        <v>2</v>
      </c>
      <c r="F185" s="8"/>
      <c r="G185" s="9">
        <v>3000</v>
      </c>
      <c r="H185" s="26">
        <f t="shared" si="6"/>
        <v>6000</v>
      </c>
      <c r="I185" s="7"/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750</v>
      </c>
      <c r="P185" s="7"/>
    </row>
    <row r="186" spans="1:16" x14ac:dyDescent="0.25">
      <c r="A186" s="5" t="s">
        <v>189</v>
      </c>
      <c r="B186" s="6">
        <v>8</v>
      </c>
      <c r="C186" s="10"/>
      <c r="D186" s="7"/>
      <c r="E186" s="8"/>
      <c r="F186" s="8"/>
      <c r="G186" s="9">
        <v>3000</v>
      </c>
      <c r="H186" s="26">
        <f t="shared" si="6"/>
        <v>0</v>
      </c>
      <c r="I186" s="7"/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979</v>
      </c>
      <c r="C229" s="14"/>
      <c r="D229" s="14"/>
      <c r="E229" s="15"/>
      <c r="F229" s="15"/>
      <c r="G229" s="16"/>
      <c r="H229" s="27">
        <f>SUM(H2:H219)</f>
        <v>6000</v>
      </c>
      <c r="I229" s="17">
        <f>SUM(I2:I218)</f>
        <v>0</v>
      </c>
      <c r="J229" s="17"/>
      <c r="K229" s="17">
        <f>SUM(K2:K218)</f>
        <v>0</v>
      </c>
      <c r="L229" s="17"/>
      <c r="M229" s="17"/>
      <c r="N229" s="30">
        <f>SUM(N2:N228)</f>
        <v>915</v>
      </c>
      <c r="O229" s="17">
        <f>SUM(O2:O228)</f>
        <v>750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750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(C231+D231)/750</f>
        <v>110.66666666666667</v>
      </c>
      <c r="C231" s="8">
        <v>83000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D233/750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1010.6666666666666</v>
      </c>
      <c r="C235" s="8"/>
      <c r="D235" s="8"/>
    </row>
    <row r="236" spans="1:16" x14ac:dyDescent="0.25">
      <c r="A236" s="19" t="s">
        <v>6</v>
      </c>
      <c r="B236" s="20">
        <f>D236/750</f>
        <v>0</v>
      </c>
      <c r="C236" s="8"/>
      <c r="D236" s="8"/>
    </row>
    <row r="237" spans="1:16" x14ac:dyDescent="0.25">
      <c r="A237" s="19" t="s">
        <v>115</v>
      </c>
      <c r="B237" s="20">
        <f>C237/750</f>
        <v>0</v>
      </c>
      <c r="C237" s="8"/>
      <c r="D237" s="8"/>
    </row>
    <row r="238" spans="1:16" x14ac:dyDescent="0.25">
      <c r="A238" s="19" t="s">
        <v>64</v>
      </c>
      <c r="B238" s="20">
        <f>C238/750</f>
        <v>1.3333333333333333</v>
      </c>
      <c r="C238" s="8">
        <v>1000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1.3333333333333333</v>
      </c>
      <c r="C240" s="8"/>
      <c r="D240" s="8"/>
    </row>
    <row r="241" spans="1:6" x14ac:dyDescent="0.25">
      <c r="A241" s="12" t="s">
        <v>118</v>
      </c>
      <c r="B241" s="22">
        <f>B235-B240</f>
        <v>1009.3333333333333</v>
      </c>
      <c r="C241" s="8"/>
      <c r="D241" s="8"/>
    </row>
    <row r="242" spans="1:6" x14ac:dyDescent="0.25">
      <c r="A242" s="19" t="s">
        <v>119</v>
      </c>
      <c r="B242" s="20">
        <f>C242/750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900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C249/750</f>
        <v>109.33333333333333</v>
      </c>
      <c r="C249" s="8">
        <v>82000</v>
      </c>
      <c r="D249" s="8"/>
      <c r="F249" t="s">
        <v>126</v>
      </c>
    </row>
    <row r="250" spans="1:6" x14ac:dyDescent="0.25">
      <c r="A250" s="19" t="s">
        <v>127</v>
      </c>
      <c r="B250" s="20">
        <f>D250/750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1009.3333333333334</v>
      </c>
      <c r="C251" s="8"/>
      <c r="D251" s="8"/>
    </row>
    <row r="252" spans="1:6" x14ac:dyDescent="0.25">
      <c r="A252" s="19" t="s">
        <v>129</v>
      </c>
      <c r="B252" s="20">
        <f>C252/750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725A-0ECD-430D-BBBE-44C4B4D9ADA6}">
  <dimension ref="A1:Y286"/>
  <sheetViews>
    <sheetView tabSelected="1" zoomScale="80" zoomScaleNormal="80" workbookViewId="0">
      <pane ySplit="1" topLeftCell="A236" activePane="bottomLeft" state="frozen"/>
      <selection pane="bottomLeft" activeCell="B247" sqref="B247"/>
    </sheetView>
  </sheetViews>
  <sheetFormatPr baseColWidth="10" defaultRowHeight="15" x14ac:dyDescent="0.25"/>
  <cols>
    <col min="1" max="1" width="54.5703125" customWidth="1"/>
    <col min="3" max="3" width="20" customWidth="1"/>
    <col min="4" max="4" width="11.140625" customWidth="1"/>
    <col min="5" max="6" width="8.28515625" customWidth="1"/>
    <col min="7" max="7" width="12.28515625" customWidth="1"/>
    <col min="8" max="8" width="15" customWidth="1"/>
    <col min="9" max="9" width="12.7109375" customWidth="1"/>
    <col min="10" max="10" width="9.28515625" customWidth="1"/>
    <col min="11" max="11" width="9.140625" customWidth="1"/>
    <col min="12" max="12" width="11.28515625" customWidth="1"/>
    <col min="13" max="13" width="11.140625" customWidth="1"/>
    <col min="14" max="14" width="8.28515625" customWidth="1"/>
    <col min="15" max="15" width="9.7109375" customWidth="1"/>
    <col min="16" max="16" width="18.5703125" customWidth="1"/>
    <col min="18" max="18" width="13" customWidth="1"/>
    <col min="19" max="19" width="15.7109375" customWidth="1"/>
    <col min="21" max="21" width="17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25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25">
      <c r="A3" s="5" t="s">
        <v>270</v>
      </c>
      <c r="B3" s="6">
        <v>25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25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25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25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25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25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25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25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25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25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25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25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25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25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5" t="s">
        <v>29</v>
      </c>
      <c r="B23" s="6">
        <v>2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25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25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25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25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25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25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25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25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25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25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25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25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25">
      <c r="A38" s="5" t="s">
        <v>35</v>
      </c>
      <c r="B38" s="6">
        <v>1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1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25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25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25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25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25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25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25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25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25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25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25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25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25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25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25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25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25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25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25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25">
      <c r="A58" s="5" t="s">
        <v>48</v>
      </c>
      <c r="B58" s="6">
        <v>1</v>
      </c>
      <c r="C58" s="7"/>
      <c r="D58" s="7">
        <v>1</v>
      </c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0</v>
      </c>
      <c r="O58" s="7">
        <f t="shared" si="1"/>
        <v>0</v>
      </c>
      <c r="P58" s="7" t="s">
        <v>316</v>
      </c>
      <c r="R58" s="4"/>
      <c r="S58" s="4"/>
      <c r="T58" s="4"/>
      <c r="U58" s="4"/>
    </row>
    <row r="59" spans="1:21" x14ac:dyDescent="0.25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25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25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25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25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25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25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25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25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25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25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25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25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25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25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25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25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25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25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25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25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25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25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25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25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25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25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25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25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25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25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25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25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25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25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25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25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25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25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25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25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25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25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25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25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25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25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25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25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25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25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25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25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25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25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25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25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25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25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25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25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25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25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25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25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25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25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25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25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25">
      <c r="A128" s="5" t="s">
        <v>76</v>
      </c>
      <c r="B128" s="6">
        <v>26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0</v>
      </c>
      <c r="P128" s="7"/>
    </row>
    <row r="129" spans="1:16" x14ac:dyDescent="0.25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25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25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25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25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25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25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25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25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25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25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25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25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25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25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25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25">
      <c r="A145" s="5" t="s">
        <v>273</v>
      </c>
      <c r="B145" s="6">
        <v>3</v>
      </c>
      <c r="C145" s="10"/>
      <c r="D145" s="7"/>
      <c r="E145" s="8">
        <v>1</v>
      </c>
      <c r="F145" s="8"/>
      <c r="G145" s="9">
        <v>1000</v>
      </c>
      <c r="H145" s="26"/>
      <c r="I145" s="7">
        <v>700</v>
      </c>
      <c r="J145" s="7">
        <v>45</v>
      </c>
      <c r="K145" s="7"/>
      <c r="L145" s="7">
        <v>60</v>
      </c>
      <c r="M145" s="7"/>
      <c r="N145" s="7">
        <f t="shared" si="4"/>
        <v>2</v>
      </c>
      <c r="O145" s="7">
        <f t="shared" si="5"/>
        <v>60</v>
      </c>
      <c r="P145" s="7"/>
    </row>
    <row r="146" spans="1:16" x14ac:dyDescent="0.25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25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25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25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25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25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25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25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25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25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25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25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25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25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25">
      <c r="A160" s="5" t="s">
        <v>256</v>
      </c>
      <c r="B160" s="6">
        <v>5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0</v>
      </c>
      <c r="P160" s="7"/>
    </row>
    <row r="161" spans="1:16" x14ac:dyDescent="0.25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25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25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25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25">
      <c r="A165" s="5" t="s">
        <v>297</v>
      </c>
      <c r="B165" s="6">
        <v>89</v>
      </c>
      <c r="C165" s="7"/>
      <c r="D165" s="7"/>
      <c r="E165" s="8">
        <v>1</v>
      </c>
      <c r="F165" s="8"/>
      <c r="G165" s="9">
        <v>2500</v>
      </c>
      <c r="H165" s="26">
        <f t="shared" si="6"/>
        <v>2500</v>
      </c>
      <c r="I165" s="7">
        <v>700</v>
      </c>
      <c r="J165" s="7">
        <v>140</v>
      </c>
      <c r="K165" s="7"/>
      <c r="L165" s="7">
        <v>180</v>
      </c>
      <c r="M165" s="7"/>
      <c r="N165" s="7">
        <f t="shared" si="7"/>
        <v>88</v>
      </c>
      <c r="O165" s="7">
        <f t="shared" si="5"/>
        <v>180</v>
      </c>
      <c r="P165" s="7"/>
    </row>
    <row r="166" spans="1:16" x14ac:dyDescent="0.25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25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25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25">
      <c r="A169" s="5" t="s">
        <v>210</v>
      </c>
      <c r="B169" s="6">
        <v>3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0</v>
      </c>
      <c r="P169" s="7"/>
    </row>
    <row r="170" spans="1:16" x14ac:dyDescent="0.25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25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25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25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25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25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25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25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25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25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25">
      <c r="A180" s="5" t="s">
        <v>163</v>
      </c>
      <c r="B180" s="6">
        <v>4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0</v>
      </c>
      <c r="P180" s="7"/>
    </row>
    <row r="181" spans="1:16" x14ac:dyDescent="0.25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25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25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25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25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25">
      <c r="A186" s="5" t="s">
        <v>189</v>
      </c>
      <c r="B186" s="6">
        <v>8</v>
      </c>
      <c r="C186" s="10"/>
      <c r="D186" s="7"/>
      <c r="E186" s="8"/>
      <c r="F186" s="8"/>
      <c r="G186" s="9">
        <v>3000</v>
      </c>
      <c r="H186" s="26">
        <f t="shared" si="6"/>
        <v>0</v>
      </c>
      <c r="I186" s="7"/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0</v>
      </c>
      <c r="P186" s="7"/>
    </row>
    <row r="187" spans="1:16" x14ac:dyDescent="0.25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25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25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25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25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25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25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25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25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25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25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25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25">
      <c r="A199" s="5" t="s">
        <v>262</v>
      </c>
      <c r="B199" s="6">
        <v>2</v>
      </c>
      <c r="C199" s="10"/>
      <c r="D199" s="7"/>
      <c r="E199" s="8">
        <v>2</v>
      </c>
      <c r="F199" s="8"/>
      <c r="G199" s="9">
        <v>3000</v>
      </c>
      <c r="H199" s="26">
        <f t="shared" si="6"/>
        <v>6000</v>
      </c>
      <c r="I199" s="7">
        <v>4200</v>
      </c>
      <c r="J199" s="7"/>
      <c r="K199" s="7"/>
      <c r="L199" s="7">
        <v>175</v>
      </c>
      <c r="M199" s="7">
        <v>0</v>
      </c>
      <c r="N199" s="7">
        <f t="shared" si="7"/>
        <v>0</v>
      </c>
      <c r="O199" s="7">
        <f t="shared" si="8"/>
        <v>350</v>
      </c>
      <c r="P199" s="7"/>
    </row>
    <row r="200" spans="1:16" x14ac:dyDescent="0.25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25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25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25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25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25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25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25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25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25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25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25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25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25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25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25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25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25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25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25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25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25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25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25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25">
      <c r="A224" s="5" t="s">
        <v>206</v>
      </c>
      <c r="B224" s="6">
        <v>44</v>
      </c>
      <c r="C224" s="7"/>
      <c r="D224" s="7">
        <v>10</v>
      </c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34</v>
      </c>
      <c r="O224" s="7"/>
      <c r="P224" s="7" t="s">
        <v>304</v>
      </c>
    </row>
    <row r="225" spans="1:16" x14ac:dyDescent="0.25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25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25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25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25">
      <c r="A229" s="12" t="s">
        <v>107</v>
      </c>
      <c r="B229" s="13">
        <v>915</v>
      </c>
      <c r="C229" s="14"/>
      <c r="D229" s="14"/>
      <c r="E229" s="15"/>
      <c r="F229" s="15"/>
      <c r="G229" s="16"/>
      <c r="H229" s="27">
        <f>SUM(H2:H219)</f>
        <v>8500</v>
      </c>
      <c r="I229" s="17">
        <f>SUM(I2:I218)</f>
        <v>5600</v>
      </c>
      <c r="J229" s="17"/>
      <c r="K229" s="17">
        <f>SUM(K2:K218)</f>
        <v>0</v>
      </c>
      <c r="L229" s="17"/>
      <c r="M229" s="17"/>
      <c r="N229" s="30">
        <f>SUM(N2:N228)</f>
        <v>900</v>
      </c>
      <c r="O229" s="17">
        <f>SUM(O2:O228)</f>
        <v>590</v>
      </c>
      <c r="P229" s="17">
        <f>SUM(P2:P228)</f>
        <v>-6</v>
      </c>
    </row>
    <row r="230" spans="1:16" x14ac:dyDescent="0.25">
      <c r="A230" s="18" t="s">
        <v>108</v>
      </c>
      <c r="B230" s="18">
        <f>O229</f>
        <v>590</v>
      </c>
      <c r="C230" s="2" t="s">
        <v>109</v>
      </c>
      <c r="D230" s="2" t="s">
        <v>110</v>
      </c>
      <c r="N230" s="31"/>
    </row>
    <row r="231" spans="1:16" x14ac:dyDescent="0.25">
      <c r="A231" s="19" t="s">
        <v>111</v>
      </c>
      <c r="B231" s="20">
        <f>(C231+D231)/750</f>
        <v>109.33333333333333</v>
      </c>
      <c r="C231" s="8">
        <v>82000</v>
      </c>
      <c r="D231" s="8"/>
    </row>
    <row r="232" spans="1:16" x14ac:dyDescent="0.25">
      <c r="A232" s="19" t="s">
        <v>14</v>
      </c>
      <c r="B232" s="21">
        <v>150</v>
      </c>
      <c r="C232" s="8" t="s">
        <v>126</v>
      </c>
      <c r="D232" s="8"/>
    </row>
    <row r="233" spans="1:16" x14ac:dyDescent="0.25">
      <c r="A233" s="19" t="s">
        <v>112</v>
      </c>
      <c r="B233" s="20">
        <f>D233/750</f>
        <v>0</v>
      </c>
      <c r="C233" s="8"/>
      <c r="D233" s="8"/>
    </row>
    <row r="234" spans="1:16" x14ac:dyDescent="0.25">
      <c r="A234" s="19" t="s">
        <v>113</v>
      </c>
      <c r="B234" s="20"/>
      <c r="C234" s="8"/>
      <c r="D234" s="8"/>
    </row>
    <row r="235" spans="1:16" x14ac:dyDescent="0.25">
      <c r="A235" s="12" t="s">
        <v>114</v>
      </c>
      <c r="B235" s="22">
        <f>B230+B231+B233+B234+B232</f>
        <v>849.33333333333337</v>
      </c>
      <c r="C235" s="8"/>
      <c r="D235" s="8"/>
    </row>
    <row r="236" spans="1:16" x14ac:dyDescent="0.25">
      <c r="A236" s="19" t="s">
        <v>6</v>
      </c>
      <c r="B236" s="20">
        <f>D236/750</f>
        <v>0</v>
      </c>
      <c r="C236" s="8"/>
      <c r="D236" s="8"/>
    </row>
    <row r="237" spans="1:16" x14ac:dyDescent="0.25">
      <c r="A237" s="19" t="s">
        <v>115</v>
      </c>
      <c r="B237" s="20">
        <f>C237/750</f>
        <v>7.4666666666666668</v>
      </c>
      <c r="C237" s="8">
        <v>5600</v>
      </c>
      <c r="D237" s="8"/>
    </row>
    <row r="238" spans="1:16" x14ac:dyDescent="0.25">
      <c r="A238" s="19" t="s">
        <v>64</v>
      </c>
      <c r="B238" s="20">
        <f>C238/750</f>
        <v>12.666666666666666</v>
      </c>
      <c r="C238" s="8">
        <v>9500</v>
      </c>
      <c r="D238" s="8"/>
    </row>
    <row r="239" spans="1:16" x14ac:dyDescent="0.25">
      <c r="A239" s="19" t="s">
        <v>116</v>
      </c>
      <c r="B239" s="20"/>
      <c r="C239" s="8"/>
      <c r="D239" s="8"/>
    </row>
    <row r="240" spans="1:16" x14ac:dyDescent="0.25">
      <c r="A240" s="12" t="s">
        <v>117</v>
      </c>
      <c r="B240" s="20">
        <f>B236+B237+B238+B239</f>
        <v>20.133333333333333</v>
      </c>
      <c r="C240" s="8"/>
      <c r="D240" s="8"/>
    </row>
    <row r="241" spans="1:6" x14ac:dyDescent="0.25">
      <c r="A241" s="12" t="s">
        <v>118</v>
      </c>
      <c r="B241" s="22">
        <f>B235-B240</f>
        <v>829.2</v>
      </c>
      <c r="C241" s="8"/>
      <c r="D241" s="8"/>
    </row>
    <row r="242" spans="1:6" x14ac:dyDescent="0.25">
      <c r="A242" s="19" t="s">
        <v>119</v>
      </c>
      <c r="B242" s="20">
        <f>C242/750</f>
        <v>0</v>
      </c>
      <c r="C242" s="8"/>
      <c r="D242" s="8"/>
    </row>
    <row r="243" spans="1:6" x14ac:dyDescent="0.25">
      <c r="A243" s="19" t="s">
        <v>120</v>
      </c>
      <c r="B243" s="20"/>
      <c r="C243" s="8"/>
      <c r="D243" s="8"/>
    </row>
    <row r="244" spans="1:6" x14ac:dyDescent="0.25">
      <c r="A244" s="19" t="s">
        <v>121</v>
      </c>
      <c r="B244" s="20">
        <f>C244/2</f>
        <v>0</v>
      </c>
      <c r="C244" s="8"/>
      <c r="D244" s="8"/>
    </row>
    <row r="245" spans="1:6" x14ac:dyDescent="0.25">
      <c r="A245" s="12" t="s">
        <v>122</v>
      </c>
      <c r="B245" s="22">
        <f>B242+B243+B244</f>
        <v>0</v>
      </c>
      <c r="C245" s="8"/>
      <c r="D245" s="8"/>
    </row>
    <row r="246" spans="1:6" x14ac:dyDescent="0.25">
      <c r="A246" s="19" t="s">
        <v>123</v>
      </c>
      <c r="B246" s="20">
        <v>715</v>
      </c>
      <c r="C246" s="8"/>
      <c r="D246" s="8"/>
    </row>
    <row r="247" spans="1:6" x14ac:dyDescent="0.25">
      <c r="A247" s="19" t="s">
        <v>36</v>
      </c>
      <c r="B247" s="20"/>
      <c r="C247" s="8"/>
      <c r="D247" s="8"/>
    </row>
    <row r="248" spans="1:6" x14ac:dyDescent="0.25">
      <c r="A248" s="19" t="s">
        <v>124</v>
      </c>
      <c r="B248" s="20">
        <f>C248/2.3</f>
        <v>0</v>
      </c>
      <c r="C248" s="8"/>
      <c r="D248" s="8"/>
    </row>
    <row r="249" spans="1:6" x14ac:dyDescent="0.25">
      <c r="A249" s="19" t="s">
        <v>125</v>
      </c>
      <c r="B249" s="20">
        <f>C249/750</f>
        <v>114.2</v>
      </c>
      <c r="C249" s="8">
        <v>85650</v>
      </c>
      <c r="D249" s="8"/>
      <c r="F249" t="s">
        <v>126</v>
      </c>
    </row>
    <row r="250" spans="1:6" x14ac:dyDescent="0.25">
      <c r="A250" s="19" t="s">
        <v>127</v>
      </c>
      <c r="B250" s="20">
        <f>D250/750</f>
        <v>0</v>
      </c>
      <c r="C250" s="8"/>
      <c r="D250" s="8"/>
    </row>
    <row r="251" spans="1:6" x14ac:dyDescent="0.25">
      <c r="A251" s="12" t="s">
        <v>128</v>
      </c>
      <c r="B251" s="22">
        <f>B246+B247+B248+B249+B250</f>
        <v>829.2</v>
      </c>
      <c r="C251" s="8"/>
      <c r="D251" s="8"/>
    </row>
    <row r="252" spans="1:6" x14ac:dyDescent="0.25">
      <c r="A252" s="19" t="s">
        <v>129</v>
      </c>
      <c r="B252" s="20">
        <f>C252/750</f>
        <v>0</v>
      </c>
      <c r="C252" s="8"/>
      <c r="D252" s="8"/>
    </row>
    <row r="253" spans="1:6" x14ac:dyDescent="0.25">
      <c r="A253" s="12" t="s">
        <v>107</v>
      </c>
      <c r="B253" s="22">
        <f>B252</f>
        <v>0</v>
      </c>
      <c r="C253" s="8"/>
      <c r="D253" s="8"/>
    </row>
    <row r="254" spans="1:6" x14ac:dyDescent="0.25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25">
      <c r="A256" s="12" t="s">
        <v>131</v>
      </c>
      <c r="B256" s="23" t="s">
        <v>10</v>
      </c>
    </row>
    <row r="257" spans="1:2" x14ac:dyDescent="0.25">
      <c r="A257" s="12" t="s">
        <v>132</v>
      </c>
      <c r="B257" s="7"/>
    </row>
    <row r="258" spans="1:2" x14ac:dyDescent="0.25">
      <c r="A258" s="19" t="s">
        <v>133</v>
      </c>
      <c r="B258" s="7"/>
    </row>
    <row r="259" spans="1:2" x14ac:dyDescent="0.25">
      <c r="A259" s="12" t="s">
        <v>134</v>
      </c>
      <c r="B259" s="17">
        <f>B257-B258</f>
        <v>0</v>
      </c>
    </row>
    <row r="260" spans="1:2" x14ac:dyDescent="0.25">
      <c r="A260" s="12" t="s">
        <v>135</v>
      </c>
      <c r="B260" s="17">
        <f>B261+B262+B263+B264+B265+B266+B267+B268</f>
        <v>0</v>
      </c>
    </row>
    <row r="261" spans="1:2" x14ac:dyDescent="0.25">
      <c r="A261" s="19" t="s">
        <v>136</v>
      </c>
      <c r="B261" s="7"/>
    </row>
    <row r="262" spans="1:2" x14ac:dyDescent="0.25">
      <c r="A262" s="19" t="s">
        <v>137</v>
      </c>
      <c r="B262" s="7"/>
    </row>
    <row r="263" spans="1:2" x14ac:dyDescent="0.25">
      <c r="A263" s="19" t="s">
        <v>138</v>
      </c>
      <c r="B263" s="7"/>
    </row>
    <row r="264" spans="1:2" x14ac:dyDescent="0.25">
      <c r="A264" s="19" t="s">
        <v>139</v>
      </c>
      <c r="B264" s="7"/>
    </row>
    <row r="265" spans="1:2" x14ac:dyDescent="0.25">
      <c r="A265" s="19" t="s">
        <v>140</v>
      </c>
      <c r="B265" s="7"/>
    </row>
    <row r="266" spans="1:2" x14ac:dyDescent="0.25">
      <c r="A266" s="19" t="s">
        <v>141</v>
      </c>
      <c r="B266" s="7"/>
    </row>
    <row r="267" spans="1:2" x14ac:dyDescent="0.25">
      <c r="A267" s="19" t="s">
        <v>142</v>
      </c>
      <c r="B267" s="7"/>
    </row>
    <row r="268" spans="1:2" x14ac:dyDescent="0.25">
      <c r="A268" s="19" t="s">
        <v>143</v>
      </c>
      <c r="B268" s="7"/>
    </row>
    <row r="269" spans="1:2" x14ac:dyDescent="0.25">
      <c r="A269" s="12" t="s">
        <v>144</v>
      </c>
      <c r="B269" s="17">
        <f>B270+B271+B272</f>
        <v>0</v>
      </c>
    </row>
    <row r="270" spans="1:2" x14ac:dyDescent="0.25">
      <c r="A270" s="19" t="s">
        <v>145</v>
      </c>
      <c r="B270" s="7"/>
    </row>
    <row r="271" spans="1:2" x14ac:dyDescent="0.25">
      <c r="A271" s="19" t="s">
        <v>146</v>
      </c>
      <c r="B271" s="7"/>
    </row>
    <row r="272" spans="1:2" x14ac:dyDescent="0.25">
      <c r="A272" s="19" t="s">
        <v>147</v>
      </c>
      <c r="B272" s="7"/>
    </row>
    <row r="273" spans="1:5" x14ac:dyDescent="0.25">
      <c r="A273" s="12" t="s">
        <v>148</v>
      </c>
      <c r="B273" s="17">
        <f>B259-B260-B269</f>
        <v>0</v>
      </c>
    </row>
    <row r="279" spans="1:5" x14ac:dyDescent="0.25">
      <c r="A279" s="24"/>
    </row>
    <row r="280" spans="1:5" x14ac:dyDescent="0.25">
      <c r="A280" s="24"/>
    </row>
    <row r="281" spans="1:5" x14ac:dyDescent="0.25">
      <c r="A281" s="24"/>
    </row>
    <row r="282" spans="1:5" x14ac:dyDescent="0.25">
      <c r="A282" s="24"/>
    </row>
    <row r="283" spans="1:5" x14ac:dyDescent="0.25">
      <c r="A283" s="24"/>
    </row>
    <row r="284" spans="1:5" x14ac:dyDescent="0.25">
      <c r="A284" s="24"/>
    </row>
    <row r="285" spans="1:5" x14ac:dyDescent="0.25">
      <c r="A285" s="24"/>
    </row>
    <row r="286" spans="1:5" x14ac:dyDescent="0.25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1 9 26</vt:lpstr>
      <vt:lpstr>3 9 26</vt:lpstr>
      <vt:lpstr>4 9 26</vt:lpstr>
      <vt:lpstr>5 9 26</vt:lpstr>
      <vt:lpstr>7 9 26</vt:lpstr>
      <vt:lpstr>8 9 26</vt:lpstr>
      <vt:lpstr>9 9 26</vt:lpstr>
      <vt:lpstr>INVENTARIO</vt:lpstr>
      <vt:lpstr>10 9 26</vt:lpstr>
      <vt:lpstr>11 9 26</vt:lpstr>
      <vt:lpstr>12 9 26</vt:lpstr>
      <vt:lpstr>14 9 26</vt:lpstr>
      <vt:lpstr>15 9 26</vt:lpstr>
      <vt:lpstr>16 9 26</vt:lpstr>
      <vt:lpstr>17 9 26</vt:lpstr>
      <vt:lpstr>18 9 26</vt:lpstr>
      <vt:lpstr>19 9 26</vt:lpstr>
      <vt:lpstr>21 9 26</vt:lpstr>
      <vt:lpstr>22 9 26</vt:lpstr>
      <vt:lpstr>23 9 26</vt:lpstr>
      <vt:lpstr>24 9 26</vt:lpstr>
      <vt:lpstr>25 9 26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2026-03-06T22:40:19Z</dcterms:created>
  <dcterms:modified xsi:type="dcterms:W3CDTF">2026-09-25T20:39:12Z</dcterms:modified>
</cp:coreProperties>
</file>