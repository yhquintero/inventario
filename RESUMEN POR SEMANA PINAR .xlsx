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edro Julio\Desktop\"/>
    </mc:Choice>
  </mc:AlternateContent>
  <xr:revisionPtr revIDLastSave="0" documentId="13_ncr:1_{4381F18F-978B-4D99-8326-F4C179CA2593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PINA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5" i="1" l="1"/>
  <c r="G11" i="1"/>
  <c r="F15" i="1"/>
  <c r="F14" i="1"/>
  <c r="F11" i="1"/>
  <c r="F10" i="1"/>
  <c r="C14" i="1"/>
  <c r="C15" i="1"/>
  <c r="G13" i="1"/>
  <c r="G12" i="1"/>
  <c r="G14" i="1" s="1"/>
  <c r="E15" i="1"/>
  <c r="D15" i="1"/>
  <c r="E14" i="1"/>
  <c r="D14" i="1"/>
  <c r="G4" i="1" l="1"/>
  <c r="G9" i="1"/>
  <c r="G8" i="1"/>
  <c r="G7" i="1"/>
  <c r="G6" i="1"/>
  <c r="G5" i="1"/>
  <c r="E11" i="1"/>
  <c r="C11" i="1"/>
  <c r="E10" i="1"/>
  <c r="D10" i="1"/>
  <c r="D11" i="1" s="1"/>
  <c r="C10" i="1"/>
  <c r="G10" i="1" l="1"/>
</calcChain>
</file>

<file path=xl/sharedStrings.xml><?xml version="1.0" encoding="utf-8"?>
<sst xmlns="http://schemas.openxmlformats.org/spreadsheetml/2006/main" count="19" uniqueCount="19">
  <si>
    <t>GASTOS</t>
  </si>
  <si>
    <t>TOTAL</t>
  </si>
  <si>
    <t>DOMICILIO</t>
  </si>
  <si>
    <t>LIMPIEZA</t>
  </si>
  <si>
    <t>CUSTODIO</t>
  </si>
  <si>
    <t>SALARIO</t>
  </si>
  <si>
    <t>COMISIONES</t>
  </si>
  <si>
    <t>OTROS</t>
  </si>
  <si>
    <t>MES: SEPTIEMBRE</t>
  </si>
  <si>
    <t>SEMANA 1 (31-5)</t>
  </si>
  <si>
    <t>SEMANA 2 (7-12)</t>
  </si>
  <si>
    <t>SEMANA 3 (14-19)</t>
  </si>
  <si>
    <t>TOTAL  DE GASTOS CUP</t>
  </si>
  <si>
    <t>TOTAL  DE GASTOS USD</t>
  </si>
  <si>
    <t>DINERO DE INVERSION USD</t>
  </si>
  <si>
    <t>UTILIDAD NETA USD</t>
  </si>
  <si>
    <t>UTILIDAD EN VENTA USD</t>
  </si>
  <si>
    <t>TOTAL DE VENTA USD</t>
  </si>
  <si>
    <t>SEMANA 4 (21-26)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</si>
</sst>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99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2" fillId="0" borderId="1" xfId="0" applyFont="1" applyBorder="1"/>
    <xf numFmtId="0" fontId="2" fillId="2" borderId="1" xfId="0" applyFont="1" applyFill="1" applyBorder="1"/>
    <xf numFmtId="0" fontId="2" fillId="5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44" fontId="0" fillId="0" borderId="1" xfId="1" applyFont="1" applyBorder="1"/>
    <xf numFmtId="44" fontId="0" fillId="2" borderId="1" xfId="1" applyFont="1" applyFill="1" applyBorder="1"/>
    <xf numFmtId="44" fontId="0" fillId="5" borderId="1" xfId="1" applyFont="1" applyFill="1" applyBorder="1"/>
    <xf numFmtId="44" fontId="0" fillId="3" borderId="1" xfId="1" applyFont="1" applyFill="1" applyBorder="1"/>
    <xf numFmtId="44" fontId="0" fillId="4" borderId="1" xfId="1" applyFont="1" applyFill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5"/>
  <sheetViews>
    <sheetView tabSelected="1" workbookViewId="0">
      <selection activeCell="H15" sqref="H15"/>
    </sheetView>
  </sheetViews>
  <sheetFormatPr baseColWidth="10" defaultColWidth="9.140625" defaultRowHeight="15" x14ac:dyDescent="0.25"/>
  <cols>
    <col min="2" max="2" width="26.140625" customWidth="1"/>
    <col min="3" max="3" width="17" customWidth="1"/>
    <col min="4" max="4" width="16.28515625" customWidth="1"/>
    <col min="5" max="5" width="17" customWidth="1"/>
    <col min="6" max="6" width="18.85546875" customWidth="1"/>
    <col min="7" max="7" width="16.140625" customWidth="1"/>
  </cols>
  <sheetData>
    <row r="2" spans="2:7" x14ac:dyDescent="0.25">
      <c r="B2" s="1" t="s">
        <v>8</v>
      </c>
    </row>
    <row r="3" spans="2:7" x14ac:dyDescent="0.25">
      <c r="B3" s="2" t="s">
        <v>0</v>
      </c>
      <c r="C3" s="2" t="s">
        <v>9</v>
      </c>
      <c r="D3" s="2" t="s">
        <v>10</v>
      </c>
      <c r="E3" s="2" t="s">
        <v>11</v>
      </c>
      <c r="F3" s="2" t="s">
        <v>18</v>
      </c>
      <c r="G3" s="2" t="s">
        <v>1</v>
      </c>
    </row>
    <row r="4" spans="2:7" x14ac:dyDescent="0.25">
      <c r="B4" s="3" t="s">
        <v>2</v>
      </c>
      <c r="C4" s="9">
        <v>14300</v>
      </c>
      <c r="D4" s="9">
        <v>24300</v>
      </c>
      <c r="E4" s="9">
        <v>15600</v>
      </c>
      <c r="F4" s="9">
        <v>24500</v>
      </c>
      <c r="G4" s="9">
        <f t="shared" ref="G4:G9" si="0">SUM(C4:F4)</f>
        <v>78700</v>
      </c>
    </row>
    <row r="5" spans="2:7" x14ac:dyDescent="0.25">
      <c r="B5" s="3" t="s">
        <v>3</v>
      </c>
      <c r="C5" s="9"/>
      <c r="D5" s="9">
        <v>2000</v>
      </c>
      <c r="E5" s="9">
        <v>3500</v>
      </c>
      <c r="F5" s="9">
        <v>2500</v>
      </c>
      <c r="G5" s="9">
        <f t="shared" si="0"/>
        <v>8000</v>
      </c>
    </row>
    <row r="6" spans="2:7" x14ac:dyDescent="0.25">
      <c r="B6" s="3" t="s">
        <v>4</v>
      </c>
      <c r="C6" s="9"/>
      <c r="D6" s="9">
        <v>4000</v>
      </c>
      <c r="E6" s="9">
        <v>7000</v>
      </c>
      <c r="F6" s="9">
        <v>7000</v>
      </c>
      <c r="G6" s="9">
        <f t="shared" si="0"/>
        <v>18000</v>
      </c>
    </row>
    <row r="7" spans="2:7" x14ac:dyDescent="0.25">
      <c r="B7" s="3" t="s">
        <v>5</v>
      </c>
      <c r="C7" s="9"/>
      <c r="D7" s="9"/>
      <c r="E7" s="9">
        <v>36520</v>
      </c>
      <c r="F7" s="9">
        <v>37000</v>
      </c>
      <c r="G7" s="9">
        <f t="shared" si="0"/>
        <v>73520</v>
      </c>
    </row>
    <row r="8" spans="2:7" x14ac:dyDescent="0.25">
      <c r="B8" s="3" t="s">
        <v>6</v>
      </c>
      <c r="C8" s="9">
        <v>40500</v>
      </c>
      <c r="D8" s="9">
        <v>37400</v>
      </c>
      <c r="E8" s="9">
        <v>30000</v>
      </c>
      <c r="F8" s="9">
        <v>54000</v>
      </c>
      <c r="G8" s="9">
        <f t="shared" si="0"/>
        <v>161900</v>
      </c>
    </row>
    <row r="9" spans="2:7" x14ac:dyDescent="0.25">
      <c r="B9" s="3" t="s">
        <v>7</v>
      </c>
      <c r="C9" s="9">
        <v>75190</v>
      </c>
      <c r="D9" s="9">
        <v>36900</v>
      </c>
      <c r="E9" s="9">
        <v>16400</v>
      </c>
      <c r="F9" s="9">
        <v>36500</v>
      </c>
      <c r="G9" s="9">
        <f t="shared" si="0"/>
        <v>164990</v>
      </c>
    </row>
    <row r="10" spans="2:7" x14ac:dyDescent="0.25">
      <c r="B10" s="4" t="s">
        <v>12</v>
      </c>
      <c r="C10" s="9">
        <f>SUM(C4:C9)</f>
        <v>129990</v>
      </c>
      <c r="D10" s="9">
        <f>SUM(D4:D9)</f>
        <v>104600</v>
      </c>
      <c r="E10" s="9">
        <f>SUM(E4:E9)</f>
        <v>109020</v>
      </c>
      <c r="F10" s="9">
        <f>SUM(F4:F9)</f>
        <v>161500</v>
      </c>
      <c r="G10" s="9">
        <f>SUM(G4:G9)</f>
        <v>505110</v>
      </c>
    </row>
    <row r="11" spans="2:7" x14ac:dyDescent="0.25">
      <c r="B11" s="5" t="s">
        <v>13</v>
      </c>
      <c r="C11" s="10">
        <f>C10/700</f>
        <v>185.7</v>
      </c>
      <c r="D11" s="10">
        <f>D10/700</f>
        <v>149.42857142857142</v>
      </c>
      <c r="E11" s="10">
        <f>E10/700</f>
        <v>155.74285714285713</v>
      </c>
      <c r="F11" s="10">
        <f>F10/750</f>
        <v>215.33333333333334</v>
      </c>
      <c r="G11" s="10">
        <f>G10/750</f>
        <v>673.48</v>
      </c>
    </row>
    <row r="12" spans="2:7" x14ac:dyDescent="0.25">
      <c r="B12" s="6" t="s">
        <v>17</v>
      </c>
      <c r="C12" s="11">
        <v>13180</v>
      </c>
      <c r="D12" s="11">
        <v>5415</v>
      </c>
      <c r="E12" s="11">
        <v>5565</v>
      </c>
      <c r="F12" s="11">
        <v>6265</v>
      </c>
      <c r="G12" s="11">
        <f>SUM(C12:F12)</f>
        <v>30425</v>
      </c>
    </row>
    <row r="13" spans="2:7" x14ac:dyDescent="0.25">
      <c r="B13" s="7" t="s">
        <v>16</v>
      </c>
      <c r="C13" s="12">
        <v>2725</v>
      </c>
      <c r="D13" s="12">
        <v>1363.5</v>
      </c>
      <c r="E13" s="12">
        <v>1513.5</v>
      </c>
      <c r="F13" s="12">
        <v>2382</v>
      </c>
      <c r="G13" s="12">
        <f>SUM(C13:F13)</f>
        <v>7984</v>
      </c>
    </row>
    <row r="14" spans="2:7" x14ac:dyDescent="0.25">
      <c r="B14" s="7" t="s">
        <v>14</v>
      </c>
      <c r="C14" s="12">
        <f>C12-C13</f>
        <v>10455</v>
      </c>
      <c r="D14" s="12">
        <f>D12-D13</f>
        <v>4051.5</v>
      </c>
      <c r="E14" s="12">
        <f>E12-E13</f>
        <v>4051.5</v>
      </c>
      <c r="F14" s="12">
        <f>F12-F13</f>
        <v>3883</v>
      </c>
      <c r="G14" s="12">
        <f>G12-G13</f>
        <v>22441</v>
      </c>
    </row>
    <row r="15" spans="2:7" x14ac:dyDescent="0.25">
      <c r="B15" s="8" t="s">
        <v>15</v>
      </c>
      <c r="C15" s="13">
        <f>C13-C11</f>
        <v>2539.3000000000002</v>
      </c>
      <c r="D15" s="13">
        <f>D13-D11</f>
        <v>1214.0714285714287</v>
      </c>
      <c r="E15" s="13">
        <f>E13-E11</f>
        <v>1357.7571428571428</v>
      </c>
      <c r="F15" s="13">
        <f>F13-F11</f>
        <v>2166.6666666666665</v>
      </c>
      <c r="G15" s="13">
        <f>G13-G11</f>
        <v>7310.52</v>
      </c>
    </row>
  </sheetData>
  <pageMargins left="0.7" right="0.7" top="0.75" bottom="0.75" header="0.3" footer="0.3"/>
  <ignoredErrors>
    <ignoredError sqref="F1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PINAR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Julio</dc:creator>
  <cp:lastModifiedBy>Pedro Julio</cp:lastModifiedBy>
  <dcterms:created xsi:type="dcterms:W3CDTF">2015-06-05T18:19:34Z</dcterms:created>
  <dcterms:modified xsi:type="dcterms:W3CDTF">2026-09-27T08:19:03Z</dcterms:modified>
</cp:coreProperties>
</file>