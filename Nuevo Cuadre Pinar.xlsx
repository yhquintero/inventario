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15"/>
  <workbookPr filterPrivacy="1"/>
  <xr:revisionPtr revIDLastSave="0" documentId="13_ncr:1_{E0C41428-5126-47C6-8266-96BE6401E36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onfiguracion" sheetId="1" r:id="rId1"/>
    <sheet name="lunes" sheetId="2" r:id="rId2"/>
    <sheet name="martes" sheetId="3" r:id="rId3"/>
    <sheet name="miercoles" sheetId="4" r:id="rId4"/>
    <sheet name="jueves" sheetId="5" r:id="rId5"/>
    <sheet name="viernes" sheetId="6" r:id="rId6"/>
    <sheet name="sabado" sheetId="7" r:id="rId7"/>
    <sheet name="COMPROBACION" sheetId="8" r:id="rId8"/>
    <sheet name="CONTROL INV" sheetId="9" r:id="rId9"/>
  </sheets>
  <definedNames>
    <definedName name="_xlnm._FilterDatabase" localSheetId="7" hidden="1">COMPROBACION!$A$1:$E$1</definedName>
    <definedName name="LISTA_GESTORES">Configuracion!$F$3:$F$190</definedName>
    <definedName name="LISTA_PRODUCTOS">Configuracion!$A$2:$A$193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" i="2" l="1"/>
  <c r="P16" i="3"/>
  <c r="H16" i="3"/>
  <c r="P15" i="3"/>
  <c r="R26" i="3"/>
  <c r="Q26" i="3"/>
  <c r="P26" i="3"/>
  <c r="O26" i="3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2" i="7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2" i="6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2" i="5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2" i="4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2" i="3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2" i="2"/>
  <c r="P24" i="7"/>
  <c r="O24" i="7"/>
  <c r="P14" i="7"/>
  <c r="P13" i="7" s="1"/>
  <c r="P12" i="7"/>
  <c r="P11" i="7"/>
  <c r="P10" i="7"/>
  <c r="P8" i="7"/>
  <c r="P7" i="7"/>
  <c r="P6" i="7"/>
  <c r="P5" i="7"/>
  <c r="P4" i="7"/>
  <c r="P3" i="7"/>
  <c r="P9" i="7" s="1"/>
  <c r="P16" i="7" s="1"/>
  <c r="P24" i="6"/>
  <c r="O24" i="6"/>
  <c r="P14" i="6"/>
  <c r="P13" i="6" s="1"/>
  <c r="P12" i="6"/>
  <c r="P11" i="6"/>
  <c r="P10" i="6"/>
  <c r="P8" i="6"/>
  <c r="P7" i="6"/>
  <c r="P6" i="6"/>
  <c r="P5" i="6"/>
  <c r="P4" i="6"/>
  <c r="P3" i="6"/>
  <c r="P9" i="6" s="1"/>
  <c r="P16" i="6" s="1"/>
  <c r="P24" i="5"/>
  <c r="O24" i="5"/>
  <c r="P14" i="5"/>
  <c r="P13" i="5" s="1"/>
  <c r="P12" i="5"/>
  <c r="P11" i="5"/>
  <c r="P10" i="5"/>
  <c r="P8" i="5"/>
  <c r="P7" i="5"/>
  <c r="P6" i="5"/>
  <c r="P5" i="5"/>
  <c r="P4" i="5"/>
  <c r="P3" i="5"/>
  <c r="P9" i="5" s="1"/>
  <c r="P16" i="5" s="1"/>
  <c r="P24" i="4"/>
  <c r="O24" i="4"/>
  <c r="P14" i="4"/>
  <c r="P13" i="4" s="1"/>
  <c r="P12" i="4"/>
  <c r="P11" i="4"/>
  <c r="P10" i="4"/>
  <c r="P8" i="4"/>
  <c r="P7" i="4"/>
  <c r="P6" i="4"/>
  <c r="P5" i="4"/>
  <c r="P4" i="4"/>
  <c r="P3" i="4"/>
  <c r="P9" i="4" s="1"/>
  <c r="P16" i="4" s="1"/>
  <c r="P14" i="3"/>
  <c r="P13" i="3" s="1"/>
  <c r="P12" i="3"/>
  <c r="P11" i="3"/>
  <c r="P8" i="3"/>
  <c r="P7" i="3"/>
  <c r="P6" i="3"/>
  <c r="P5" i="3"/>
  <c r="P4" i="3"/>
  <c r="P3" i="3"/>
  <c r="P8" i="2"/>
  <c r="P7" i="2"/>
  <c r="P6" i="2"/>
  <c r="P5" i="2"/>
  <c r="P4" i="2"/>
  <c r="P3" i="2"/>
  <c r="B8" i="2"/>
  <c r="I8" i="2" s="1"/>
  <c r="F8" i="2"/>
  <c r="B7" i="2"/>
  <c r="P10" i="3" l="1"/>
  <c r="P9" i="3"/>
  <c r="P17" i="3" s="1"/>
  <c r="H192" i="3"/>
  <c r="M17" i="8"/>
  <c r="M9" i="8"/>
  <c r="P24" i="2"/>
  <c r="B20" i="2"/>
  <c r="B5" i="7"/>
  <c r="B5" i="3"/>
  <c r="I5" i="3" s="1"/>
  <c r="B6" i="3"/>
  <c r="I6" i="3" s="1"/>
  <c r="B7" i="3"/>
  <c r="I7" i="3" s="1"/>
  <c r="B8" i="3"/>
  <c r="I8" i="3" s="1"/>
  <c r="B9" i="3"/>
  <c r="I9" i="3" s="1"/>
  <c r="B10" i="3"/>
  <c r="I10" i="3" s="1"/>
  <c r="B11" i="3"/>
  <c r="I11" i="3" s="1"/>
  <c r="B12" i="3"/>
  <c r="I12" i="3" s="1"/>
  <c r="B13" i="3"/>
  <c r="I13" i="3" s="1"/>
  <c r="B14" i="3"/>
  <c r="I14" i="3" s="1"/>
  <c r="B17" i="3"/>
  <c r="I17" i="3" s="1"/>
  <c r="B18" i="3"/>
  <c r="I18" i="3" s="1"/>
  <c r="B19" i="3"/>
  <c r="I19" i="3" s="1"/>
  <c r="B20" i="3"/>
  <c r="I20" i="3" s="1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E190" i="7"/>
  <c r="F190" i="7" s="1"/>
  <c r="I189" i="7"/>
  <c r="E189" i="7"/>
  <c r="F189" i="7" s="1"/>
  <c r="I188" i="7"/>
  <c r="E188" i="7"/>
  <c r="F188" i="7" s="1"/>
  <c r="I187" i="7"/>
  <c r="E187" i="7"/>
  <c r="F187" i="7" s="1"/>
  <c r="I186" i="7"/>
  <c r="E186" i="7"/>
  <c r="F186" i="7" s="1"/>
  <c r="I185" i="7"/>
  <c r="E185" i="7"/>
  <c r="F185" i="7" s="1"/>
  <c r="I184" i="7"/>
  <c r="E184" i="7"/>
  <c r="F184" i="7" s="1"/>
  <c r="I183" i="7"/>
  <c r="E183" i="7"/>
  <c r="F183" i="7" s="1"/>
  <c r="I182" i="7"/>
  <c r="E182" i="7"/>
  <c r="F182" i="7" s="1"/>
  <c r="I181" i="7"/>
  <c r="E181" i="7"/>
  <c r="F181" i="7" s="1"/>
  <c r="I180" i="7"/>
  <c r="E180" i="7"/>
  <c r="F180" i="7" s="1"/>
  <c r="I179" i="7"/>
  <c r="E179" i="7"/>
  <c r="F179" i="7" s="1"/>
  <c r="I178" i="7"/>
  <c r="E178" i="7"/>
  <c r="F178" i="7" s="1"/>
  <c r="I177" i="7"/>
  <c r="E177" i="7"/>
  <c r="F177" i="7" s="1"/>
  <c r="I176" i="7"/>
  <c r="E176" i="7"/>
  <c r="F176" i="7" s="1"/>
  <c r="I175" i="7"/>
  <c r="E175" i="7"/>
  <c r="F175" i="7" s="1"/>
  <c r="I174" i="7"/>
  <c r="E174" i="7"/>
  <c r="F174" i="7" s="1"/>
  <c r="I173" i="7"/>
  <c r="E173" i="7"/>
  <c r="F173" i="7" s="1"/>
  <c r="I172" i="7"/>
  <c r="E172" i="7"/>
  <c r="F172" i="7" s="1"/>
  <c r="I171" i="7"/>
  <c r="E171" i="7"/>
  <c r="F171" i="7" s="1"/>
  <c r="I170" i="7"/>
  <c r="E170" i="7"/>
  <c r="F170" i="7" s="1"/>
  <c r="I169" i="7"/>
  <c r="E169" i="7"/>
  <c r="F169" i="7" s="1"/>
  <c r="I168" i="7"/>
  <c r="E168" i="7"/>
  <c r="F168" i="7" s="1"/>
  <c r="I167" i="7"/>
  <c r="E167" i="7"/>
  <c r="F167" i="7" s="1"/>
  <c r="I166" i="7"/>
  <c r="E166" i="7"/>
  <c r="F166" i="7" s="1"/>
  <c r="I165" i="7"/>
  <c r="E165" i="7"/>
  <c r="F165" i="7" s="1"/>
  <c r="I164" i="7"/>
  <c r="E164" i="7"/>
  <c r="F164" i="7" s="1"/>
  <c r="I163" i="7"/>
  <c r="E163" i="7"/>
  <c r="F163" i="7" s="1"/>
  <c r="I162" i="7"/>
  <c r="E162" i="7"/>
  <c r="F162" i="7" s="1"/>
  <c r="I161" i="7"/>
  <c r="E161" i="7"/>
  <c r="F161" i="7" s="1"/>
  <c r="I160" i="7"/>
  <c r="E160" i="7"/>
  <c r="F160" i="7" s="1"/>
  <c r="I159" i="7"/>
  <c r="E159" i="7"/>
  <c r="F159" i="7" s="1"/>
  <c r="I158" i="7"/>
  <c r="E158" i="7"/>
  <c r="F158" i="7" s="1"/>
  <c r="I157" i="7"/>
  <c r="E157" i="7"/>
  <c r="F157" i="7" s="1"/>
  <c r="I156" i="7"/>
  <c r="E156" i="7"/>
  <c r="F156" i="7" s="1"/>
  <c r="I155" i="7"/>
  <c r="E155" i="7"/>
  <c r="F155" i="7" s="1"/>
  <c r="I154" i="7"/>
  <c r="E154" i="7"/>
  <c r="F154" i="7" s="1"/>
  <c r="I153" i="7"/>
  <c r="E153" i="7"/>
  <c r="F153" i="7" s="1"/>
  <c r="I152" i="7"/>
  <c r="E152" i="7"/>
  <c r="F152" i="7" s="1"/>
  <c r="I151" i="7"/>
  <c r="E151" i="7"/>
  <c r="F151" i="7" s="1"/>
  <c r="I150" i="7"/>
  <c r="E150" i="7"/>
  <c r="F150" i="7" s="1"/>
  <c r="I149" i="7"/>
  <c r="E149" i="7"/>
  <c r="F149" i="7" s="1"/>
  <c r="I148" i="7"/>
  <c r="E148" i="7"/>
  <c r="F148" i="7" s="1"/>
  <c r="I147" i="7"/>
  <c r="E147" i="7"/>
  <c r="F147" i="7" s="1"/>
  <c r="I146" i="7"/>
  <c r="E146" i="7"/>
  <c r="F146" i="7" s="1"/>
  <c r="I145" i="7"/>
  <c r="E145" i="7"/>
  <c r="F145" i="7" s="1"/>
  <c r="I144" i="7"/>
  <c r="E144" i="7"/>
  <c r="F144" i="7" s="1"/>
  <c r="I143" i="7"/>
  <c r="E143" i="7"/>
  <c r="F143" i="7" s="1"/>
  <c r="I142" i="7"/>
  <c r="E142" i="7"/>
  <c r="F142" i="7" s="1"/>
  <c r="I141" i="7"/>
  <c r="E141" i="7"/>
  <c r="F141" i="7" s="1"/>
  <c r="I140" i="7"/>
  <c r="E140" i="7"/>
  <c r="F140" i="7" s="1"/>
  <c r="I139" i="7"/>
  <c r="E139" i="7"/>
  <c r="F139" i="7" s="1"/>
  <c r="I138" i="7"/>
  <c r="E138" i="7"/>
  <c r="F138" i="7" s="1"/>
  <c r="I137" i="7"/>
  <c r="E137" i="7"/>
  <c r="F137" i="7" s="1"/>
  <c r="I136" i="7"/>
  <c r="E136" i="7"/>
  <c r="F136" i="7" s="1"/>
  <c r="I135" i="7"/>
  <c r="E135" i="7"/>
  <c r="F135" i="7" s="1"/>
  <c r="I134" i="7"/>
  <c r="E134" i="7"/>
  <c r="F134" i="7" s="1"/>
  <c r="I133" i="7"/>
  <c r="E133" i="7"/>
  <c r="F133" i="7" s="1"/>
  <c r="I132" i="7"/>
  <c r="E132" i="7"/>
  <c r="F132" i="7" s="1"/>
  <c r="I131" i="7"/>
  <c r="E131" i="7"/>
  <c r="F131" i="7" s="1"/>
  <c r="I130" i="7"/>
  <c r="E130" i="7"/>
  <c r="F130" i="7" s="1"/>
  <c r="I129" i="7"/>
  <c r="E129" i="7"/>
  <c r="F129" i="7" s="1"/>
  <c r="I128" i="7"/>
  <c r="E128" i="7"/>
  <c r="F128" i="7" s="1"/>
  <c r="I127" i="7"/>
  <c r="E127" i="7"/>
  <c r="F127" i="7" s="1"/>
  <c r="I126" i="7"/>
  <c r="E126" i="7"/>
  <c r="F126" i="7" s="1"/>
  <c r="I125" i="7"/>
  <c r="E125" i="7"/>
  <c r="F125" i="7" s="1"/>
  <c r="I124" i="7"/>
  <c r="E124" i="7"/>
  <c r="F124" i="7" s="1"/>
  <c r="I123" i="7"/>
  <c r="E123" i="7"/>
  <c r="F123" i="7" s="1"/>
  <c r="I122" i="7"/>
  <c r="E122" i="7"/>
  <c r="F122" i="7" s="1"/>
  <c r="I121" i="7"/>
  <c r="E121" i="7"/>
  <c r="F121" i="7" s="1"/>
  <c r="I120" i="7"/>
  <c r="E120" i="7"/>
  <c r="F120" i="7" s="1"/>
  <c r="I119" i="7"/>
  <c r="E119" i="7"/>
  <c r="F119" i="7" s="1"/>
  <c r="I118" i="7"/>
  <c r="E118" i="7"/>
  <c r="F118" i="7" s="1"/>
  <c r="I117" i="7"/>
  <c r="E117" i="7"/>
  <c r="F117" i="7" s="1"/>
  <c r="I116" i="7"/>
  <c r="E116" i="7"/>
  <c r="F116" i="7" s="1"/>
  <c r="I115" i="7"/>
  <c r="E115" i="7"/>
  <c r="F115" i="7" s="1"/>
  <c r="I114" i="7"/>
  <c r="E114" i="7"/>
  <c r="F114" i="7" s="1"/>
  <c r="I113" i="7"/>
  <c r="E113" i="7"/>
  <c r="F113" i="7" s="1"/>
  <c r="I112" i="7"/>
  <c r="E112" i="7"/>
  <c r="F112" i="7" s="1"/>
  <c r="I111" i="7"/>
  <c r="E111" i="7"/>
  <c r="F111" i="7" s="1"/>
  <c r="I110" i="7"/>
  <c r="E110" i="7"/>
  <c r="F110" i="7" s="1"/>
  <c r="I109" i="7"/>
  <c r="E109" i="7"/>
  <c r="F109" i="7" s="1"/>
  <c r="I108" i="7"/>
  <c r="E108" i="7"/>
  <c r="F108" i="7" s="1"/>
  <c r="I107" i="7"/>
  <c r="E107" i="7"/>
  <c r="F107" i="7" s="1"/>
  <c r="I106" i="7"/>
  <c r="E106" i="7"/>
  <c r="F106" i="7" s="1"/>
  <c r="I105" i="7"/>
  <c r="E105" i="7"/>
  <c r="F105" i="7" s="1"/>
  <c r="I104" i="7"/>
  <c r="E104" i="7"/>
  <c r="F104" i="7" s="1"/>
  <c r="I103" i="7"/>
  <c r="E103" i="7"/>
  <c r="F103" i="7" s="1"/>
  <c r="I102" i="7"/>
  <c r="E102" i="7"/>
  <c r="F102" i="7" s="1"/>
  <c r="I101" i="7"/>
  <c r="E101" i="7"/>
  <c r="F101" i="7" s="1"/>
  <c r="I100" i="7"/>
  <c r="E100" i="7"/>
  <c r="F100" i="7" s="1"/>
  <c r="I99" i="7"/>
  <c r="E99" i="7"/>
  <c r="F99" i="7" s="1"/>
  <c r="I98" i="7"/>
  <c r="E98" i="7"/>
  <c r="F98" i="7" s="1"/>
  <c r="I97" i="7"/>
  <c r="E97" i="7"/>
  <c r="F97" i="7" s="1"/>
  <c r="I96" i="7"/>
  <c r="E96" i="7"/>
  <c r="F96" i="7" s="1"/>
  <c r="I95" i="7"/>
  <c r="E95" i="7"/>
  <c r="F95" i="7" s="1"/>
  <c r="I94" i="7"/>
  <c r="E94" i="7"/>
  <c r="F94" i="7" s="1"/>
  <c r="I93" i="7"/>
  <c r="E93" i="7"/>
  <c r="F93" i="7" s="1"/>
  <c r="I92" i="7"/>
  <c r="E92" i="7"/>
  <c r="F92" i="7" s="1"/>
  <c r="I91" i="7"/>
  <c r="E91" i="7"/>
  <c r="F91" i="7" s="1"/>
  <c r="I90" i="7"/>
  <c r="E90" i="7"/>
  <c r="F90" i="7" s="1"/>
  <c r="I89" i="7"/>
  <c r="E89" i="7"/>
  <c r="F89" i="7" s="1"/>
  <c r="I88" i="7"/>
  <c r="E88" i="7"/>
  <c r="F88" i="7" s="1"/>
  <c r="I87" i="7"/>
  <c r="E87" i="7"/>
  <c r="F87" i="7" s="1"/>
  <c r="I86" i="7"/>
  <c r="E86" i="7"/>
  <c r="F86" i="7" s="1"/>
  <c r="I85" i="7"/>
  <c r="E85" i="7"/>
  <c r="F85" i="7" s="1"/>
  <c r="I84" i="7"/>
  <c r="E84" i="7"/>
  <c r="F84" i="7" s="1"/>
  <c r="I83" i="7"/>
  <c r="E83" i="7"/>
  <c r="F83" i="7" s="1"/>
  <c r="I82" i="7"/>
  <c r="E82" i="7"/>
  <c r="F82" i="7" s="1"/>
  <c r="I81" i="7"/>
  <c r="E81" i="7"/>
  <c r="F81" i="7" s="1"/>
  <c r="I80" i="7"/>
  <c r="E80" i="7"/>
  <c r="F80" i="7" s="1"/>
  <c r="I79" i="7"/>
  <c r="E79" i="7"/>
  <c r="F79" i="7" s="1"/>
  <c r="I78" i="7"/>
  <c r="E78" i="7"/>
  <c r="F78" i="7" s="1"/>
  <c r="I77" i="7"/>
  <c r="E77" i="7"/>
  <c r="F77" i="7" s="1"/>
  <c r="I76" i="7"/>
  <c r="E76" i="7"/>
  <c r="F76" i="7" s="1"/>
  <c r="I75" i="7"/>
  <c r="E75" i="7"/>
  <c r="F75" i="7" s="1"/>
  <c r="I74" i="7"/>
  <c r="E74" i="7"/>
  <c r="F74" i="7" s="1"/>
  <c r="I73" i="7"/>
  <c r="E73" i="7"/>
  <c r="F73" i="7" s="1"/>
  <c r="I72" i="7"/>
  <c r="E72" i="7"/>
  <c r="F72" i="7" s="1"/>
  <c r="I71" i="7"/>
  <c r="E71" i="7"/>
  <c r="F71" i="7" s="1"/>
  <c r="I70" i="7"/>
  <c r="E70" i="7"/>
  <c r="F70" i="7" s="1"/>
  <c r="I69" i="7"/>
  <c r="E69" i="7"/>
  <c r="F69" i="7" s="1"/>
  <c r="I68" i="7"/>
  <c r="E68" i="7"/>
  <c r="F68" i="7" s="1"/>
  <c r="I67" i="7"/>
  <c r="E67" i="7"/>
  <c r="F67" i="7" s="1"/>
  <c r="I66" i="7"/>
  <c r="E66" i="7"/>
  <c r="F66" i="7" s="1"/>
  <c r="I65" i="7"/>
  <c r="E65" i="7"/>
  <c r="F65" i="7" s="1"/>
  <c r="I64" i="7"/>
  <c r="E64" i="7"/>
  <c r="F64" i="7" s="1"/>
  <c r="I63" i="7"/>
  <c r="E63" i="7"/>
  <c r="F63" i="7" s="1"/>
  <c r="I62" i="7"/>
  <c r="E62" i="7"/>
  <c r="F62" i="7" s="1"/>
  <c r="I61" i="7"/>
  <c r="E61" i="7"/>
  <c r="F61" i="7" s="1"/>
  <c r="I60" i="7"/>
  <c r="E60" i="7"/>
  <c r="F60" i="7" s="1"/>
  <c r="I59" i="7"/>
  <c r="E59" i="7"/>
  <c r="F59" i="7" s="1"/>
  <c r="I58" i="7"/>
  <c r="E58" i="7"/>
  <c r="F58" i="7" s="1"/>
  <c r="I57" i="7"/>
  <c r="E57" i="7"/>
  <c r="F57" i="7" s="1"/>
  <c r="I56" i="7"/>
  <c r="E56" i="7"/>
  <c r="F56" i="7" s="1"/>
  <c r="I55" i="7"/>
  <c r="E55" i="7"/>
  <c r="F55" i="7" s="1"/>
  <c r="I54" i="7"/>
  <c r="E54" i="7"/>
  <c r="F54" i="7" s="1"/>
  <c r="I53" i="7"/>
  <c r="E53" i="7"/>
  <c r="F53" i="7" s="1"/>
  <c r="I52" i="7"/>
  <c r="E52" i="7"/>
  <c r="F52" i="7" s="1"/>
  <c r="I51" i="7"/>
  <c r="E51" i="7"/>
  <c r="F51" i="7" s="1"/>
  <c r="I50" i="7"/>
  <c r="E50" i="7"/>
  <c r="F50" i="7" s="1"/>
  <c r="I49" i="7"/>
  <c r="E49" i="7"/>
  <c r="F49" i="7" s="1"/>
  <c r="I48" i="7"/>
  <c r="E48" i="7"/>
  <c r="F48" i="7" s="1"/>
  <c r="I47" i="7"/>
  <c r="E47" i="7"/>
  <c r="F47" i="7" s="1"/>
  <c r="I46" i="7"/>
  <c r="E46" i="7"/>
  <c r="F46" i="7" s="1"/>
  <c r="I45" i="7"/>
  <c r="E45" i="7"/>
  <c r="F45" i="7" s="1"/>
  <c r="I44" i="7"/>
  <c r="E44" i="7"/>
  <c r="F44" i="7" s="1"/>
  <c r="I43" i="7"/>
  <c r="E43" i="7"/>
  <c r="F43" i="7" s="1"/>
  <c r="I42" i="7"/>
  <c r="E42" i="7"/>
  <c r="F42" i="7" s="1"/>
  <c r="I41" i="7"/>
  <c r="E41" i="7"/>
  <c r="F41" i="7" s="1"/>
  <c r="I40" i="7"/>
  <c r="E40" i="7"/>
  <c r="F40" i="7" s="1"/>
  <c r="I39" i="7"/>
  <c r="E39" i="7"/>
  <c r="F39" i="7" s="1"/>
  <c r="I38" i="7"/>
  <c r="E38" i="7"/>
  <c r="F38" i="7" s="1"/>
  <c r="I37" i="7"/>
  <c r="E37" i="7"/>
  <c r="F37" i="7" s="1"/>
  <c r="I36" i="7"/>
  <c r="E36" i="7"/>
  <c r="F36" i="7" s="1"/>
  <c r="I35" i="7"/>
  <c r="E35" i="7"/>
  <c r="F35" i="7" s="1"/>
  <c r="I34" i="7"/>
  <c r="E34" i="7"/>
  <c r="F34" i="7" s="1"/>
  <c r="I33" i="7"/>
  <c r="E33" i="7"/>
  <c r="F33" i="7" s="1"/>
  <c r="I32" i="7"/>
  <c r="E32" i="7"/>
  <c r="F32" i="7" s="1"/>
  <c r="I31" i="7"/>
  <c r="E31" i="7"/>
  <c r="F31" i="7" s="1"/>
  <c r="I30" i="7"/>
  <c r="E30" i="7"/>
  <c r="F30" i="7" s="1"/>
  <c r="I29" i="7"/>
  <c r="E29" i="7"/>
  <c r="F29" i="7" s="1"/>
  <c r="I28" i="7"/>
  <c r="E28" i="7"/>
  <c r="F28" i="7" s="1"/>
  <c r="I27" i="7"/>
  <c r="E27" i="7"/>
  <c r="F27" i="7" s="1"/>
  <c r="I26" i="7"/>
  <c r="E26" i="7"/>
  <c r="F26" i="7" s="1"/>
  <c r="I25" i="7"/>
  <c r="E25" i="7"/>
  <c r="F25" i="7" s="1"/>
  <c r="I24" i="7"/>
  <c r="E24" i="7"/>
  <c r="F24" i="7" s="1"/>
  <c r="I23" i="7"/>
  <c r="E23" i="7"/>
  <c r="F23" i="7" s="1"/>
  <c r="I22" i="7"/>
  <c r="E22" i="7"/>
  <c r="F22" i="7" s="1"/>
  <c r="I21" i="7"/>
  <c r="E21" i="7"/>
  <c r="F21" i="7" s="1"/>
  <c r="I20" i="7"/>
  <c r="E20" i="7"/>
  <c r="F20" i="7" s="1"/>
  <c r="I19" i="7"/>
  <c r="E19" i="7"/>
  <c r="F19" i="7" s="1"/>
  <c r="I18" i="7"/>
  <c r="E18" i="7"/>
  <c r="F18" i="7" s="1"/>
  <c r="I17" i="7"/>
  <c r="E17" i="7"/>
  <c r="F17" i="7" s="1"/>
  <c r="I16" i="7"/>
  <c r="E16" i="7"/>
  <c r="F16" i="7" s="1"/>
  <c r="I15" i="7"/>
  <c r="E15" i="7"/>
  <c r="F15" i="7" s="1"/>
  <c r="I14" i="7"/>
  <c r="E14" i="7"/>
  <c r="F14" i="7" s="1"/>
  <c r="I13" i="7"/>
  <c r="E13" i="7"/>
  <c r="F13" i="7" s="1"/>
  <c r="I12" i="7"/>
  <c r="E12" i="7"/>
  <c r="F12" i="7" s="1"/>
  <c r="I11" i="7"/>
  <c r="E11" i="7"/>
  <c r="F11" i="7" s="1"/>
  <c r="I10" i="7"/>
  <c r="E10" i="7"/>
  <c r="F10" i="7" s="1"/>
  <c r="I9" i="7"/>
  <c r="E9" i="7"/>
  <c r="F9" i="7" s="1"/>
  <c r="I8" i="7"/>
  <c r="E8" i="7"/>
  <c r="F8" i="7" s="1"/>
  <c r="I7" i="7"/>
  <c r="E7" i="7"/>
  <c r="F7" i="7" s="1"/>
  <c r="I6" i="7"/>
  <c r="E6" i="7"/>
  <c r="F6" i="7" s="1"/>
  <c r="I5" i="7"/>
  <c r="E5" i="7"/>
  <c r="F5" i="7" s="1"/>
  <c r="E4" i="7"/>
  <c r="F4" i="7" s="1"/>
  <c r="E3" i="7"/>
  <c r="F3" i="7" s="1"/>
  <c r="E2" i="7"/>
  <c r="F2" i="7" s="1"/>
  <c r="E190" i="6"/>
  <c r="F190" i="6" s="1"/>
  <c r="I189" i="6"/>
  <c r="E189" i="6"/>
  <c r="F189" i="6" s="1"/>
  <c r="I188" i="6"/>
  <c r="E188" i="6"/>
  <c r="F188" i="6" s="1"/>
  <c r="I187" i="6"/>
  <c r="E187" i="6"/>
  <c r="F187" i="6" s="1"/>
  <c r="I186" i="6"/>
  <c r="E186" i="6"/>
  <c r="F186" i="6" s="1"/>
  <c r="I185" i="6"/>
  <c r="E185" i="6"/>
  <c r="F185" i="6" s="1"/>
  <c r="I184" i="6"/>
  <c r="E184" i="6"/>
  <c r="F184" i="6" s="1"/>
  <c r="I183" i="6"/>
  <c r="E183" i="6"/>
  <c r="F183" i="6" s="1"/>
  <c r="I182" i="6"/>
  <c r="E182" i="6"/>
  <c r="F182" i="6" s="1"/>
  <c r="I181" i="6"/>
  <c r="E181" i="6"/>
  <c r="F181" i="6" s="1"/>
  <c r="I180" i="6"/>
  <c r="E180" i="6"/>
  <c r="F180" i="6" s="1"/>
  <c r="I179" i="6"/>
  <c r="E179" i="6"/>
  <c r="F179" i="6" s="1"/>
  <c r="I178" i="6"/>
  <c r="E178" i="6"/>
  <c r="F178" i="6" s="1"/>
  <c r="I177" i="6"/>
  <c r="E177" i="6"/>
  <c r="F177" i="6" s="1"/>
  <c r="I176" i="6"/>
  <c r="E176" i="6"/>
  <c r="F176" i="6" s="1"/>
  <c r="I175" i="6"/>
  <c r="E175" i="6"/>
  <c r="F175" i="6" s="1"/>
  <c r="I174" i="6"/>
  <c r="E174" i="6"/>
  <c r="F174" i="6" s="1"/>
  <c r="I173" i="6"/>
  <c r="E173" i="6"/>
  <c r="F173" i="6" s="1"/>
  <c r="I172" i="6"/>
  <c r="E172" i="6"/>
  <c r="F172" i="6" s="1"/>
  <c r="I171" i="6"/>
  <c r="E171" i="6"/>
  <c r="F171" i="6" s="1"/>
  <c r="I170" i="6"/>
  <c r="E170" i="6"/>
  <c r="F170" i="6" s="1"/>
  <c r="I169" i="6"/>
  <c r="E169" i="6"/>
  <c r="F169" i="6" s="1"/>
  <c r="I168" i="6"/>
  <c r="E168" i="6"/>
  <c r="F168" i="6" s="1"/>
  <c r="I167" i="6"/>
  <c r="E167" i="6"/>
  <c r="F167" i="6" s="1"/>
  <c r="I166" i="6"/>
  <c r="E166" i="6"/>
  <c r="F166" i="6" s="1"/>
  <c r="I165" i="6"/>
  <c r="E165" i="6"/>
  <c r="F165" i="6" s="1"/>
  <c r="I164" i="6"/>
  <c r="E164" i="6"/>
  <c r="F164" i="6" s="1"/>
  <c r="I163" i="6"/>
  <c r="E163" i="6"/>
  <c r="F163" i="6" s="1"/>
  <c r="I162" i="6"/>
  <c r="E162" i="6"/>
  <c r="F162" i="6" s="1"/>
  <c r="I161" i="6"/>
  <c r="E161" i="6"/>
  <c r="F161" i="6" s="1"/>
  <c r="I160" i="6"/>
  <c r="E160" i="6"/>
  <c r="F160" i="6" s="1"/>
  <c r="I159" i="6"/>
  <c r="E159" i="6"/>
  <c r="F159" i="6" s="1"/>
  <c r="I158" i="6"/>
  <c r="E158" i="6"/>
  <c r="F158" i="6" s="1"/>
  <c r="I157" i="6"/>
  <c r="E157" i="6"/>
  <c r="F157" i="6" s="1"/>
  <c r="I156" i="6"/>
  <c r="E156" i="6"/>
  <c r="F156" i="6" s="1"/>
  <c r="I155" i="6"/>
  <c r="E155" i="6"/>
  <c r="F155" i="6" s="1"/>
  <c r="I154" i="6"/>
  <c r="E154" i="6"/>
  <c r="F154" i="6" s="1"/>
  <c r="I153" i="6"/>
  <c r="E153" i="6"/>
  <c r="F153" i="6" s="1"/>
  <c r="I152" i="6"/>
  <c r="E152" i="6"/>
  <c r="F152" i="6" s="1"/>
  <c r="I151" i="6"/>
  <c r="E151" i="6"/>
  <c r="F151" i="6" s="1"/>
  <c r="I150" i="6"/>
  <c r="E150" i="6"/>
  <c r="F150" i="6" s="1"/>
  <c r="I149" i="6"/>
  <c r="E149" i="6"/>
  <c r="F149" i="6" s="1"/>
  <c r="I148" i="6"/>
  <c r="E148" i="6"/>
  <c r="F148" i="6" s="1"/>
  <c r="I147" i="6"/>
  <c r="E147" i="6"/>
  <c r="F147" i="6" s="1"/>
  <c r="I146" i="6"/>
  <c r="E146" i="6"/>
  <c r="F146" i="6" s="1"/>
  <c r="I145" i="6"/>
  <c r="E145" i="6"/>
  <c r="F145" i="6" s="1"/>
  <c r="I144" i="6"/>
  <c r="E144" i="6"/>
  <c r="F144" i="6" s="1"/>
  <c r="I143" i="6"/>
  <c r="E143" i="6"/>
  <c r="F143" i="6" s="1"/>
  <c r="I142" i="6"/>
  <c r="E142" i="6"/>
  <c r="F142" i="6" s="1"/>
  <c r="I141" i="6"/>
  <c r="E141" i="6"/>
  <c r="F141" i="6" s="1"/>
  <c r="I140" i="6"/>
  <c r="E140" i="6"/>
  <c r="F140" i="6" s="1"/>
  <c r="I139" i="6"/>
  <c r="E139" i="6"/>
  <c r="F139" i="6" s="1"/>
  <c r="I138" i="6"/>
  <c r="E138" i="6"/>
  <c r="F138" i="6" s="1"/>
  <c r="I137" i="6"/>
  <c r="E137" i="6"/>
  <c r="F137" i="6" s="1"/>
  <c r="I136" i="6"/>
  <c r="E136" i="6"/>
  <c r="F136" i="6" s="1"/>
  <c r="I135" i="6"/>
  <c r="E135" i="6"/>
  <c r="F135" i="6" s="1"/>
  <c r="I134" i="6"/>
  <c r="E134" i="6"/>
  <c r="F134" i="6" s="1"/>
  <c r="I133" i="6"/>
  <c r="E133" i="6"/>
  <c r="F133" i="6" s="1"/>
  <c r="I132" i="6"/>
  <c r="E132" i="6"/>
  <c r="F132" i="6" s="1"/>
  <c r="I131" i="6"/>
  <c r="E131" i="6"/>
  <c r="F131" i="6" s="1"/>
  <c r="I130" i="6"/>
  <c r="E130" i="6"/>
  <c r="F130" i="6" s="1"/>
  <c r="I129" i="6"/>
  <c r="E129" i="6"/>
  <c r="F129" i="6" s="1"/>
  <c r="I128" i="6"/>
  <c r="E128" i="6"/>
  <c r="F128" i="6" s="1"/>
  <c r="I127" i="6"/>
  <c r="E127" i="6"/>
  <c r="F127" i="6" s="1"/>
  <c r="I126" i="6"/>
  <c r="E126" i="6"/>
  <c r="F126" i="6" s="1"/>
  <c r="I125" i="6"/>
  <c r="E125" i="6"/>
  <c r="F125" i="6" s="1"/>
  <c r="I124" i="6"/>
  <c r="E124" i="6"/>
  <c r="F124" i="6" s="1"/>
  <c r="I123" i="6"/>
  <c r="E123" i="6"/>
  <c r="F123" i="6" s="1"/>
  <c r="I122" i="6"/>
  <c r="E122" i="6"/>
  <c r="F122" i="6" s="1"/>
  <c r="I121" i="6"/>
  <c r="E121" i="6"/>
  <c r="F121" i="6" s="1"/>
  <c r="I120" i="6"/>
  <c r="E120" i="6"/>
  <c r="F120" i="6" s="1"/>
  <c r="I119" i="6"/>
  <c r="E119" i="6"/>
  <c r="F119" i="6" s="1"/>
  <c r="I118" i="6"/>
  <c r="E118" i="6"/>
  <c r="F118" i="6" s="1"/>
  <c r="I117" i="6"/>
  <c r="E117" i="6"/>
  <c r="F117" i="6" s="1"/>
  <c r="I116" i="6"/>
  <c r="E116" i="6"/>
  <c r="F116" i="6" s="1"/>
  <c r="I115" i="6"/>
  <c r="E115" i="6"/>
  <c r="F115" i="6" s="1"/>
  <c r="I114" i="6"/>
  <c r="E114" i="6"/>
  <c r="F114" i="6" s="1"/>
  <c r="I113" i="6"/>
  <c r="E113" i="6"/>
  <c r="F113" i="6" s="1"/>
  <c r="I112" i="6"/>
  <c r="E112" i="6"/>
  <c r="F112" i="6" s="1"/>
  <c r="I111" i="6"/>
  <c r="E111" i="6"/>
  <c r="F111" i="6" s="1"/>
  <c r="I110" i="6"/>
  <c r="E110" i="6"/>
  <c r="F110" i="6" s="1"/>
  <c r="I109" i="6"/>
  <c r="E109" i="6"/>
  <c r="F109" i="6" s="1"/>
  <c r="I108" i="6"/>
  <c r="E108" i="6"/>
  <c r="F108" i="6" s="1"/>
  <c r="I107" i="6"/>
  <c r="E107" i="6"/>
  <c r="F107" i="6" s="1"/>
  <c r="I106" i="6"/>
  <c r="E106" i="6"/>
  <c r="F106" i="6" s="1"/>
  <c r="I105" i="6"/>
  <c r="E105" i="6"/>
  <c r="F105" i="6" s="1"/>
  <c r="I104" i="6"/>
  <c r="E104" i="6"/>
  <c r="F104" i="6" s="1"/>
  <c r="I103" i="6"/>
  <c r="E103" i="6"/>
  <c r="F103" i="6" s="1"/>
  <c r="I102" i="6"/>
  <c r="E102" i="6"/>
  <c r="F102" i="6" s="1"/>
  <c r="I101" i="6"/>
  <c r="E101" i="6"/>
  <c r="F101" i="6" s="1"/>
  <c r="I100" i="6"/>
  <c r="E100" i="6"/>
  <c r="F100" i="6" s="1"/>
  <c r="I99" i="6"/>
  <c r="E99" i="6"/>
  <c r="F99" i="6" s="1"/>
  <c r="I98" i="6"/>
  <c r="E98" i="6"/>
  <c r="F98" i="6" s="1"/>
  <c r="I97" i="6"/>
  <c r="E97" i="6"/>
  <c r="F97" i="6" s="1"/>
  <c r="I96" i="6"/>
  <c r="E96" i="6"/>
  <c r="F96" i="6" s="1"/>
  <c r="I95" i="6"/>
  <c r="E95" i="6"/>
  <c r="F95" i="6" s="1"/>
  <c r="I94" i="6"/>
  <c r="E94" i="6"/>
  <c r="F94" i="6" s="1"/>
  <c r="I93" i="6"/>
  <c r="E93" i="6"/>
  <c r="F93" i="6" s="1"/>
  <c r="I92" i="6"/>
  <c r="E92" i="6"/>
  <c r="F92" i="6" s="1"/>
  <c r="I91" i="6"/>
  <c r="E91" i="6"/>
  <c r="F91" i="6" s="1"/>
  <c r="I90" i="6"/>
  <c r="E90" i="6"/>
  <c r="F90" i="6" s="1"/>
  <c r="I89" i="6"/>
  <c r="E89" i="6"/>
  <c r="F89" i="6" s="1"/>
  <c r="I88" i="6"/>
  <c r="E88" i="6"/>
  <c r="F88" i="6" s="1"/>
  <c r="I87" i="6"/>
  <c r="E87" i="6"/>
  <c r="F87" i="6" s="1"/>
  <c r="I86" i="6"/>
  <c r="E86" i="6"/>
  <c r="F86" i="6" s="1"/>
  <c r="I85" i="6"/>
  <c r="E85" i="6"/>
  <c r="F85" i="6" s="1"/>
  <c r="I84" i="6"/>
  <c r="E84" i="6"/>
  <c r="F84" i="6" s="1"/>
  <c r="I83" i="6"/>
  <c r="E83" i="6"/>
  <c r="F83" i="6" s="1"/>
  <c r="I82" i="6"/>
  <c r="E82" i="6"/>
  <c r="F82" i="6" s="1"/>
  <c r="I81" i="6"/>
  <c r="E81" i="6"/>
  <c r="F81" i="6" s="1"/>
  <c r="I80" i="6"/>
  <c r="E80" i="6"/>
  <c r="F80" i="6" s="1"/>
  <c r="I79" i="6"/>
  <c r="E79" i="6"/>
  <c r="F79" i="6" s="1"/>
  <c r="I78" i="6"/>
  <c r="E78" i="6"/>
  <c r="F78" i="6" s="1"/>
  <c r="I77" i="6"/>
  <c r="E77" i="6"/>
  <c r="F77" i="6" s="1"/>
  <c r="I76" i="6"/>
  <c r="E76" i="6"/>
  <c r="F76" i="6" s="1"/>
  <c r="I75" i="6"/>
  <c r="E75" i="6"/>
  <c r="F75" i="6" s="1"/>
  <c r="I74" i="6"/>
  <c r="E74" i="6"/>
  <c r="F74" i="6" s="1"/>
  <c r="I73" i="6"/>
  <c r="E73" i="6"/>
  <c r="F73" i="6" s="1"/>
  <c r="I72" i="6"/>
  <c r="E72" i="6"/>
  <c r="F72" i="6" s="1"/>
  <c r="I71" i="6"/>
  <c r="E71" i="6"/>
  <c r="F71" i="6" s="1"/>
  <c r="I70" i="6"/>
  <c r="E70" i="6"/>
  <c r="F70" i="6" s="1"/>
  <c r="I69" i="6"/>
  <c r="E69" i="6"/>
  <c r="F69" i="6" s="1"/>
  <c r="I68" i="6"/>
  <c r="E68" i="6"/>
  <c r="F68" i="6" s="1"/>
  <c r="I67" i="6"/>
  <c r="E67" i="6"/>
  <c r="F67" i="6" s="1"/>
  <c r="I66" i="6"/>
  <c r="E66" i="6"/>
  <c r="F66" i="6" s="1"/>
  <c r="I65" i="6"/>
  <c r="E65" i="6"/>
  <c r="F65" i="6" s="1"/>
  <c r="I64" i="6"/>
  <c r="E64" i="6"/>
  <c r="F64" i="6" s="1"/>
  <c r="I63" i="6"/>
  <c r="E63" i="6"/>
  <c r="F63" i="6" s="1"/>
  <c r="I62" i="6"/>
  <c r="E62" i="6"/>
  <c r="F62" i="6" s="1"/>
  <c r="I61" i="6"/>
  <c r="E61" i="6"/>
  <c r="F61" i="6" s="1"/>
  <c r="I60" i="6"/>
  <c r="E60" i="6"/>
  <c r="F60" i="6" s="1"/>
  <c r="I59" i="6"/>
  <c r="E59" i="6"/>
  <c r="F59" i="6" s="1"/>
  <c r="I58" i="6"/>
  <c r="E58" i="6"/>
  <c r="F58" i="6" s="1"/>
  <c r="I57" i="6"/>
  <c r="E57" i="6"/>
  <c r="F57" i="6" s="1"/>
  <c r="I56" i="6"/>
  <c r="E56" i="6"/>
  <c r="F56" i="6" s="1"/>
  <c r="I55" i="6"/>
  <c r="E55" i="6"/>
  <c r="F55" i="6" s="1"/>
  <c r="I54" i="6"/>
  <c r="E54" i="6"/>
  <c r="F54" i="6" s="1"/>
  <c r="I53" i="6"/>
  <c r="E53" i="6"/>
  <c r="F53" i="6" s="1"/>
  <c r="I52" i="6"/>
  <c r="E52" i="6"/>
  <c r="F52" i="6" s="1"/>
  <c r="I51" i="6"/>
  <c r="E51" i="6"/>
  <c r="F51" i="6" s="1"/>
  <c r="I50" i="6"/>
  <c r="E50" i="6"/>
  <c r="F50" i="6" s="1"/>
  <c r="I49" i="6"/>
  <c r="E49" i="6"/>
  <c r="F49" i="6" s="1"/>
  <c r="I48" i="6"/>
  <c r="E48" i="6"/>
  <c r="F48" i="6" s="1"/>
  <c r="I47" i="6"/>
  <c r="E47" i="6"/>
  <c r="F47" i="6" s="1"/>
  <c r="I46" i="6"/>
  <c r="E46" i="6"/>
  <c r="F46" i="6" s="1"/>
  <c r="I45" i="6"/>
  <c r="E45" i="6"/>
  <c r="F45" i="6" s="1"/>
  <c r="I44" i="6"/>
  <c r="E44" i="6"/>
  <c r="F44" i="6" s="1"/>
  <c r="I43" i="6"/>
  <c r="E43" i="6"/>
  <c r="F43" i="6" s="1"/>
  <c r="I42" i="6"/>
  <c r="E42" i="6"/>
  <c r="F42" i="6" s="1"/>
  <c r="I41" i="6"/>
  <c r="E41" i="6"/>
  <c r="F41" i="6" s="1"/>
  <c r="I40" i="6"/>
  <c r="E40" i="6"/>
  <c r="F40" i="6" s="1"/>
  <c r="I39" i="6"/>
  <c r="E39" i="6"/>
  <c r="F39" i="6" s="1"/>
  <c r="I38" i="6"/>
  <c r="E38" i="6"/>
  <c r="F38" i="6" s="1"/>
  <c r="I37" i="6"/>
  <c r="E37" i="6"/>
  <c r="F37" i="6" s="1"/>
  <c r="I36" i="6"/>
  <c r="E36" i="6"/>
  <c r="F36" i="6" s="1"/>
  <c r="I35" i="6"/>
  <c r="E35" i="6"/>
  <c r="F35" i="6" s="1"/>
  <c r="I34" i="6"/>
  <c r="E34" i="6"/>
  <c r="F34" i="6" s="1"/>
  <c r="I33" i="6"/>
  <c r="E33" i="6"/>
  <c r="F33" i="6" s="1"/>
  <c r="I32" i="6"/>
  <c r="E32" i="6"/>
  <c r="F32" i="6" s="1"/>
  <c r="I31" i="6"/>
  <c r="E31" i="6"/>
  <c r="F31" i="6" s="1"/>
  <c r="I30" i="6"/>
  <c r="E30" i="6"/>
  <c r="F30" i="6" s="1"/>
  <c r="I29" i="6"/>
  <c r="E29" i="6"/>
  <c r="F29" i="6" s="1"/>
  <c r="I28" i="6"/>
  <c r="E28" i="6"/>
  <c r="F28" i="6" s="1"/>
  <c r="I27" i="6"/>
  <c r="E27" i="6"/>
  <c r="F27" i="6" s="1"/>
  <c r="I26" i="6"/>
  <c r="E26" i="6"/>
  <c r="F26" i="6" s="1"/>
  <c r="I25" i="6"/>
  <c r="E25" i="6"/>
  <c r="F25" i="6" s="1"/>
  <c r="I24" i="6"/>
  <c r="E24" i="6"/>
  <c r="F24" i="6" s="1"/>
  <c r="I23" i="6"/>
  <c r="E23" i="6"/>
  <c r="F23" i="6" s="1"/>
  <c r="I22" i="6"/>
  <c r="E22" i="6"/>
  <c r="F22" i="6" s="1"/>
  <c r="I21" i="6"/>
  <c r="E21" i="6"/>
  <c r="F21" i="6" s="1"/>
  <c r="I20" i="6"/>
  <c r="E20" i="6"/>
  <c r="F20" i="6" s="1"/>
  <c r="I19" i="6"/>
  <c r="E19" i="6"/>
  <c r="F19" i="6" s="1"/>
  <c r="I18" i="6"/>
  <c r="E18" i="6"/>
  <c r="F18" i="6" s="1"/>
  <c r="I17" i="6"/>
  <c r="E17" i="6"/>
  <c r="F17" i="6" s="1"/>
  <c r="I16" i="6"/>
  <c r="E16" i="6"/>
  <c r="F16" i="6" s="1"/>
  <c r="I15" i="6"/>
  <c r="E15" i="6"/>
  <c r="F15" i="6" s="1"/>
  <c r="I14" i="6"/>
  <c r="E14" i="6"/>
  <c r="F14" i="6" s="1"/>
  <c r="I13" i="6"/>
  <c r="E13" i="6"/>
  <c r="F13" i="6" s="1"/>
  <c r="I12" i="6"/>
  <c r="E12" i="6"/>
  <c r="F12" i="6" s="1"/>
  <c r="I11" i="6"/>
  <c r="E11" i="6"/>
  <c r="F11" i="6" s="1"/>
  <c r="I10" i="6"/>
  <c r="E10" i="6"/>
  <c r="F10" i="6" s="1"/>
  <c r="I9" i="6"/>
  <c r="E9" i="6"/>
  <c r="F9" i="6" s="1"/>
  <c r="I8" i="6"/>
  <c r="E8" i="6"/>
  <c r="F8" i="6" s="1"/>
  <c r="I7" i="6"/>
  <c r="E7" i="6"/>
  <c r="F7" i="6" s="1"/>
  <c r="I6" i="6"/>
  <c r="E6" i="6"/>
  <c r="F6" i="6" s="1"/>
  <c r="I5" i="6"/>
  <c r="E5" i="6"/>
  <c r="F5" i="6" s="1"/>
  <c r="E4" i="6"/>
  <c r="F4" i="6" s="1"/>
  <c r="E3" i="6"/>
  <c r="F3" i="6" s="1"/>
  <c r="E2" i="6"/>
  <c r="F2" i="6" s="1"/>
  <c r="E190" i="5"/>
  <c r="F190" i="5" s="1"/>
  <c r="I189" i="5"/>
  <c r="E189" i="5"/>
  <c r="F189" i="5" s="1"/>
  <c r="I188" i="5"/>
  <c r="E188" i="5"/>
  <c r="F188" i="5" s="1"/>
  <c r="I187" i="5"/>
  <c r="E187" i="5"/>
  <c r="F187" i="5" s="1"/>
  <c r="I186" i="5"/>
  <c r="E186" i="5"/>
  <c r="F186" i="5" s="1"/>
  <c r="I185" i="5"/>
  <c r="E185" i="5"/>
  <c r="F185" i="5" s="1"/>
  <c r="I184" i="5"/>
  <c r="E184" i="5"/>
  <c r="F184" i="5" s="1"/>
  <c r="I183" i="5"/>
  <c r="E183" i="5"/>
  <c r="F183" i="5" s="1"/>
  <c r="I182" i="5"/>
  <c r="E182" i="5"/>
  <c r="F182" i="5" s="1"/>
  <c r="I181" i="5"/>
  <c r="E181" i="5"/>
  <c r="F181" i="5" s="1"/>
  <c r="I180" i="5"/>
  <c r="E180" i="5"/>
  <c r="F180" i="5" s="1"/>
  <c r="I179" i="5"/>
  <c r="E179" i="5"/>
  <c r="F179" i="5" s="1"/>
  <c r="I178" i="5"/>
  <c r="E178" i="5"/>
  <c r="F178" i="5" s="1"/>
  <c r="I177" i="5"/>
  <c r="E177" i="5"/>
  <c r="F177" i="5" s="1"/>
  <c r="I176" i="5"/>
  <c r="E176" i="5"/>
  <c r="F176" i="5" s="1"/>
  <c r="I175" i="5"/>
  <c r="E175" i="5"/>
  <c r="F175" i="5" s="1"/>
  <c r="I174" i="5"/>
  <c r="E174" i="5"/>
  <c r="F174" i="5" s="1"/>
  <c r="I173" i="5"/>
  <c r="E173" i="5"/>
  <c r="F173" i="5" s="1"/>
  <c r="I172" i="5"/>
  <c r="E172" i="5"/>
  <c r="F172" i="5" s="1"/>
  <c r="I171" i="5"/>
  <c r="E171" i="5"/>
  <c r="F171" i="5" s="1"/>
  <c r="I170" i="5"/>
  <c r="E170" i="5"/>
  <c r="F170" i="5" s="1"/>
  <c r="I169" i="5"/>
  <c r="E169" i="5"/>
  <c r="F169" i="5" s="1"/>
  <c r="I168" i="5"/>
  <c r="E168" i="5"/>
  <c r="F168" i="5" s="1"/>
  <c r="I167" i="5"/>
  <c r="E167" i="5"/>
  <c r="F167" i="5" s="1"/>
  <c r="I166" i="5"/>
  <c r="E166" i="5"/>
  <c r="F166" i="5" s="1"/>
  <c r="I165" i="5"/>
  <c r="E165" i="5"/>
  <c r="F165" i="5" s="1"/>
  <c r="I164" i="5"/>
  <c r="E164" i="5"/>
  <c r="F164" i="5" s="1"/>
  <c r="I163" i="5"/>
  <c r="E163" i="5"/>
  <c r="F163" i="5" s="1"/>
  <c r="I162" i="5"/>
  <c r="E162" i="5"/>
  <c r="F162" i="5" s="1"/>
  <c r="I161" i="5"/>
  <c r="E161" i="5"/>
  <c r="F161" i="5" s="1"/>
  <c r="I160" i="5"/>
  <c r="E160" i="5"/>
  <c r="F160" i="5" s="1"/>
  <c r="I159" i="5"/>
  <c r="E159" i="5"/>
  <c r="F159" i="5" s="1"/>
  <c r="I158" i="5"/>
  <c r="E158" i="5"/>
  <c r="F158" i="5" s="1"/>
  <c r="I157" i="5"/>
  <c r="E157" i="5"/>
  <c r="F157" i="5" s="1"/>
  <c r="I156" i="5"/>
  <c r="E156" i="5"/>
  <c r="F156" i="5" s="1"/>
  <c r="I155" i="5"/>
  <c r="E155" i="5"/>
  <c r="F155" i="5" s="1"/>
  <c r="I154" i="5"/>
  <c r="E154" i="5"/>
  <c r="F154" i="5" s="1"/>
  <c r="I153" i="5"/>
  <c r="E153" i="5"/>
  <c r="F153" i="5" s="1"/>
  <c r="I152" i="5"/>
  <c r="E152" i="5"/>
  <c r="F152" i="5" s="1"/>
  <c r="I151" i="5"/>
  <c r="E151" i="5"/>
  <c r="F151" i="5" s="1"/>
  <c r="I150" i="5"/>
  <c r="E150" i="5"/>
  <c r="F150" i="5" s="1"/>
  <c r="I149" i="5"/>
  <c r="E149" i="5"/>
  <c r="F149" i="5" s="1"/>
  <c r="I148" i="5"/>
  <c r="E148" i="5"/>
  <c r="F148" i="5" s="1"/>
  <c r="I147" i="5"/>
  <c r="E147" i="5"/>
  <c r="F147" i="5" s="1"/>
  <c r="I146" i="5"/>
  <c r="E146" i="5"/>
  <c r="F146" i="5" s="1"/>
  <c r="I145" i="5"/>
  <c r="E145" i="5"/>
  <c r="F145" i="5" s="1"/>
  <c r="I144" i="5"/>
  <c r="E144" i="5"/>
  <c r="F144" i="5" s="1"/>
  <c r="I143" i="5"/>
  <c r="E143" i="5"/>
  <c r="F143" i="5" s="1"/>
  <c r="I142" i="5"/>
  <c r="E142" i="5"/>
  <c r="F142" i="5" s="1"/>
  <c r="I141" i="5"/>
  <c r="E141" i="5"/>
  <c r="F141" i="5" s="1"/>
  <c r="I140" i="5"/>
  <c r="E140" i="5"/>
  <c r="F140" i="5" s="1"/>
  <c r="I139" i="5"/>
  <c r="E139" i="5"/>
  <c r="F139" i="5" s="1"/>
  <c r="I138" i="5"/>
  <c r="E138" i="5"/>
  <c r="F138" i="5" s="1"/>
  <c r="I137" i="5"/>
  <c r="E137" i="5"/>
  <c r="F137" i="5" s="1"/>
  <c r="I136" i="5"/>
  <c r="E136" i="5"/>
  <c r="F136" i="5" s="1"/>
  <c r="I135" i="5"/>
  <c r="E135" i="5"/>
  <c r="F135" i="5" s="1"/>
  <c r="I134" i="5"/>
  <c r="E134" i="5"/>
  <c r="F134" i="5" s="1"/>
  <c r="I133" i="5"/>
  <c r="E133" i="5"/>
  <c r="F133" i="5" s="1"/>
  <c r="I132" i="5"/>
  <c r="E132" i="5"/>
  <c r="F132" i="5" s="1"/>
  <c r="I131" i="5"/>
  <c r="E131" i="5"/>
  <c r="F131" i="5" s="1"/>
  <c r="I130" i="5"/>
  <c r="E130" i="5"/>
  <c r="F130" i="5" s="1"/>
  <c r="I129" i="5"/>
  <c r="E129" i="5"/>
  <c r="F129" i="5" s="1"/>
  <c r="I128" i="5"/>
  <c r="E128" i="5"/>
  <c r="F128" i="5" s="1"/>
  <c r="I127" i="5"/>
  <c r="E127" i="5"/>
  <c r="F127" i="5" s="1"/>
  <c r="I126" i="5"/>
  <c r="E126" i="5"/>
  <c r="F126" i="5" s="1"/>
  <c r="I125" i="5"/>
  <c r="E125" i="5"/>
  <c r="F125" i="5" s="1"/>
  <c r="I124" i="5"/>
  <c r="E124" i="5"/>
  <c r="F124" i="5" s="1"/>
  <c r="I123" i="5"/>
  <c r="E123" i="5"/>
  <c r="F123" i="5" s="1"/>
  <c r="I122" i="5"/>
  <c r="E122" i="5"/>
  <c r="F122" i="5" s="1"/>
  <c r="I121" i="5"/>
  <c r="E121" i="5"/>
  <c r="F121" i="5" s="1"/>
  <c r="I120" i="5"/>
  <c r="E120" i="5"/>
  <c r="F120" i="5" s="1"/>
  <c r="I119" i="5"/>
  <c r="E119" i="5"/>
  <c r="F119" i="5" s="1"/>
  <c r="I118" i="5"/>
  <c r="E118" i="5"/>
  <c r="F118" i="5" s="1"/>
  <c r="I117" i="5"/>
  <c r="E117" i="5"/>
  <c r="F117" i="5" s="1"/>
  <c r="I116" i="5"/>
  <c r="E116" i="5"/>
  <c r="F116" i="5" s="1"/>
  <c r="I115" i="5"/>
  <c r="E115" i="5"/>
  <c r="F115" i="5" s="1"/>
  <c r="I114" i="5"/>
  <c r="E114" i="5"/>
  <c r="F114" i="5" s="1"/>
  <c r="I113" i="5"/>
  <c r="E113" i="5"/>
  <c r="F113" i="5" s="1"/>
  <c r="I112" i="5"/>
  <c r="E112" i="5"/>
  <c r="F112" i="5" s="1"/>
  <c r="I111" i="5"/>
  <c r="E111" i="5"/>
  <c r="F111" i="5" s="1"/>
  <c r="I110" i="5"/>
  <c r="E110" i="5"/>
  <c r="F110" i="5" s="1"/>
  <c r="I109" i="5"/>
  <c r="E109" i="5"/>
  <c r="F109" i="5" s="1"/>
  <c r="I108" i="5"/>
  <c r="E108" i="5"/>
  <c r="F108" i="5" s="1"/>
  <c r="I107" i="5"/>
  <c r="E107" i="5"/>
  <c r="F107" i="5" s="1"/>
  <c r="I106" i="5"/>
  <c r="E106" i="5"/>
  <c r="F106" i="5" s="1"/>
  <c r="I105" i="5"/>
  <c r="E105" i="5"/>
  <c r="F105" i="5" s="1"/>
  <c r="I104" i="5"/>
  <c r="E104" i="5"/>
  <c r="F104" i="5" s="1"/>
  <c r="I103" i="5"/>
  <c r="E103" i="5"/>
  <c r="F103" i="5" s="1"/>
  <c r="I102" i="5"/>
  <c r="E102" i="5"/>
  <c r="F102" i="5" s="1"/>
  <c r="I101" i="5"/>
  <c r="E101" i="5"/>
  <c r="F101" i="5" s="1"/>
  <c r="I100" i="5"/>
  <c r="E100" i="5"/>
  <c r="F100" i="5" s="1"/>
  <c r="I99" i="5"/>
  <c r="E99" i="5"/>
  <c r="F99" i="5" s="1"/>
  <c r="I98" i="5"/>
  <c r="E98" i="5"/>
  <c r="F98" i="5" s="1"/>
  <c r="I97" i="5"/>
  <c r="E97" i="5"/>
  <c r="F97" i="5" s="1"/>
  <c r="I96" i="5"/>
  <c r="E96" i="5"/>
  <c r="F96" i="5" s="1"/>
  <c r="I95" i="5"/>
  <c r="E95" i="5"/>
  <c r="F95" i="5" s="1"/>
  <c r="I94" i="5"/>
  <c r="E94" i="5"/>
  <c r="F94" i="5" s="1"/>
  <c r="I93" i="5"/>
  <c r="E93" i="5"/>
  <c r="F93" i="5" s="1"/>
  <c r="I92" i="5"/>
  <c r="E92" i="5"/>
  <c r="F92" i="5" s="1"/>
  <c r="I91" i="5"/>
  <c r="E91" i="5"/>
  <c r="F91" i="5" s="1"/>
  <c r="I90" i="5"/>
  <c r="E90" i="5"/>
  <c r="F90" i="5" s="1"/>
  <c r="I89" i="5"/>
  <c r="E89" i="5"/>
  <c r="F89" i="5" s="1"/>
  <c r="I88" i="5"/>
  <c r="E88" i="5"/>
  <c r="F88" i="5" s="1"/>
  <c r="I87" i="5"/>
  <c r="E87" i="5"/>
  <c r="F87" i="5" s="1"/>
  <c r="I86" i="5"/>
  <c r="E86" i="5"/>
  <c r="F86" i="5" s="1"/>
  <c r="I85" i="5"/>
  <c r="E85" i="5"/>
  <c r="F85" i="5" s="1"/>
  <c r="I84" i="5"/>
  <c r="E84" i="5"/>
  <c r="F84" i="5" s="1"/>
  <c r="I83" i="5"/>
  <c r="E83" i="5"/>
  <c r="F83" i="5" s="1"/>
  <c r="I82" i="5"/>
  <c r="E82" i="5"/>
  <c r="F82" i="5" s="1"/>
  <c r="I81" i="5"/>
  <c r="E81" i="5"/>
  <c r="F81" i="5" s="1"/>
  <c r="I80" i="5"/>
  <c r="E80" i="5"/>
  <c r="F80" i="5" s="1"/>
  <c r="I79" i="5"/>
  <c r="E79" i="5"/>
  <c r="F79" i="5" s="1"/>
  <c r="I78" i="5"/>
  <c r="E78" i="5"/>
  <c r="F78" i="5" s="1"/>
  <c r="I77" i="5"/>
  <c r="E77" i="5"/>
  <c r="F77" i="5" s="1"/>
  <c r="I76" i="5"/>
  <c r="E76" i="5"/>
  <c r="F76" i="5" s="1"/>
  <c r="I75" i="5"/>
  <c r="E75" i="5"/>
  <c r="F75" i="5" s="1"/>
  <c r="I74" i="5"/>
  <c r="E74" i="5"/>
  <c r="F74" i="5" s="1"/>
  <c r="I73" i="5"/>
  <c r="E73" i="5"/>
  <c r="F73" i="5" s="1"/>
  <c r="I72" i="5"/>
  <c r="E72" i="5"/>
  <c r="F72" i="5" s="1"/>
  <c r="I71" i="5"/>
  <c r="E71" i="5"/>
  <c r="F71" i="5" s="1"/>
  <c r="I70" i="5"/>
  <c r="E70" i="5"/>
  <c r="F70" i="5" s="1"/>
  <c r="I69" i="5"/>
  <c r="E69" i="5"/>
  <c r="F69" i="5" s="1"/>
  <c r="I68" i="5"/>
  <c r="E68" i="5"/>
  <c r="F68" i="5" s="1"/>
  <c r="I67" i="5"/>
  <c r="E67" i="5"/>
  <c r="F67" i="5" s="1"/>
  <c r="I66" i="5"/>
  <c r="E66" i="5"/>
  <c r="F66" i="5" s="1"/>
  <c r="I65" i="5"/>
  <c r="E65" i="5"/>
  <c r="F65" i="5" s="1"/>
  <c r="I64" i="5"/>
  <c r="E64" i="5"/>
  <c r="F64" i="5" s="1"/>
  <c r="I63" i="5"/>
  <c r="E63" i="5"/>
  <c r="F63" i="5" s="1"/>
  <c r="I62" i="5"/>
  <c r="E62" i="5"/>
  <c r="F62" i="5" s="1"/>
  <c r="I61" i="5"/>
  <c r="E61" i="5"/>
  <c r="F61" i="5" s="1"/>
  <c r="I60" i="5"/>
  <c r="E60" i="5"/>
  <c r="F60" i="5" s="1"/>
  <c r="I59" i="5"/>
  <c r="E59" i="5"/>
  <c r="F59" i="5" s="1"/>
  <c r="I58" i="5"/>
  <c r="E58" i="5"/>
  <c r="F58" i="5" s="1"/>
  <c r="I57" i="5"/>
  <c r="E57" i="5"/>
  <c r="F57" i="5" s="1"/>
  <c r="I56" i="5"/>
  <c r="E56" i="5"/>
  <c r="F56" i="5" s="1"/>
  <c r="I55" i="5"/>
  <c r="E55" i="5"/>
  <c r="F55" i="5" s="1"/>
  <c r="I54" i="5"/>
  <c r="E54" i="5"/>
  <c r="F54" i="5" s="1"/>
  <c r="I53" i="5"/>
  <c r="E53" i="5"/>
  <c r="F53" i="5" s="1"/>
  <c r="I52" i="5"/>
  <c r="E52" i="5"/>
  <c r="F52" i="5" s="1"/>
  <c r="I51" i="5"/>
  <c r="E51" i="5"/>
  <c r="F51" i="5" s="1"/>
  <c r="I50" i="5"/>
  <c r="E50" i="5"/>
  <c r="F50" i="5" s="1"/>
  <c r="I49" i="5"/>
  <c r="E49" i="5"/>
  <c r="F49" i="5" s="1"/>
  <c r="I48" i="5"/>
  <c r="E48" i="5"/>
  <c r="F48" i="5" s="1"/>
  <c r="I47" i="5"/>
  <c r="E47" i="5"/>
  <c r="F47" i="5" s="1"/>
  <c r="I46" i="5"/>
  <c r="E46" i="5"/>
  <c r="F46" i="5" s="1"/>
  <c r="I45" i="5"/>
  <c r="E45" i="5"/>
  <c r="F45" i="5" s="1"/>
  <c r="I44" i="5"/>
  <c r="E44" i="5"/>
  <c r="F44" i="5" s="1"/>
  <c r="I43" i="5"/>
  <c r="E43" i="5"/>
  <c r="F43" i="5" s="1"/>
  <c r="I42" i="5"/>
  <c r="E42" i="5"/>
  <c r="F42" i="5" s="1"/>
  <c r="I41" i="5"/>
  <c r="E41" i="5"/>
  <c r="F41" i="5" s="1"/>
  <c r="I40" i="5"/>
  <c r="E40" i="5"/>
  <c r="F40" i="5" s="1"/>
  <c r="I39" i="5"/>
  <c r="E39" i="5"/>
  <c r="F39" i="5" s="1"/>
  <c r="I38" i="5"/>
  <c r="E38" i="5"/>
  <c r="F38" i="5" s="1"/>
  <c r="I37" i="5"/>
  <c r="E37" i="5"/>
  <c r="F37" i="5" s="1"/>
  <c r="I36" i="5"/>
  <c r="E36" i="5"/>
  <c r="F36" i="5" s="1"/>
  <c r="I35" i="5"/>
  <c r="E35" i="5"/>
  <c r="F35" i="5" s="1"/>
  <c r="I34" i="5"/>
  <c r="E34" i="5"/>
  <c r="F34" i="5" s="1"/>
  <c r="I33" i="5"/>
  <c r="E33" i="5"/>
  <c r="F33" i="5" s="1"/>
  <c r="I32" i="5"/>
  <c r="E32" i="5"/>
  <c r="F32" i="5" s="1"/>
  <c r="I31" i="5"/>
  <c r="E31" i="5"/>
  <c r="F31" i="5" s="1"/>
  <c r="I30" i="5"/>
  <c r="E30" i="5"/>
  <c r="F30" i="5" s="1"/>
  <c r="I29" i="5"/>
  <c r="E29" i="5"/>
  <c r="F29" i="5" s="1"/>
  <c r="I28" i="5"/>
  <c r="E28" i="5"/>
  <c r="F28" i="5" s="1"/>
  <c r="I27" i="5"/>
  <c r="E27" i="5"/>
  <c r="F27" i="5" s="1"/>
  <c r="I26" i="5"/>
  <c r="E26" i="5"/>
  <c r="F26" i="5" s="1"/>
  <c r="I25" i="5"/>
  <c r="E25" i="5"/>
  <c r="F25" i="5" s="1"/>
  <c r="I24" i="5"/>
  <c r="E24" i="5"/>
  <c r="F24" i="5" s="1"/>
  <c r="I23" i="5"/>
  <c r="E23" i="5"/>
  <c r="F23" i="5" s="1"/>
  <c r="I22" i="5"/>
  <c r="E22" i="5"/>
  <c r="F22" i="5" s="1"/>
  <c r="I21" i="5"/>
  <c r="E21" i="5"/>
  <c r="F21" i="5" s="1"/>
  <c r="I20" i="5"/>
  <c r="E20" i="5"/>
  <c r="F20" i="5" s="1"/>
  <c r="I19" i="5"/>
  <c r="E19" i="5"/>
  <c r="F19" i="5" s="1"/>
  <c r="I18" i="5"/>
  <c r="E18" i="5"/>
  <c r="F18" i="5" s="1"/>
  <c r="I17" i="5"/>
  <c r="E17" i="5"/>
  <c r="F17" i="5" s="1"/>
  <c r="I16" i="5"/>
  <c r="E16" i="5"/>
  <c r="F16" i="5" s="1"/>
  <c r="I15" i="5"/>
  <c r="E15" i="5"/>
  <c r="F15" i="5" s="1"/>
  <c r="I14" i="5"/>
  <c r="E14" i="5"/>
  <c r="F14" i="5" s="1"/>
  <c r="I13" i="5"/>
  <c r="E13" i="5"/>
  <c r="F13" i="5" s="1"/>
  <c r="I12" i="5"/>
  <c r="E12" i="5"/>
  <c r="F12" i="5" s="1"/>
  <c r="I11" i="5"/>
  <c r="E11" i="5"/>
  <c r="F11" i="5" s="1"/>
  <c r="I10" i="5"/>
  <c r="E10" i="5"/>
  <c r="F10" i="5" s="1"/>
  <c r="I9" i="5"/>
  <c r="E9" i="5"/>
  <c r="F9" i="5" s="1"/>
  <c r="I8" i="5"/>
  <c r="E8" i="5"/>
  <c r="F8" i="5" s="1"/>
  <c r="I7" i="5"/>
  <c r="E7" i="5"/>
  <c r="F7" i="5" s="1"/>
  <c r="I6" i="5"/>
  <c r="E6" i="5"/>
  <c r="F6" i="5" s="1"/>
  <c r="I5" i="5"/>
  <c r="E5" i="5"/>
  <c r="F5" i="5" s="1"/>
  <c r="E4" i="5"/>
  <c r="F4" i="5" s="1"/>
  <c r="E3" i="5"/>
  <c r="F3" i="5" s="1"/>
  <c r="E2" i="5"/>
  <c r="F2" i="5" s="1"/>
  <c r="E190" i="4"/>
  <c r="F190" i="4" s="1"/>
  <c r="I189" i="4"/>
  <c r="E189" i="4"/>
  <c r="F189" i="4" s="1"/>
  <c r="I188" i="4"/>
  <c r="E188" i="4"/>
  <c r="F188" i="4" s="1"/>
  <c r="I187" i="4"/>
  <c r="E187" i="4"/>
  <c r="F187" i="4" s="1"/>
  <c r="I186" i="4"/>
  <c r="E186" i="4"/>
  <c r="F186" i="4" s="1"/>
  <c r="I185" i="4"/>
  <c r="E185" i="4"/>
  <c r="F185" i="4" s="1"/>
  <c r="I184" i="4"/>
  <c r="E184" i="4"/>
  <c r="F184" i="4" s="1"/>
  <c r="I183" i="4"/>
  <c r="E183" i="4"/>
  <c r="F183" i="4" s="1"/>
  <c r="I182" i="4"/>
  <c r="E182" i="4"/>
  <c r="F182" i="4" s="1"/>
  <c r="I181" i="4"/>
  <c r="E181" i="4"/>
  <c r="F181" i="4" s="1"/>
  <c r="I180" i="4"/>
  <c r="E180" i="4"/>
  <c r="F180" i="4" s="1"/>
  <c r="I179" i="4"/>
  <c r="E179" i="4"/>
  <c r="F179" i="4" s="1"/>
  <c r="I178" i="4"/>
  <c r="E178" i="4"/>
  <c r="F178" i="4" s="1"/>
  <c r="I177" i="4"/>
  <c r="E177" i="4"/>
  <c r="F177" i="4" s="1"/>
  <c r="I176" i="4"/>
  <c r="E176" i="4"/>
  <c r="F176" i="4" s="1"/>
  <c r="I175" i="4"/>
  <c r="E175" i="4"/>
  <c r="F175" i="4" s="1"/>
  <c r="I174" i="4"/>
  <c r="E174" i="4"/>
  <c r="F174" i="4" s="1"/>
  <c r="I173" i="4"/>
  <c r="E173" i="4"/>
  <c r="F173" i="4" s="1"/>
  <c r="I172" i="4"/>
  <c r="E172" i="4"/>
  <c r="F172" i="4" s="1"/>
  <c r="I171" i="4"/>
  <c r="E171" i="4"/>
  <c r="F171" i="4" s="1"/>
  <c r="I170" i="4"/>
  <c r="E170" i="4"/>
  <c r="F170" i="4" s="1"/>
  <c r="I169" i="4"/>
  <c r="E169" i="4"/>
  <c r="F169" i="4" s="1"/>
  <c r="I168" i="4"/>
  <c r="E168" i="4"/>
  <c r="F168" i="4" s="1"/>
  <c r="I167" i="4"/>
  <c r="E167" i="4"/>
  <c r="F167" i="4" s="1"/>
  <c r="I166" i="4"/>
  <c r="E166" i="4"/>
  <c r="F166" i="4" s="1"/>
  <c r="I165" i="4"/>
  <c r="E165" i="4"/>
  <c r="F165" i="4" s="1"/>
  <c r="I164" i="4"/>
  <c r="E164" i="4"/>
  <c r="F164" i="4" s="1"/>
  <c r="I163" i="4"/>
  <c r="E163" i="4"/>
  <c r="F163" i="4" s="1"/>
  <c r="I162" i="4"/>
  <c r="E162" i="4"/>
  <c r="F162" i="4" s="1"/>
  <c r="I161" i="4"/>
  <c r="E161" i="4"/>
  <c r="F161" i="4" s="1"/>
  <c r="I160" i="4"/>
  <c r="E160" i="4"/>
  <c r="F160" i="4" s="1"/>
  <c r="I159" i="4"/>
  <c r="E159" i="4"/>
  <c r="F159" i="4" s="1"/>
  <c r="I158" i="4"/>
  <c r="E158" i="4"/>
  <c r="F158" i="4" s="1"/>
  <c r="I157" i="4"/>
  <c r="E157" i="4"/>
  <c r="F157" i="4" s="1"/>
  <c r="I156" i="4"/>
  <c r="E156" i="4"/>
  <c r="F156" i="4" s="1"/>
  <c r="I155" i="4"/>
  <c r="E155" i="4"/>
  <c r="F155" i="4" s="1"/>
  <c r="I154" i="4"/>
  <c r="E154" i="4"/>
  <c r="F154" i="4" s="1"/>
  <c r="I153" i="4"/>
  <c r="E153" i="4"/>
  <c r="F153" i="4" s="1"/>
  <c r="I152" i="4"/>
  <c r="E152" i="4"/>
  <c r="F152" i="4" s="1"/>
  <c r="I151" i="4"/>
  <c r="E151" i="4"/>
  <c r="F151" i="4" s="1"/>
  <c r="I150" i="4"/>
  <c r="E150" i="4"/>
  <c r="F150" i="4" s="1"/>
  <c r="I149" i="4"/>
  <c r="E149" i="4"/>
  <c r="F149" i="4" s="1"/>
  <c r="I148" i="4"/>
  <c r="E148" i="4"/>
  <c r="F148" i="4" s="1"/>
  <c r="I147" i="4"/>
  <c r="E147" i="4"/>
  <c r="F147" i="4" s="1"/>
  <c r="I146" i="4"/>
  <c r="E146" i="4"/>
  <c r="F146" i="4" s="1"/>
  <c r="I145" i="4"/>
  <c r="E145" i="4"/>
  <c r="F145" i="4" s="1"/>
  <c r="I144" i="4"/>
  <c r="E144" i="4"/>
  <c r="F144" i="4" s="1"/>
  <c r="I143" i="4"/>
  <c r="E143" i="4"/>
  <c r="F143" i="4" s="1"/>
  <c r="I142" i="4"/>
  <c r="E142" i="4"/>
  <c r="F142" i="4" s="1"/>
  <c r="I141" i="4"/>
  <c r="E141" i="4"/>
  <c r="F141" i="4" s="1"/>
  <c r="I140" i="4"/>
  <c r="E140" i="4"/>
  <c r="F140" i="4" s="1"/>
  <c r="I139" i="4"/>
  <c r="E139" i="4"/>
  <c r="F139" i="4" s="1"/>
  <c r="I138" i="4"/>
  <c r="E138" i="4"/>
  <c r="F138" i="4" s="1"/>
  <c r="I137" i="4"/>
  <c r="E137" i="4"/>
  <c r="F137" i="4" s="1"/>
  <c r="I136" i="4"/>
  <c r="E136" i="4"/>
  <c r="F136" i="4" s="1"/>
  <c r="I135" i="4"/>
  <c r="E135" i="4"/>
  <c r="F135" i="4" s="1"/>
  <c r="I134" i="4"/>
  <c r="E134" i="4"/>
  <c r="F134" i="4" s="1"/>
  <c r="I133" i="4"/>
  <c r="E133" i="4"/>
  <c r="F133" i="4" s="1"/>
  <c r="I132" i="4"/>
  <c r="E132" i="4"/>
  <c r="F132" i="4" s="1"/>
  <c r="I131" i="4"/>
  <c r="E131" i="4"/>
  <c r="F131" i="4" s="1"/>
  <c r="I130" i="4"/>
  <c r="E130" i="4"/>
  <c r="F130" i="4" s="1"/>
  <c r="I129" i="4"/>
  <c r="E129" i="4"/>
  <c r="F129" i="4" s="1"/>
  <c r="I128" i="4"/>
  <c r="E128" i="4"/>
  <c r="F128" i="4" s="1"/>
  <c r="I127" i="4"/>
  <c r="E127" i="4"/>
  <c r="F127" i="4" s="1"/>
  <c r="I126" i="4"/>
  <c r="E126" i="4"/>
  <c r="F126" i="4" s="1"/>
  <c r="I125" i="4"/>
  <c r="E125" i="4"/>
  <c r="F125" i="4" s="1"/>
  <c r="I124" i="4"/>
  <c r="E124" i="4"/>
  <c r="F124" i="4" s="1"/>
  <c r="I123" i="4"/>
  <c r="E123" i="4"/>
  <c r="F123" i="4" s="1"/>
  <c r="I122" i="4"/>
  <c r="E122" i="4"/>
  <c r="F122" i="4" s="1"/>
  <c r="I121" i="4"/>
  <c r="E121" i="4"/>
  <c r="F121" i="4" s="1"/>
  <c r="I120" i="4"/>
  <c r="E120" i="4"/>
  <c r="F120" i="4" s="1"/>
  <c r="I119" i="4"/>
  <c r="E119" i="4"/>
  <c r="F119" i="4" s="1"/>
  <c r="I118" i="4"/>
  <c r="E118" i="4"/>
  <c r="F118" i="4" s="1"/>
  <c r="I117" i="4"/>
  <c r="E117" i="4"/>
  <c r="F117" i="4" s="1"/>
  <c r="I116" i="4"/>
  <c r="E116" i="4"/>
  <c r="F116" i="4" s="1"/>
  <c r="I115" i="4"/>
  <c r="E115" i="4"/>
  <c r="F115" i="4" s="1"/>
  <c r="I114" i="4"/>
  <c r="E114" i="4"/>
  <c r="F114" i="4" s="1"/>
  <c r="I113" i="4"/>
  <c r="E113" i="4"/>
  <c r="F113" i="4" s="1"/>
  <c r="I112" i="4"/>
  <c r="E112" i="4"/>
  <c r="F112" i="4" s="1"/>
  <c r="I111" i="4"/>
  <c r="E111" i="4"/>
  <c r="F111" i="4" s="1"/>
  <c r="I110" i="4"/>
  <c r="E110" i="4"/>
  <c r="F110" i="4" s="1"/>
  <c r="I109" i="4"/>
  <c r="E109" i="4"/>
  <c r="F109" i="4" s="1"/>
  <c r="I108" i="4"/>
  <c r="E108" i="4"/>
  <c r="F108" i="4" s="1"/>
  <c r="I107" i="4"/>
  <c r="E107" i="4"/>
  <c r="F107" i="4" s="1"/>
  <c r="I106" i="4"/>
  <c r="E106" i="4"/>
  <c r="F106" i="4" s="1"/>
  <c r="I105" i="4"/>
  <c r="E105" i="4"/>
  <c r="F105" i="4" s="1"/>
  <c r="I104" i="4"/>
  <c r="E104" i="4"/>
  <c r="F104" i="4" s="1"/>
  <c r="I103" i="4"/>
  <c r="E103" i="4"/>
  <c r="F103" i="4" s="1"/>
  <c r="I102" i="4"/>
  <c r="E102" i="4"/>
  <c r="F102" i="4" s="1"/>
  <c r="I101" i="4"/>
  <c r="E101" i="4"/>
  <c r="F101" i="4" s="1"/>
  <c r="I100" i="4"/>
  <c r="E100" i="4"/>
  <c r="F100" i="4" s="1"/>
  <c r="I99" i="4"/>
  <c r="E99" i="4"/>
  <c r="F99" i="4" s="1"/>
  <c r="I98" i="4"/>
  <c r="E98" i="4"/>
  <c r="F98" i="4" s="1"/>
  <c r="I97" i="4"/>
  <c r="E97" i="4"/>
  <c r="F97" i="4" s="1"/>
  <c r="I96" i="4"/>
  <c r="E96" i="4"/>
  <c r="F96" i="4" s="1"/>
  <c r="I95" i="4"/>
  <c r="E95" i="4"/>
  <c r="F95" i="4" s="1"/>
  <c r="I94" i="4"/>
  <c r="E94" i="4"/>
  <c r="F94" i="4" s="1"/>
  <c r="I93" i="4"/>
  <c r="E93" i="4"/>
  <c r="F93" i="4" s="1"/>
  <c r="I92" i="4"/>
  <c r="E92" i="4"/>
  <c r="F92" i="4" s="1"/>
  <c r="I91" i="4"/>
  <c r="E91" i="4"/>
  <c r="F91" i="4" s="1"/>
  <c r="I90" i="4"/>
  <c r="E90" i="4"/>
  <c r="F90" i="4" s="1"/>
  <c r="I89" i="4"/>
  <c r="E89" i="4"/>
  <c r="F89" i="4" s="1"/>
  <c r="I88" i="4"/>
  <c r="E88" i="4"/>
  <c r="F88" i="4" s="1"/>
  <c r="I87" i="4"/>
  <c r="E87" i="4"/>
  <c r="F87" i="4" s="1"/>
  <c r="I86" i="4"/>
  <c r="E86" i="4"/>
  <c r="F86" i="4" s="1"/>
  <c r="I85" i="4"/>
  <c r="E85" i="4"/>
  <c r="F85" i="4" s="1"/>
  <c r="I84" i="4"/>
  <c r="E84" i="4"/>
  <c r="F84" i="4" s="1"/>
  <c r="I83" i="4"/>
  <c r="E83" i="4"/>
  <c r="F83" i="4" s="1"/>
  <c r="I82" i="4"/>
  <c r="E82" i="4"/>
  <c r="F82" i="4" s="1"/>
  <c r="I81" i="4"/>
  <c r="E81" i="4"/>
  <c r="F81" i="4" s="1"/>
  <c r="I80" i="4"/>
  <c r="E80" i="4"/>
  <c r="F80" i="4" s="1"/>
  <c r="I79" i="4"/>
  <c r="E79" i="4"/>
  <c r="F79" i="4" s="1"/>
  <c r="I78" i="4"/>
  <c r="E78" i="4"/>
  <c r="F78" i="4" s="1"/>
  <c r="I77" i="4"/>
  <c r="E77" i="4"/>
  <c r="F77" i="4" s="1"/>
  <c r="I76" i="4"/>
  <c r="E76" i="4"/>
  <c r="F76" i="4" s="1"/>
  <c r="I75" i="4"/>
  <c r="E75" i="4"/>
  <c r="F75" i="4" s="1"/>
  <c r="I74" i="4"/>
  <c r="E74" i="4"/>
  <c r="F74" i="4" s="1"/>
  <c r="I73" i="4"/>
  <c r="E73" i="4"/>
  <c r="F73" i="4" s="1"/>
  <c r="I72" i="4"/>
  <c r="E72" i="4"/>
  <c r="F72" i="4" s="1"/>
  <c r="I71" i="4"/>
  <c r="E71" i="4"/>
  <c r="F71" i="4" s="1"/>
  <c r="I70" i="4"/>
  <c r="E70" i="4"/>
  <c r="F70" i="4" s="1"/>
  <c r="I69" i="4"/>
  <c r="E69" i="4"/>
  <c r="F69" i="4" s="1"/>
  <c r="I68" i="4"/>
  <c r="E68" i="4"/>
  <c r="F68" i="4" s="1"/>
  <c r="I67" i="4"/>
  <c r="E67" i="4"/>
  <c r="F67" i="4" s="1"/>
  <c r="I66" i="4"/>
  <c r="E66" i="4"/>
  <c r="F66" i="4" s="1"/>
  <c r="I65" i="4"/>
  <c r="E65" i="4"/>
  <c r="F65" i="4" s="1"/>
  <c r="I64" i="4"/>
  <c r="E64" i="4"/>
  <c r="F64" i="4" s="1"/>
  <c r="I63" i="4"/>
  <c r="E63" i="4"/>
  <c r="F63" i="4" s="1"/>
  <c r="I62" i="4"/>
  <c r="E62" i="4"/>
  <c r="F62" i="4" s="1"/>
  <c r="I61" i="4"/>
  <c r="E61" i="4"/>
  <c r="F61" i="4" s="1"/>
  <c r="I60" i="4"/>
  <c r="E60" i="4"/>
  <c r="F60" i="4" s="1"/>
  <c r="I59" i="4"/>
  <c r="E59" i="4"/>
  <c r="F59" i="4" s="1"/>
  <c r="I58" i="4"/>
  <c r="E58" i="4"/>
  <c r="F58" i="4" s="1"/>
  <c r="I57" i="4"/>
  <c r="E57" i="4"/>
  <c r="F57" i="4" s="1"/>
  <c r="I56" i="4"/>
  <c r="E56" i="4"/>
  <c r="F56" i="4" s="1"/>
  <c r="I55" i="4"/>
  <c r="E55" i="4"/>
  <c r="F55" i="4" s="1"/>
  <c r="I54" i="4"/>
  <c r="E54" i="4"/>
  <c r="F54" i="4" s="1"/>
  <c r="I53" i="4"/>
  <c r="E53" i="4"/>
  <c r="F53" i="4" s="1"/>
  <c r="I52" i="4"/>
  <c r="E52" i="4"/>
  <c r="F52" i="4" s="1"/>
  <c r="I51" i="4"/>
  <c r="E51" i="4"/>
  <c r="F51" i="4" s="1"/>
  <c r="I50" i="4"/>
  <c r="E50" i="4"/>
  <c r="F50" i="4" s="1"/>
  <c r="I49" i="4"/>
  <c r="E49" i="4"/>
  <c r="F49" i="4" s="1"/>
  <c r="I48" i="4"/>
  <c r="E48" i="4"/>
  <c r="F48" i="4" s="1"/>
  <c r="I47" i="4"/>
  <c r="E47" i="4"/>
  <c r="F47" i="4" s="1"/>
  <c r="I46" i="4"/>
  <c r="E46" i="4"/>
  <c r="F46" i="4" s="1"/>
  <c r="I45" i="4"/>
  <c r="E45" i="4"/>
  <c r="F45" i="4" s="1"/>
  <c r="I44" i="4"/>
  <c r="E44" i="4"/>
  <c r="F44" i="4" s="1"/>
  <c r="I43" i="4"/>
  <c r="E43" i="4"/>
  <c r="F43" i="4" s="1"/>
  <c r="I42" i="4"/>
  <c r="E42" i="4"/>
  <c r="F42" i="4" s="1"/>
  <c r="I41" i="4"/>
  <c r="E41" i="4"/>
  <c r="F41" i="4" s="1"/>
  <c r="I40" i="4"/>
  <c r="E40" i="4"/>
  <c r="F40" i="4" s="1"/>
  <c r="I39" i="4"/>
  <c r="E39" i="4"/>
  <c r="F39" i="4" s="1"/>
  <c r="I38" i="4"/>
  <c r="E38" i="4"/>
  <c r="F38" i="4" s="1"/>
  <c r="I37" i="4"/>
  <c r="E37" i="4"/>
  <c r="F37" i="4" s="1"/>
  <c r="I36" i="4"/>
  <c r="E36" i="4"/>
  <c r="F36" i="4" s="1"/>
  <c r="I35" i="4"/>
  <c r="E35" i="4"/>
  <c r="F35" i="4" s="1"/>
  <c r="I34" i="4"/>
  <c r="E34" i="4"/>
  <c r="F34" i="4" s="1"/>
  <c r="I33" i="4"/>
  <c r="E33" i="4"/>
  <c r="F33" i="4" s="1"/>
  <c r="I32" i="4"/>
  <c r="E32" i="4"/>
  <c r="F32" i="4" s="1"/>
  <c r="I31" i="4"/>
  <c r="E31" i="4"/>
  <c r="F31" i="4" s="1"/>
  <c r="I30" i="4"/>
  <c r="E30" i="4"/>
  <c r="F30" i="4" s="1"/>
  <c r="I29" i="4"/>
  <c r="E29" i="4"/>
  <c r="F29" i="4" s="1"/>
  <c r="I28" i="4"/>
  <c r="E28" i="4"/>
  <c r="F28" i="4" s="1"/>
  <c r="I27" i="4"/>
  <c r="E27" i="4"/>
  <c r="F27" i="4" s="1"/>
  <c r="I26" i="4"/>
  <c r="E26" i="4"/>
  <c r="F26" i="4" s="1"/>
  <c r="I25" i="4"/>
  <c r="E25" i="4"/>
  <c r="F25" i="4" s="1"/>
  <c r="I24" i="4"/>
  <c r="E24" i="4"/>
  <c r="F24" i="4" s="1"/>
  <c r="I23" i="4"/>
  <c r="E23" i="4"/>
  <c r="F23" i="4" s="1"/>
  <c r="I22" i="4"/>
  <c r="E22" i="4"/>
  <c r="F22" i="4" s="1"/>
  <c r="I21" i="4"/>
  <c r="E21" i="4"/>
  <c r="F21" i="4" s="1"/>
  <c r="I20" i="4"/>
  <c r="E20" i="4"/>
  <c r="F20" i="4" s="1"/>
  <c r="I19" i="4"/>
  <c r="E19" i="4"/>
  <c r="F19" i="4" s="1"/>
  <c r="I18" i="4"/>
  <c r="E18" i="4"/>
  <c r="F18" i="4" s="1"/>
  <c r="I17" i="4"/>
  <c r="E17" i="4"/>
  <c r="F17" i="4" s="1"/>
  <c r="I16" i="4"/>
  <c r="E16" i="4"/>
  <c r="F16" i="4" s="1"/>
  <c r="I15" i="4"/>
  <c r="E15" i="4"/>
  <c r="F15" i="4" s="1"/>
  <c r="I14" i="4"/>
  <c r="E14" i="4"/>
  <c r="F14" i="4" s="1"/>
  <c r="I13" i="4"/>
  <c r="E13" i="4"/>
  <c r="F13" i="4" s="1"/>
  <c r="I12" i="4"/>
  <c r="E12" i="4"/>
  <c r="F12" i="4" s="1"/>
  <c r="I11" i="4"/>
  <c r="E11" i="4"/>
  <c r="F11" i="4" s="1"/>
  <c r="I10" i="4"/>
  <c r="E10" i="4"/>
  <c r="F10" i="4" s="1"/>
  <c r="I9" i="4"/>
  <c r="E9" i="4"/>
  <c r="F9" i="4" s="1"/>
  <c r="I8" i="4"/>
  <c r="E8" i="4"/>
  <c r="F8" i="4" s="1"/>
  <c r="I7" i="4"/>
  <c r="E7" i="4"/>
  <c r="F7" i="4" s="1"/>
  <c r="I6" i="4"/>
  <c r="E6" i="4"/>
  <c r="F6" i="4" s="1"/>
  <c r="I5" i="4"/>
  <c r="E5" i="4"/>
  <c r="F5" i="4" s="1"/>
  <c r="E4" i="4"/>
  <c r="F4" i="4" s="1"/>
  <c r="E3" i="4"/>
  <c r="F3" i="4" s="1"/>
  <c r="E2" i="4"/>
  <c r="F2" i="4" s="1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E4" i="3"/>
  <c r="F4" i="3" s="1"/>
  <c r="E5" i="3"/>
  <c r="F5" i="3" s="1"/>
  <c r="E6" i="3"/>
  <c r="F6" i="3" s="1"/>
  <c r="E7" i="3"/>
  <c r="F7" i="3" s="1"/>
  <c r="E8" i="3"/>
  <c r="F8" i="3" s="1"/>
  <c r="E9" i="3"/>
  <c r="F9" i="3" s="1"/>
  <c r="E10" i="3"/>
  <c r="F10" i="3" s="1"/>
  <c r="E11" i="3"/>
  <c r="F11" i="3" s="1"/>
  <c r="E12" i="3"/>
  <c r="F12" i="3" s="1"/>
  <c r="E13" i="3"/>
  <c r="F13" i="3" s="1"/>
  <c r="E14" i="3"/>
  <c r="F14" i="3" s="1"/>
  <c r="E15" i="3"/>
  <c r="F15" i="3" s="1"/>
  <c r="E17" i="3"/>
  <c r="F17" i="3" s="1"/>
  <c r="E18" i="3"/>
  <c r="F18" i="3" s="1"/>
  <c r="E19" i="3"/>
  <c r="F19" i="3" s="1"/>
  <c r="E20" i="3"/>
  <c r="F20" i="3" s="1"/>
  <c r="E21" i="3"/>
  <c r="F21" i="3" s="1"/>
  <c r="E22" i="3"/>
  <c r="F22" i="3" s="1"/>
  <c r="E23" i="3"/>
  <c r="F23" i="3" s="1"/>
  <c r="E24" i="3"/>
  <c r="F24" i="3" s="1"/>
  <c r="E25" i="3"/>
  <c r="F25" i="3" s="1"/>
  <c r="E26" i="3"/>
  <c r="F26" i="3" s="1"/>
  <c r="E27" i="3"/>
  <c r="F27" i="3" s="1"/>
  <c r="E28" i="3"/>
  <c r="F28" i="3" s="1"/>
  <c r="E29" i="3"/>
  <c r="F29" i="3" s="1"/>
  <c r="E30" i="3"/>
  <c r="F30" i="3" s="1"/>
  <c r="E31" i="3"/>
  <c r="F31" i="3" s="1"/>
  <c r="E32" i="3"/>
  <c r="F32" i="3" s="1"/>
  <c r="E33" i="3"/>
  <c r="F33" i="3" s="1"/>
  <c r="E34" i="3"/>
  <c r="F34" i="3" s="1"/>
  <c r="E35" i="3"/>
  <c r="F35" i="3" s="1"/>
  <c r="E36" i="3"/>
  <c r="F36" i="3" s="1"/>
  <c r="E37" i="3"/>
  <c r="F37" i="3" s="1"/>
  <c r="E38" i="3"/>
  <c r="F38" i="3" s="1"/>
  <c r="E39" i="3"/>
  <c r="F39" i="3" s="1"/>
  <c r="E40" i="3"/>
  <c r="F40" i="3" s="1"/>
  <c r="E41" i="3"/>
  <c r="F41" i="3" s="1"/>
  <c r="E42" i="3"/>
  <c r="F42" i="3" s="1"/>
  <c r="E43" i="3"/>
  <c r="F43" i="3" s="1"/>
  <c r="E44" i="3"/>
  <c r="F44" i="3" s="1"/>
  <c r="E45" i="3"/>
  <c r="F45" i="3" s="1"/>
  <c r="E46" i="3"/>
  <c r="F46" i="3" s="1"/>
  <c r="E47" i="3"/>
  <c r="F47" i="3" s="1"/>
  <c r="E48" i="3"/>
  <c r="F48" i="3" s="1"/>
  <c r="E49" i="3"/>
  <c r="F49" i="3" s="1"/>
  <c r="E50" i="3"/>
  <c r="F50" i="3" s="1"/>
  <c r="E51" i="3"/>
  <c r="F51" i="3" s="1"/>
  <c r="E52" i="3"/>
  <c r="F52" i="3" s="1"/>
  <c r="E53" i="3"/>
  <c r="F53" i="3" s="1"/>
  <c r="E54" i="3"/>
  <c r="F54" i="3" s="1"/>
  <c r="E55" i="3"/>
  <c r="F55" i="3" s="1"/>
  <c r="E56" i="3"/>
  <c r="F56" i="3" s="1"/>
  <c r="E57" i="3"/>
  <c r="F57" i="3" s="1"/>
  <c r="E58" i="3"/>
  <c r="F58" i="3" s="1"/>
  <c r="E59" i="3"/>
  <c r="F59" i="3" s="1"/>
  <c r="E60" i="3"/>
  <c r="F60" i="3" s="1"/>
  <c r="E61" i="3"/>
  <c r="F61" i="3" s="1"/>
  <c r="E62" i="3"/>
  <c r="F62" i="3" s="1"/>
  <c r="E63" i="3"/>
  <c r="F63" i="3" s="1"/>
  <c r="E64" i="3"/>
  <c r="F64" i="3" s="1"/>
  <c r="E65" i="3"/>
  <c r="F65" i="3" s="1"/>
  <c r="E66" i="3"/>
  <c r="F66" i="3" s="1"/>
  <c r="E67" i="3"/>
  <c r="F67" i="3" s="1"/>
  <c r="E68" i="3"/>
  <c r="F68" i="3" s="1"/>
  <c r="E69" i="3"/>
  <c r="F69" i="3" s="1"/>
  <c r="E70" i="3"/>
  <c r="F70" i="3" s="1"/>
  <c r="E71" i="3"/>
  <c r="F71" i="3" s="1"/>
  <c r="E72" i="3"/>
  <c r="F72" i="3" s="1"/>
  <c r="E73" i="3"/>
  <c r="F73" i="3" s="1"/>
  <c r="E74" i="3"/>
  <c r="F74" i="3" s="1"/>
  <c r="E75" i="3"/>
  <c r="F75" i="3" s="1"/>
  <c r="E76" i="3"/>
  <c r="F76" i="3" s="1"/>
  <c r="E77" i="3"/>
  <c r="F77" i="3" s="1"/>
  <c r="E78" i="3"/>
  <c r="F78" i="3" s="1"/>
  <c r="E79" i="3"/>
  <c r="F79" i="3" s="1"/>
  <c r="E80" i="3"/>
  <c r="F80" i="3" s="1"/>
  <c r="E81" i="3"/>
  <c r="F81" i="3" s="1"/>
  <c r="E82" i="3"/>
  <c r="F82" i="3" s="1"/>
  <c r="E83" i="3"/>
  <c r="F83" i="3" s="1"/>
  <c r="E84" i="3"/>
  <c r="F84" i="3" s="1"/>
  <c r="E85" i="3"/>
  <c r="F85" i="3" s="1"/>
  <c r="E86" i="3"/>
  <c r="F86" i="3" s="1"/>
  <c r="E87" i="3"/>
  <c r="F87" i="3" s="1"/>
  <c r="E88" i="3"/>
  <c r="F88" i="3" s="1"/>
  <c r="E89" i="3"/>
  <c r="F89" i="3" s="1"/>
  <c r="E90" i="3"/>
  <c r="F90" i="3" s="1"/>
  <c r="E91" i="3"/>
  <c r="F91" i="3" s="1"/>
  <c r="E92" i="3"/>
  <c r="F92" i="3" s="1"/>
  <c r="E93" i="3"/>
  <c r="F93" i="3" s="1"/>
  <c r="E94" i="3"/>
  <c r="F94" i="3" s="1"/>
  <c r="E95" i="3"/>
  <c r="F95" i="3" s="1"/>
  <c r="E96" i="3"/>
  <c r="F96" i="3" s="1"/>
  <c r="E97" i="3"/>
  <c r="F97" i="3" s="1"/>
  <c r="E98" i="3"/>
  <c r="F98" i="3" s="1"/>
  <c r="E99" i="3"/>
  <c r="F99" i="3" s="1"/>
  <c r="E100" i="3"/>
  <c r="F100" i="3" s="1"/>
  <c r="E101" i="3"/>
  <c r="F101" i="3" s="1"/>
  <c r="E102" i="3"/>
  <c r="F102" i="3" s="1"/>
  <c r="E103" i="3"/>
  <c r="F103" i="3" s="1"/>
  <c r="E104" i="3"/>
  <c r="F104" i="3" s="1"/>
  <c r="E105" i="3"/>
  <c r="F105" i="3" s="1"/>
  <c r="E106" i="3"/>
  <c r="F106" i="3" s="1"/>
  <c r="E107" i="3"/>
  <c r="F107" i="3" s="1"/>
  <c r="E108" i="3"/>
  <c r="F108" i="3" s="1"/>
  <c r="E109" i="3"/>
  <c r="F109" i="3" s="1"/>
  <c r="E110" i="3"/>
  <c r="F110" i="3" s="1"/>
  <c r="E111" i="3"/>
  <c r="F111" i="3" s="1"/>
  <c r="E112" i="3"/>
  <c r="F112" i="3" s="1"/>
  <c r="E113" i="3"/>
  <c r="F113" i="3" s="1"/>
  <c r="E114" i="3"/>
  <c r="F114" i="3" s="1"/>
  <c r="E115" i="3"/>
  <c r="F115" i="3" s="1"/>
  <c r="E116" i="3"/>
  <c r="F116" i="3" s="1"/>
  <c r="E117" i="3"/>
  <c r="F117" i="3" s="1"/>
  <c r="E118" i="3"/>
  <c r="F118" i="3" s="1"/>
  <c r="E119" i="3"/>
  <c r="F119" i="3" s="1"/>
  <c r="E120" i="3"/>
  <c r="F120" i="3" s="1"/>
  <c r="E121" i="3"/>
  <c r="F121" i="3" s="1"/>
  <c r="E122" i="3"/>
  <c r="F122" i="3" s="1"/>
  <c r="E123" i="3"/>
  <c r="F123" i="3" s="1"/>
  <c r="E124" i="3"/>
  <c r="F124" i="3" s="1"/>
  <c r="E125" i="3"/>
  <c r="F125" i="3" s="1"/>
  <c r="E126" i="3"/>
  <c r="F126" i="3" s="1"/>
  <c r="E127" i="3"/>
  <c r="F127" i="3" s="1"/>
  <c r="E128" i="3"/>
  <c r="F128" i="3" s="1"/>
  <c r="E129" i="3"/>
  <c r="F129" i="3" s="1"/>
  <c r="E130" i="3"/>
  <c r="F130" i="3" s="1"/>
  <c r="E131" i="3"/>
  <c r="F131" i="3" s="1"/>
  <c r="E132" i="3"/>
  <c r="F132" i="3" s="1"/>
  <c r="E133" i="3"/>
  <c r="F133" i="3" s="1"/>
  <c r="E134" i="3"/>
  <c r="F134" i="3" s="1"/>
  <c r="E135" i="3"/>
  <c r="F135" i="3" s="1"/>
  <c r="E136" i="3"/>
  <c r="F136" i="3" s="1"/>
  <c r="E137" i="3"/>
  <c r="F137" i="3" s="1"/>
  <c r="E138" i="3"/>
  <c r="F138" i="3" s="1"/>
  <c r="E139" i="3"/>
  <c r="F139" i="3" s="1"/>
  <c r="E140" i="3"/>
  <c r="F140" i="3" s="1"/>
  <c r="E141" i="3"/>
  <c r="F141" i="3" s="1"/>
  <c r="E142" i="3"/>
  <c r="F142" i="3" s="1"/>
  <c r="E143" i="3"/>
  <c r="F143" i="3" s="1"/>
  <c r="E144" i="3"/>
  <c r="F144" i="3" s="1"/>
  <c r="E145" i="3"/>
  <c r="F145" i="3" s="1"/>
  <c r="E146" i="3"/>
  <c r="F146" i="3" s="1"/>
  <c r="E147" i="3"/>
  <c r="F147" i="3" s="1"/>
  <c r="E148" i="3"/>
  <c r="F148" i="3" s="1"/>
  <c r="E149" i="3"/>
  <c r="F149" i="3" s="1"/>
  <c r="E150" i="3"/>
  <c r="F150" i="3" s="1"/>
  <c r="E151" i="3"/>
  <c r="F151" i="3" s="1"/>
  <c r="E152" i="3"/>
  <c r="F152" i="3" s="1"/>
  <c r="E153" i="3"/>
  <c r="F153" i="3" s="1"/>
  <c r="E154" i="3"/>
  <c r="F154" i="3" s="1"/>
  <c r="E155" i="3"/>
  <c r="F155" i="3" s="1"/>
  <c r="E156" i="3"/>
  <c r="F156" i="3" s="1"/>
  <c r="E157" i="3"/>
  <c r="F157" i="3" s="1"/>
  <c r="E158" i="3"/>
  <c r="F158" i="3" s="1"/>
  <c r="E159" i="3"/>
  <c r="F159" i="3" s="1"/>
  <c r="E160" i="3"/>
  <c r="F160" i="3" s="1"/>
  <c r="E161" i="3"/>
  <c r="F161" i="3" s="1"/>
  <c r="E162" i="3"/>
  <c r="F162" i="3" s="1"/>
  <c r="E163" i="3"/>
  <c r="F163" i="3" s="1"/>
  <c r="E164" i="3"/>
  <c r="F164" i="3" s="1"/>
  <c r="E165" i="3"/>
  <c r="F165" i="3" s="1"/>
  <c r="E166" i="3"/>
  <c r="F166" i="3" s="1"/>
  <c r="E167" i="3"/>
  <c r="F167" i="3" s="1"/>
  <c r="E168" i="3"/>
  <c r="F168" i="3" s="1"/>
  <c r="E169" i="3"/>
  <c r="F169" i="3" s="1"/>
  <c r="E170" i="3"/>
  <c r="F170" i="3" s="1"/>
  <c r="E171" i="3"/>
  <c r="F171" i="3" s="1"/>
  <c r="E172" i="3"/>
  <c r="F172" i="3" s="1"/>
  <c r="E173" i="3"/>
  <c r="F173" i="3" s="1"/>
  <c r="E174" i="3"/>
  <c r="F174" i="3" s="1"/>
  <c r="E175" i="3"/>
  <c r="F175" i="3" s="1"/>
  <c r="E176" i="3"/>
  <c r="F176" i="3" s="1"/>
  <c r="E177" i="3"/>
  <c r="F177" i="3" s="1"/>
  <c r="E178" i="3"/>
  <c r="F178" i="3" s="1"/>
  <c r="E179" i="3"/>
  <c r="F179" i="3" s="1"/>
  <c r="E180" i="3"/>
  <c r="F180" i="3" s="1"/>
  <c r="E181" i="3"/>
  <c r="F181" i="3" s="1"/>
  <c r="E182" i="3"/>
  <c r="F182" i="3" s="1"/>
  <c r="E183" i="3"/>
  <c r="F183" i="3" s="1"/>
  <c r="E184" i="3"/>
  <c r="F184" i="3" s="1"/>
  <c r="E185" i="3"/>
  <c r="F185" i="3" s="1"/>
  <c r="E186" i="3"/>
  <c r="F186" i="3" s="1"/>
  <c r="E187" i="3"/>
  <c r="F187" i="3" s="1"/>
  <c r="E188" i="3"/>
  <c r="F188" i="3" s="1"/>
  <c r="E189" i="3"/>
  <c r="F189" i="3" s="1"/>
  <c r="E190" i="3"/>
  <c r="F190" i="3" s="1"/>
  <c r="E191" i="3"/>
  <c r="F191" i="3" s="1"/>
  <c r="B191" i="3"/>
  <c r="E2" i="3"/>
  <c r="F2" i="3" s="1"/>
  <c r="E3" i="3"/>
  <c r="F3" i="3" s="1"/>
  <c r="E4" i="2"/>
  <c r="F4" i="2" s="1"/>
  <c r="E5" i="2"/>
  <c r="F5" i="2" s="1"/>
  <c r="E6" i="2"/>
  <c r="F6" i="2" s="1"/>
  <c r="E7" i="2"/>
  <c r="F7" i="2" s="1"/>
  <c r="E9" i="2"/>
  <c r="F9" i="2" s="1"/>
  <c r="E10" i="2"/>
  <c r="F10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  <c r="E18" i="2"/>
  <c r="F18" i="2" s="1"/>
  <c r="E19" i="2"/>
  <c r="F19" i="2" s="1"/>
  <c r="E21" i="2"/>
  <c r="F21" i="2" s="1"/>
  <c r="E22" i="2"/>
  <c r="F22" i="2" s="1"/>
  <c r="E23" i="2"/>
  <c r="F23" i="2" s="1"/>
  <c r="E24" i="2"/>
  <c r="F24" i="2" s="1"/>
  <c r="E25" i="2"/>
  <c r="F25" i="2" s="1"/>
  <c r="E26" i="2"/>
  <c r="F26" i="2" s="1"/>
  <c r="E27" i="2"/>
  <c r="F27" i="2" s="1"/>
  <c r="E28" i="2"/>
  <c r="F28" i="2" s="1"/>
  <c r="E29" i="2"/>
  <c r="F29" i="2" s="1"/>
  <c r="E30" i="2"/>
  <c r="F30" i="2" s="1"/>
  <c r="E31" i="2"/>
  <c r="F31" i="2" s="1"/>
  <c r="E32" i="2"/>
  <c r="F32" i="2" s="1"/>
  <c r="E33" i="2"/>
  <c r="F33" i="2" s="1"/>
  <c r="E34" i="2"/>
  <c r="F34" i="2" s="1"/>
  <c r="E35" i="2"/>
  <c r="F35" i="2" s="1"/>
  <c r="E36" i="2"/>
  <c r="F36" i="2" s="1"/>
  <c r="E37" i="2"/>
  <c r="F37" i="2" s="1"/>
  <c r="E38" i="2"/>
  <c r="F38" i="2" s="1"/>
  <c r="E39" i="2"/>
  <c r="F39" i="2" s="1"/>
  <c r="E40" i="2"/>
  <c r="F40" i="2" s="1"/>
  <c r="E41" i="2"/>
  <c r="F41" i="2" s="1"/>
  <c r="E42" i="2"/>
  <c r="F42" i="2" s="1"/>
  <c r="E43" i="2"/>
  <c r="F43" i="2" s="1"/>
  <c r="E44" i="2"/>
  <c r="F44" i="2" s="1"/>
  <c r="E45" i="2"/>
  <c r="F45" i="2" s="1"/>
  <c r="E46" i="2"/>
  <c r="F46" i="2" s="1"/>
  <c r="E47" i="2"/>
  <c r="F47" i="2" s="1"/>
  <c r="E48" i="2"/>
  <c r="F48" i="2" s="1"/>
  <c r="E49" i="2"/>
  <c r="F49" i="2" s="1"/>
  <c r="E50" i="2"/>
  <c r="F50" i="2" s="1"/>
  <c r="E51" i="2"/>
  <c r="F51" i="2" s="1"/>
  <c r="E52" i="2"/>
  <c r="F52" i="2" s="1"/>
  <c r="E53" i="2"/>
  <c r="F53" i="2" s="1"/>
  <c r="E54" i="2"/>
  <c r="F54" i="2" s="1"/>
  <c r="E55" i="2"/>
  <c r="F55" i="2" s="1"/>
  <c r="E56" i="2"/>
  <c r="F56" i="2" s="1"/>
  <c r="E57" i="2"/>
  <c r="F57" i="2" s="1"/>
  <c r="E58" i="2"/>
  <c r="F58" i="2" s="1"/>
  <c r="E59" i="2"/>
  <c r="F59" i="2" s="1"/>
  <c r="E60" i="2"/>
  <c r="F60" i="2" s="1"/>
  <c r="E61" i="2"/>
  <c r="F61" i="2" s="1"/>
  <c r="E62" i="2"/>
  <c r="F62" i="2" s="1"/>
  <c r="E63" i="2"/>
  <c r="F63" i="2" s="1"/>
  <c r="E64" i="2"/>
  <c r="F64" i="2" s="1"/>
  <c r="E65" i="2"/>
  <c r="F65" i="2" s="1"/>
  <c r="E66" i="2"/>
  <c r="F66" i="2" s="1"/>
  <c r="E67" i="2"/>
  <c r="F67" i="2" s="1"/>
  <c r="E68" i="2"/>
  <c r="F68" i="2" s="1"/>
  <c r="E69" i="2"/>
  <c r="F69" i="2" s="1"/>
  <c r="E70" i="2"/>
  <c r="F70" i="2" s="1"/>
  <c r="E71" i="2"/>
  <c r="F71" i="2" s="1"/>
  <c r="E72" i="2"/>
  <c r="F72" i="2" s="1"/>
  <c r="E73" i="2"/>
  <c r="F73" i="2" s="1"/>
  <c r="E74" i="2"/>
  <c r="F74" i="2" s="1"/>
  <c r="E75" i="2"/>
  <c r="F75" i="2" s="1"/>
  <c r="E76" i="2"/>
  <c r="F76" i="2" s="1"/>
  <c r="E77" i="2"/>
  <c r="F77" i="2" s="1"/>
  <c r="E78" i="2"/>
  <c r="F78" i="2" s="1"/>
  <c r="E79" i="2"/>
  <c r="F79" i="2" s="1"/>
  <c r="E80" i="2"/>
  <c r="F80" i="2" s="1"/>
  <c r="E81" i="2"/>
  <c r="F81" i="2" s="1"/>
  <c r="E82" i="2"/>
  <c r="F82" i="2" s="1"/>
  <c r="E83" i="2"/>
  <c r="F83" i="2" s="1"/>
  <c r="E84" i="2"/>
  <c r="F84" i="2" s="1"/>
  <c r="E85" i="2"/>
  <c r="F85" i="2" s="1"/>
  <c r="E86" i="2"/>
  <c r="F86" i="2" s="1"/>
  <c r="E87" i="2"/>
  <c r="F87" i="2" s="1"/>
  <c r="E88" i="2"/>
  <c r="F88" i="2" s="1"/>
  <c r="E89" i="2"/>
  <c r="F89" i="2" s="1"/>
  <c r="E90" i="2"/>
  <c r="F90" i="2" s="1"/>
  <c r="E91" i="2"/>
  <c r="F91" i="2" s="1"/>
  <c r="E92" i="2"/>
  <c r="F92" i="2" s="1"/>
  <c r="E93" i="2"/>
  <c r="F93" i="2" s="1"/>
  <c r="E94" i="2"/>
  <c r="F94" i="2" s="1"/>
  <c r="E95" i="2"/>
  <c r="F95" i="2" s="1"/>
  <c r="E96" i="2"/>
  <c r="F96" i="2" s="1"/>
  <c r="E97" i="2"/>
  <c r="F97" i="2" s="1"/>
  <c r="E98" i="2"/>
  <c r="F98" i="2" s="1"/>
  <c r="E99" i="2"/>
  <c r="F99" i="2" s="1"/>
  <c r="E100" i="2"/>
  <c r="F100" i="2" s="1"/>
  <c r="E101" i="2"/>
  <c r="F101" i="2" s="1"/>
  <c r="E102" i="2"/>
  <c r="F102" i="2" s="1"/>
  <c r="E103" i="2"/>
  <c r="F103" i="2" s="1"/>
  <c r="E104" i="2"/>
  <c r="F104" i="2" s="1"/>
  <c r="E105" i="2"/>
  <c r="F105" i="2" s="1"/>
  <c r="E106" i="2"/>
  <c r="F106" i="2" s="1"/>
  <c r="E107" i="2"/>
  <c r="F107" i="2" s="1"/>
  <c r="E108" i="2"/>
  <c r="F108" i="2" s="1"/>
  <c r="E109" i="2"/>
  <c r="F109" i="2" s="1"/>
  <c r="E110" i="2"/>
  <c r="F110" i="2" s="1"/>
  <c r="E111" i="2"/>
  <c r="F111" i="2" s="1"/>
  <c r="E112" i="2"/>
  <c r="F112" i="2" s="1"/>
  <c r="E113" i="2"/>
  <c r="F113" i="2" s="1"/>
  <c r="E114" i="2"/>
  <c r="F114" i="2" s="1"/>
  <c r="E115" i="2"/>
  <c r="F115" i="2" s="1"/>
  <c r="E116" i="2"/>
  <c r="F116" i="2" s="1"/>
  <c r="E117" i="2"/>
  <c r="F117" i="2" s="1"/>
  <c r="E118" i="2"/>
  <c r="F118" i="2" s="1"/>
  <c r="E119" i="2"/>
  <c r="F119" i="2" s="1"/>
  <c r="E120" i="2"/>
  <c r="F120" i="2" s="1"/>
  <c r="E121" i="2"/>
  <c r="F121" i="2" s="1"/>
  <c r="E122" i="2"/>
  <c r="F122" i="2" s="1"/>
  <c r="E123" i="2"/>
  <c r="F123" i="2" s="1"/>
  <c r="E124" i="2"/>
  <c r="F124" i="2" s="1"/>
  <c r="E125" i="2"/>
  <c r="F125" i="2" s="1"/>
  <c r="E126" i="2"/>
  <c r="F126" i="2" s="1"/>
  <c r="E127" i="2"/>
  <c r="F127" i="2" s="1"/>
  <c r="E128" i="2"/>
  <c r="F128" i="2" s="1"/>
  <c r="E129" i="2"/>
  <c r="F129" i="2" s="1"/>
  <c r="E130" i="2"/>
  <c r="F130" i="2" s="1"/>
  <c r="E131" i="2"/>
  <c r="F131" i="2" s="1"/>
  <c r="E132" i="2"/>
  <c r="F132" i="2" s="1"/>
  <c r="E133" i="2"/>
  <c r="F133" i="2" s="1"/>
  <c r="E134" i="2"/>
  <c r="F134" i="2" s="1"/>
  <c r="E135" i="2"/>
  <c r="F135" i="2" s="1"/>
  <c r="E136" i="2"/>
  <c r="F136" i="2" s="1"/>
  <c r="E137" i="2"/>
  <c r="F137" i="2" s="1"/>
  <c r="E138" i="2"/>
  <c r="F138" i="2" s="1"/>
  <c r="E139" i="2"/>
  <c r="F139" i="2" s="1"/>
  <c r="E140" i="2"/>
  <c r="F140" i="2" s="1"/>
  <c r="E141" i="2"/>
  <c r="F141" i="2" s="1"/>
  <c r="E142" i="2"/>
  <c r="F142" i="2" s="1"/>
  <c r="E143" i="2"/>
  <c r="F143" i="2" s="1"/>
  <c r="E144" i="2"/>
  <c r="F144" i="2" s="1"/>
  <c r="E145" i="2"/>
  <c r="F145" i="2" s="1"/>
  <c r="E146" i="2"/>
  <c r="F146" i="2" s="1"/>
  <c r="E147" i="2"/>
  <c r="F147" i="2" s="1"/>
  <c r="E148" i="2"/>
  <c r="F148" i="2" s="1"/>
  <c r="E149" i="2"/>
  <c r="F149" i="2" s="1"/>
  <c r="E150" i="2"/>
  <c r="F150" i="2" s="1"/>
  <c r="E151" i="2"/>
  <c r="F151" i="2" s="1"/>
  <c r="E152" i="2"/>
  <c r="F152" i="2" s="1"/>
  <c r="E153" i="2"/>
  <c r="F153" i="2" s="1"/>
  <c r="E154" i="2"/>
  <c r="F154" i="2" s="1"/>
  <c r="E155" i="2"/>
  <c r="F155" i="2" s="1"/>
  <c r="E156" i="2"/>
  <c r="F156" i="2" s="1"/>
  <c r="E157" i="2"/>
  <c r="F157" i="2" s="1"/>
  <c r="E158" i="2"/>
  <c r="F158" i="2" s="1"/>
  <c r="E159" i="2"/>
  <c r="F159" i="2" s="1"/>
  <c r="E160" i="2"/>
  <c r="F160" i="2" s="1"/>
  <c r="E161" i="2"/>
  <c r="F161" i="2" s="1"/>
  <c r="E162" i="2"/>
  <c r="F162" i="2" s="1"/>
  <c r="E163" i="2"/>
  <c r="F163" i="2" s="1"/>
  <c r="E164" i="2"/>
  <c r="F164" i="2" s="1"/>
  <c r="E165" i="2"/>
  <c r="F165" i="2" s="1"/>
  <c r="E166" i="2"/>
  <c r="F166" i="2" s="1"/>
  <c r="E167" i="2"/>
  <c r="F167" i="2" s="1"/>
  <c r="E168" i="2"/>
  <c r="F168" i="2" s="1"/>
  <c r="E169" i="2"/>
  <c r="F169" i="2" s="1"/>
  <c r="E170" i="2"/>
  <c r="F170" i="2" s="1"/>
  <c r="E171" i="2"/>
  <c r="F171" i="2" s="1"/>
  <c r="E172" i="2"/>
  <c r="F172" i="2" s="1"/>
  <c r="E173" i="2"/>
  <c r="F173" i="2" s="1"/>
  <c r="E174" i="2"/>
  <c r="F174" i="2" s="1"/>
  <c r="E175" i="2"/>
  <c r="F175" i="2" s="1"/>
  <c r="E176" i="2"/>
  <c r="F176" i="2" s="1"/>
  <c r="E177" i="2"/>
  <c r="F177" i="2" s="1"/>
  <c r="E178" i="2"/>
  <c r="F178" i="2" s="1"/>
  <c r="E179" i="2"/>
  <c r="F179" i="2" s="1"/>
  <c r="E180" i="2"/>
  <c r="F180" i="2" s="1"/>
  <c r="E181" i="2"/>
  <c r="F181" i="2" s="1"/>
  <c r="E182" i="2"/>
  <c r="F182" i="2" s="1"/>
  <c r="E183" i="2"/>
  <c r="F183" i="2" s="1"/>
  <c r="E184" i="2"/>
  <c r="F184" i="2" s="1"/>
  <c r="E185" i="2"/>
  <c r="F185" i="2" s="1"/>
  <c r="E186" i="2"/>
  <c r="F186" i="2" s="1"/>
  <c r="E187" i="2"/>
  <c r="F187" i="2" s="1"/>
  <c r="E188" i="2"/>
  <c r="F188" i="2" s="1"/>
  <c r="E189" i="2"/>
  <c r="F189" i="2" s="1"/>
  <c r="E190" i="2"/>
  <c r="F190" i="2" s="1"/>
  <c r="E191" i="2"/>
  <c r="F191" i="2" s="1"/>
  <c r="H192" i="2"/>
  <c r="I10" i="2"/>
  <c r="I11" i="2"/>
  <c r="I12" i="2"/>
  <c r="I13" i="2"/>
  <c r="I14" i="2"/>
  <c r="I15" i="2"/>
  <c r="I16" i="2"/>
  <c r="I17" i="2"/>
  <c r="I18" i="2"/>
  <c r="I19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B3" i="2"/>
  <c r="I3" i="2" s="1"/>
  <c r="B4" i="2"/>
  <c r="I4" i="2" s="1"/>
  <c r="B5" i="2"/>
  <c r="I5" i="2" s="1"/>
  <c r="B4" i="3" s="1"/>
  <c r="I4" i="3" s="1"/>
  <c r="B4" i="4" s="1"/>
  <c r="B6" i="2"/>
  <c r="I6" i="2" s="1"/>
  <c r="I7" i="2"/>
  <c r="B4" i="6" s="1"/>
  <c r="I4" i="6" s="1"/>
  <c r="B9" i="2"/>
  <c r="I9" i="2" s="1"/>
  <c r="B10" i="2"/>
  <c r="B11" i="2"/>
  <c r="B12" i="2"/>
  <c r="B13" i="2"/>
  <c r="B14" i="2"/>
  <c r="B15" i="2"/>
  <c r="B16" i="2"/>
  <c r="B17" i="2"/>
  <c r="B18" i="2"/>
  <c r="B19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A4" i="8"/>
  <c r="A5" i="8"/>
  <c r="A6" i="8"/>
  <c r="C6" i="8" s="1"/>
  <c r="A7" i="8"/>
  <c r="D7" i="8" s="1"/>
  <c r="A8" i="8"/>
  <c r="H8" i="8" s="1"/>
  <c r="A9" i="8"/>
  <c r="C9" i="8" s="1"/>
  <c r="A10" i="8"/>
  <c r="H10" i="8" s="1"/>
  <c r="A11" i="8"/>
  <c r="B11" i="8" s="1"/>
  <c r="A12" i="8"/>
  <c r="J12" i="8" s="1"/>
  <c r="A13" i="8"/>
  <c r="A14" i="8"/>
  <c r="H14" i="8" s="1"/>
  <c r="A15" i="8"/>
  <c r="B15" i="8" s="1"/>
  <c r="A16" i="8"/>
  <c r="H16" i="8" s="1"/>
  <c r="A17" i="8"/>
  <c r="D17" i="8" s="1"/>
  <c r="A18" i="8"/>
  <c r="C18" i="8" s="1"/>
  <c r="A3" i="8"/>
  <c r="A19" i="8"/>
  <c r="H19" i="8" s="1"/>
  <c r="A20" i="8"/>
  <c r="J20" i="8" s="1"/>
  <c r="A21" i="8"/>
  <c r="J21" i="8" s="1"/>
  <c r="A22" i="8"/>
  <c r="E22" i="8" s="1"/>
  <c r="A23" i="8"/>
  <c r="H23" i="8" s="1"/>
  <c r="A24" i="8"/>
  <c r="E24" i="8" s="1"/>
  <c r="A25" i="8"/>
  <c r="H25" i="8" s="1"/>
  <c r="A26" i="8"/>
  <c r="A27" i="8"/>
  <c r="A28" i="8"/>
  <c r="J28" i="8" s="1"/>
  <c r="A29" i="8"/>
  <c r="J29" i="8" s="1"/>
  <c r="A30" i="8"/>
  <c r="D30" i="8" s="1"/>
  <c r="A31" i="8"/>
  <c r="H31" i="8" s="1"/>
  <c r="A32" i="8"/>
  <c r="D32" i="8" s="1"/>
  <c r="A33" i="8"/>
  <c r="D33" i="8" s="1"/>
  <c r="A34" i="8"/>
  <c r="C34" i="8" s="1"/>
  <c r="A35" i="8"/>
  <c r="H35" i="8" s="1"/>
  <c r="A36" i="8"/>
  <c r="A37" i="8"/>
  <c r="J37" i="8" s="1"/>
  <c r="A38" i="8"/>
  <c r="C38" i="8" s="1"/>
  <c r="A39" i="8"/>
  <c r="H39" i="8" s="1"/>
  <c r="A40" i="8"/>
  <c r="J40" i="8" s="1"/>
  <c r="A41" i="8"/>
  <c r="H41" i="8" s="1"/>
  <c r="A42" i="8"/>
  <c r="E42" i="8" s="1"/>
  <c r="A43" i="8"/>
  <c r="J43" i="8" s="1"/>
  <c r="A44" i="8"/>
  <c r="E44" i="8" s="1"/>
  <c r="A45" i="8"/>
  <c r="J45" i="8" s="1"/>
  <c r="A46" i="8"/>
  <c r="D46" i="8" s="1"/>
  <c r="A47" i="8"/>
  <c r="J47" i="8" s="1"/>
  <c r="A48" i="8"/>
  <c r="J48" i="8" s="1"/>
  <c r="A49" i="8"/>
  <c r="H49" i="8" s="1"/>
  <c r="A50" i="8"/>
  <c r="A51" i="8"/>
  <c r="A52" i="8"/>
  <c r="A53" i="8"/>
  <c r="C53" i="8" s="1"/>
  <c r="A54" i="8"/>
  <c r="B54" i="8" s="1"/>
  <c r="A55" i="8"/>
  <c r="H55" i="8" s="1"/>
  <c r="A56" i="8"/>
  <c r="J56" i="8" s="1"/>
  <c r="A57" i="8"/>
  <c r="E57" i="8" s="1"/>
  <c r="A58" i="8"/>
  <c r="B58" i="8" s="1"/>
  <c r="A59" i="8"/>
  <c r="A60" i="8"/>
  <c r="A61" i="8"/>
  <c r="C61" i="8" s="1"/>
  <c r="A62" i="8"/>
  <c r="B62" i="8" s="1"/>
  <c r="G62" i="8" s="1"/>
  <c r="A63" i="8"/>
  <c r="J63" i="8" s="1"/>
  <c r="A64" i="8"/>
  <c r="D64" i="8" s="1"/>
  <c r="A65" i="8"/>
  <c r="H65" i="8" s="1"/>
  <c r="A66" i="8"/>
  <c r="J66" i="8" s="1"/>
  <c r="A67" i="8"/>
  <c r="C67" i="8" s="1"/>
  <c r="A68" i="8"/>
  <c r="A69" i="8"/>
  <c r="J69" i="8" s="1"/>
  <c r="A70" i="8"/>
  <c r="C70" i="8" s="1"/>
  <c r="A71" i="8"/>
  <c r="H71" i="8" s="1"/>
  <c r="A72" i="8"/>
  <c r="C72" i="8" s="1"/>
  <c r="A73" i="8"/>
  <c r="J73" i="8" s="1"/>
  <c r="A74" i="8"/>
  <c r="J74" i="8" s="1"/>
  <c r="A75" i="8"/>
  <c r="J75" i="8" s="1"/>
  <c r="A76" i="8"/>
  <c r="J76" i="8" s="1"/>
  <c r="A77" i="8"/>
  <c r="D77" i="8" s="1"/>
  <c r="A78" i="8"/>
  <c r="E78" i="8" s="1"/>
  <c r="A79" i="8"/>
  <c r="J79" i="8" s="1"/>
  <c r="A80" i="8"/>
  <c r="D80" i="8" s="1"/>
  <c r="A81" i="8"/>
  <c r="H81" i="8" s="1"/>
  <c r="A2" i="8"/>
  <c r="A82" i="8"/>
  <c r="H82" i="8" s="1"/>
  <c r="A83" i="8"/>
  <c r="J83" i="8" s="1"/>
  <c r="A84" i="8"/>
  <c r="J84" i="8" s="1"/>
  <c r="A85" i="8"/>
  <c r="E85" i="8" s="1"/>
  <c r="A86" i="8"/>
  <c r="J86" i="8" s="1"/>
  <c r="A87" i="8"/>
  <c r="E87" i="8" s="1"/>
  <c r="A88" i="8"/>
  <c r="J88" i="8" s="1"/>
  <c r="A89" i="8"/>
  <c r="C89" i="8" s="1"/>
  <c r="A90" i="8"/>
  <c r="D90" i="8" s="1"/>
  <c r="A91" i="8"/>
  <c r="J91" i="8" s="1"/>
  <c r="A92" i="8"/>
  <c r="J92" i="8" s="1"/>
  <c r="A93" i="8"/>
  <c r="D93" i="8" s="1"/>
  <c r="A94" i="8"/>
  <c r="J94" i="8" s="1"/>
  <c r="A95" i="8"/>
  <c r="C95" i="8" s="1"/>
  <c r="A96" i="8"/>
  <c r="H96" i="8" s="1"/>
  <c r="A97" i="8"/>
  <c r="H97" i="8" s="1"/>
  <c r="A98" i="8"/>
  <c r="H98" i="8" s="1"/>
  <c r="A99" i="8"/>
  <c r="A100" i="8"/>
  <c r="J100" i="8" s="1"/>
  <c r="A101" i="8"/>
  <c r="H101" i="8" s="1"/>
  <c r="A102" i="8"/>
  <c r="H102" i="8" s="1"/>
  <c r="A103" i="8"/>
  <c r="J103" i="8" s="1"/>
  <c r="A104" i="8"/>
  <c r="H104" i="8" s="1"/>
  <c r="A105" i="8"/>
  <c r="J105" i="8" s="1"/>
  <c r="A106" i="8"/>
  <c r="A107" i="8"/>
  <c r="H107" i="8" s="1"/>
  <c r="A108" i="8"/>
  <c r="B108" i="8" s="1"/>
  <c r="A109" i="8"/>
  <c r="B109" i="8" s="1"/>
  <c r="A110" i="8"/>
  <c r="J110" i="8" s="1"/>
  <c r="A111" i="8"/>
  <c r="J111" i="8" s="1"/>
  <c r="A112" i="8"/>
  <c r="H112" i="8" s="1"/>
  <c r="A113" i="8"/>
  <c r="C113" i="8" s="1"/>
  <c r="A114" i="8"/>
  <c r="H114" i="8" s="1"/>
  <c r="A115" i="8"/>
  <c r="A116" i="8"/>
  <c r="H116" i="8" s="1"/>
  <c r="A117" i="8"/>
  <c r="D117" i="8" s="1"/>
  <c r="A118" i="8"/>
  <c r="J118" i="8" s="1"/>
  <c r="A119" i="8"/>
  <c r="J119" i="8" s="1"/>
  <c r="A120" i="8"/>
  <c r="H120" i="8" s="1"/>
  <c r="A121" i="8"/>
  <c r="J121" i="8" s="1"/>
  <c r="A122" i="8"/>
  <c r="A123" i="8"/>
  <c r="A124" i="8"/>
  <c r="C124" i="8" s="1"/>
  <c r="A125" i="8"/>
  <c r="E125" i="8" s="1"/>
  <c r="A126" i="8"/>
  <c r="H126" i="8" s="1"/>
  <c r="A127" i="8"/>
  <c r="H127" i="8" s="1"/>
  <c r="A128" i="8"/>
  <c r="H128" i="8" s="1"/>
  <c r="A129" i="8"/>
  <c r="B129" i="8" s="1"/>
  <c r="A130" i="8"/>
  <c r="A131" i="8"/>
  <c r="A132" i="8"/>
  <c r="C132" i="8" s="1"/>
  <c r="A133" i="8"/>
  <c r="C133" i="8" s="1"/>
  <c r="A134" i="8"/>
  <c r="H134" i="8" s="1"/>
  <c r="A135" i="8"/>
  <c r="D135" i="8" s="1"/>
  <c r="A136" i="8"/>
  <c r="H136" i="8" s="1"/>
  <c r="A137" i="8"/>
  <c r="D137" i="8" s="1"/>
  <c r="A138" i="8"/>
  <c r="J138" i="8" s="1"/>
  <c r="A139" i="8"/>
  <c r="A140" i="8"/>
  <c r="H140" i="8" s="1"/>
  <c r="A141" i="8"/>
  <c r="E141" i="8" s="1"/>
  <c r="A142" i="8"/>
  <c r="D142" i="8" s="1"/>
  <c r="A143" i="8"/>
  <c r="C143" i="8" s="1"/>
  <c r="A144" i="8"/>
  <c r="C144" i="8" s="1"/>
  <c r="A145" i="8"/>
  <c r="H145" i="8" s="1"/>
  <c r="A146" i="8"/>
  <c r="A147" i="8"/>
  <c r="A148" i="8"/>
  <c r="J148" i="8" s="1"/>
  <c r="A149" i="8"/>
  <c r="D149" i="8" s="1"/>
  <c r="A150" i="8"/>
  <c r="J150" i="8" s="1"/>
  <c r="A151" i="8"/>
  <c r="E151" i="8" s="1"/>
  <c r="A152" i="8"/>
  <c r="E152" i="8" s="1"/>
  <c r="A153" i="8"/>
  <c r="J153" i="8" s="1"/>
  <c r="A154" i="8"/>
  <c r="A155" i="8"/>
  <c r="A156" i="8"/>
  <c r="J156" i="8" s="1"/>
  <c r="A157" i="8"/>
  <c r="B157" i="8" s="1"/>
  <c r="A158" i="8"/>
  <c r="J158" i="8" s="1"/>
  <c r="A159" i="8"/>
  <c r="H159" i="8" s="1"/>
  <c r="A160" i="8"/>
  <c r="H160" i="8" s="1"/>
  <c r="A161" i="8"/>
  <c r="C161" i="8" s="1"/>
  <c r="A162" i="8"/>
  <c r="H162" i="8" s="1"/>
  <c r="A163" i="8"/>
  <c r="H163" i="8" s="1"/>
  <c r="A164" i="8"/>
  <c r="H164" i="8" s="1"/>
  <c r="A165" i="8"/>
  <c r="H165" i="8" s="1"/>
  <c r="A166" i="8"/>
  <c r="J166" i="8" s="1"/>
  <c r="A167" i="8"/>
  <c r="J167" i="8" s="1"/>
  <c r="A168" i="8"/>
  <c r="J168" i="8" s="1"/>
  <c r="A169" i="8"/>
  <c r="J169" i="8" s="1"/>
  <c r="A170" i="8"/>
  <c r="J170" i="8" s="1"/>
  <c r="A171" i="8"/>
  <c r="A172" i="8"/>
  <c r="J172" i="8" s="1"/>
  <c r="A173" i="8"/>
  <c r="C173" i="8" s="1"/>
  <c r="A174" i="8"/>
  <c r="J174" i="8" s="1"/>
  <c r="A175" i="8"/>
  <c r="H175" i="8" s="1"/>
  <c r="A176" i="8"/>
  <c r="H176" i="8" s="1"/>
  <c r="A177" i="8"/>
  <c r="A178" i="8"/>
  <c r="A179" i="8"/>
  <c r="B179" i="8" s="1"/>
  <c r="A180" i="8"/>
  <c r="J180" i="8" s="1"/>
  <c r="A181" i="8"/>
  <c r="B181" i="8" s="1"/>
  <c r="G181" i="8" s="1"/>
  <c r="A182" i="8"/>
  <c r="J182" i="8" s="1"/>
  <c r="A183" i="8"/>
  <c r="J183" i="8" s="1"/>
  <c r="A184" i="8"/>
  <c r="H184" i="8" s="1"/>
  <c r="A185" i="8"/>
  <c r="D185" i="8" s="1"/>
  <c r="A186" i="8"/>
  <c r="A187" i="8"/>
  <c r="A188" i="8"/>
  <c r="E188" i="8" s="1"/>
  <c r="A189" i="8"/>
  <c r="E189" i="8" s="1"/>
  <c r="A190" i="8"/>
  <c r="J190" i="8" s="1"/>
  <c r="P14" i="2"/>
  <c r="P13" i="2" s="1"/>
  <c r="P12" i="2"/>
  <c r="P11" i="2"/>
  <c r="E3" i="2"/>
  <c r="F3" i="2" s="1"/>
  <c r="B2" i="2"/>
  <c r="I2" i="2" s="1"/>
  <c r="B2" i="3" s="1"/>
  <c r="I2" i="3" s="1"/>
  <c r="B2" i="4" s="1"/>
  <c r="E2" i="2"/>
  <c r="F2" i="2" s="1"/>
  <c r="B3" i="3" l="1"/>
  <c r="I3" i="3" s="1"/>
  <c r="B3" i="4" s="1"/>
  <c r="B15" i="3"/>
  <c r="I15" i="3" s="1"/>
  <c r="F192" i="2"/>
  <c r="O2" i="2" s="1"/>
  <c r="P2" i="2" s="1"/>
  <c r="P10" i="2"/>
  <c r="O2" i="7"/>
  <c r="P2" i="7" s="1"/>
  <c r="R16" i="7" s="1"/>
  <c r="S16" i="7" s="1"/>
  <c r="O2" i="6"/>
  <c r="P2" i="6" s="1"/>
  <c r="R16" i="6" s="1"/>
  <c r="S16" i="6" s="1"/>
  <c r="O2" i="5"/>
  <c r="P2" i="5" s="1"/>
  <c r="R16" i="5" s="1"/>
  <c r="S16" i="5" s="1"/>
  <c r="O2" i="4"/>
  <c r="P2" i="4" s="1"/>
  <c r="R16" i="4" s="1"/>
  <c r="S16" i="4" s="1"/>
  <c r="F192" i="3"/>
  <c r="O2" i="3" s="1"/>
  <c r="P2" i="3" s="1"/>
  <c r="R17" i="3" s="1"/>
  <c r="S17" i="3" s="1"/>
  <c r="J106" i="8"/>
  <c r="J130" i="8"/>
  <c r="J146" i="8"/>
  <c r="J162" i="8"/>
  <c r="J35" i="8"/>
  <c r="P9" i="2"/>
  <c r="J135" i="8"/>
  <c r="J34" i="8"/>
  <c r="B76" i="8"/>
  <c r="G76" i="8" s="1"/>
  <c r="J184" i="8"/>
  <c r="J95" i="8"/>
  <c r="J33" i="8"/>
  <c r="J81" i="8"/>
  <c r="J32" i="8"/>
  <c r="J80" i="8"/>
  <c r="J18" i="8"/>
  <c r="J161" i="8"/>
  <c r="J9" i="8"/>
  <c r="H168" i="8"/>
  <c r="J120" i="8"/>
  <c r="H24" i="8"/>
  <c r="B130" i="8"/>
  <c r="G130" i="8" s="1"/>
  <c r="J160" i="8"/>
  <c r="J72" i="8"/>
  <c r="D71" i="8"/>
  <c r="J8" i="8"/>
  <c r="B6" i="8"/>
  <c r="J98" i="8"/>
  <c r="J71" i="8"/>
  <c r="C69" i="8"/>
  <c r="H73" i="8"/>
  <c r="J144" i="8"/>
  <c r="J97" i="8"/>
  <c r="J57" i="8"/>
  <c r="J17" i="8"/>
  <c r="J134" i="8"/>
  <c r="C190" i="8"/>
  <c r="C63" i="8"/>
  <c r="H72" i="8"/>
  <c r="I72" i="8" s="1"/>
  <c r="J96" i="8"/>
  <c r="I4" i="4"/>
  <c r="B4" i="5" s="1"/>
  <c r="I4" i="5" s="1"/>
  <c r="B4" i="7" s="1"/>
  <c r="I4" i="7" s="1"/>
  <c r="G58" i="8" s="1"/>
  <c r="I3" i="4"/>
  <c r="B3" i="5" s="1"/>
  <c r="I3" i="5" s="1"/>
  <c r="B3" i="6" s="1"/>
  <c r="I3" i="6" s="1"/>
  <c r="B3" i="7" s="1"/>
  <c r="I3" i="7" s="1"/>
  <c r="I2" i="4"/>
  <c r="B2" i="5" s="1"/>
  <c r="I2" i="5" s="1"/>
  <c r="B2" i="6" s="1"/>
  <c r="I2" i="6" s="1"/>
  <c r="B2" i="7" s="1"/>
  <c r="I2" i="7" s="1"/>
  <c r="E93" i="8"/>
  <c r="E7" i="8"/>
  <c r="B78" i="8"/>
  <c r="H38" i="8"/>
  <c r="I38" i="8" s="1"/>
  <c r="J189" i="8"/>
  <c r="J173" i="8"/>
  <c r="J85" i="8"/>
  <c r="C141" i="8"/>
  <c r="C62" i="8"/>
  <c r="D125" i="8"/>
  <c r="D62" i="8"/>
  <c r="E62" i="8"/>
  <c r="B70" i="8"/>
  <c r="G70" i="8" s="1"/>
  <c r="G108" i="8"/>
  <c r="H157" i="8"/>
  <c r="H117" i="8"/>
  <c r="H70" i="8"/>
  <c r="I70" i="8" s="1"/>
  <c r="J159" i="8"/>
  <c r="J143" i="8"/>
  <c r="J133" i="8"/>
  <c r="J70" i="8"/>
  <c r="J42" i="8"/>
  <c r="J7" i="8"/>
  <c r="C109" i="8"/>
  <c r="C46" i="8"/>
  <c r="D109" i="8"/>
  <c r="D20" i="8"/>
  <c r="B165" i="8"/>
  <c r="B69" i="8"/>
  <c r="G69" i="8" s="1"/>
  <c r="H189" i="8"/>
  <c r="H108" i="8"/>
  <c r="H69" i="8"/>
  <c r="H22" i="8"/>
  <c r="J142" i="8"/>
  <c r="J104" i="8"/>
  <c r="J67" i="8"/>
  <c r="J55" i="8"/>
  <c r="J41" i="8"/>
  <c r="J31" i="8"/>
  <c r="J16" i="8"/>
  <c r="B38" i="8"/>
  <c r="G38" i="8" s="1"/>
  <c r="H188" i="8"/>
  <c r="H144" i="8"/>
  <c r="I144" i="8" s="1"/>
  <c r="H93" i="8"/>
  <c r="H57" i="8"/>
  <c r="H15" i="8"/>
  <c r="J181" i="8"/>
  <c r="J157" i="8"/>
  <c r="J141" i="8"/>
  <c r="J129" i="8"/>
  <c r="J117" i="8"/>
  <c r="J93" i="8"/>
  <c r="J78" i="8"/>
  <c r="J54" i="8"/>
  <c r="J30" i="8"/>
  <c r="J15" i="8"/>
  <c r="D165" i="8"/>
  <c r="H125" i="8"/>
  <c r="J62" i="8"/>
  <c r="J46" i="8"/>
  <c r="J22" i="8"/>
  <c r="H124" i="8"/>
  <c r="I124" i="8" s="1"/>
  <c r="D101" i="8"/>
  <c r="D14" i="8"/>
  <c r="C188" i="8"/>
  <c r="C85" i="8"/>
  <c r="C30" i="8"/>
  <c r="D100" i="8"/>
  <c r="E38" i="8"/>
  <c r="B30" i="8"/>
  <c r="G30" i="8" s="1"/>
  <c r="H141" i="8"/>
  <c r="H88" i="8"/>
  <c r="H54" i="8"/>
  <c r="H7" i="8"/>
  <c r="J176" i="8"/>
  <c r="J152" i="8"/>
  <c r="J128" i="8"/>
  <c r="J112" i="8"/>
  <c r="J102" i="8"/>
  <c r="J65" i="8"/>
  <c r="J49" i="8"/>
  <c r="J39" i="8"/>
  <c r="J25" i="8"/>
  <c r="C157" i="8"/>
  <c r="J149" i="8"/>
  <c r="J125" i="8"/>
  <c r="J109" i="8"/>
  <c r="D133" i="8"/>
  <c r="D70" i="8"/>
  <c r="E70" i="8"/>
  <c r="B180" i="8"/>
  <c r="G180" i="8" s="1"/>
  <c r="G109" i="8"/>
  <c r="H30" i="8"/>
  <c r="C180" i="8"/>
  <c r="C81" i="8"/>
  <c r="I81" i="8" s="1"/>
  <c r="C15" i="8"/>
  <c r="D85" i="8"/>
  <c r="E161" i="8"/>
  <c r="E31" i="8"/>
  <c r="B125" i="8"/>
  <c r="G125" i="8" s="1"/>
  <c r="B22" i="8"/>
  <c r="G22" i="8" s="1"/>
  <c r="H181" i="8"/>
  <c r="H133" i="8"/>
  <c r="I133" i="8" s="1"/>
  <c r="H87" i="8"/>
  <c r="H45" i="8"/>
  <c r="H6" i="8"/>
  <c r="I6" i="8" s="1"/>
  <c r="J175" i="8"/>
  <c r="J165" i="8"/>
  <c r="J151" i="8"/>
  <c r="J137" i="8"/>
  <c r="J127" i="8"/>
  <c r="J101" i="8"/>
  <c r="J87" i="8"/>
  <c r="J64" i="8"/>
  <c r="J38" i="8"/>
  <c r="J24" i="8"/>
  <c r="J11" i="8"/>
  <c r="C149" i="8"/>
  <c r="C78" i="8"/>
  <c r="D173" i="8"/>
  <c r="D78" i="8"/>
  <c r="E157" i="8"/>
  <c r="E30" i="8"/>
  <c r="B117" i="8"/>
  <c r="G117" i="8" s="1"/>
  <c r="B7" i="8"/>
  <c r="G7" i="8" s="1"/>
  <c r="H172" i="8"/>
  <c r="H132" i="8"/>
  <c r="I132" i="8" s="1"/>
  <c r="H85" i="8"/>
  <c r="J136" i="8"/>
  <c r="J126" i="8"/>
  <c r="J23" i="8"/>
  <c r="J10" i="8"/>
  <c r="B187" i="8"/>
  <c r="G187" i="8" s="1"/>
  <c r="J187" i="8"/>
  <c r="H187" i="8"/>
  <c r="B163" i="8"/>
  <c r="G163" i="8" s="1"/>
  <c r="J163" i="8"/>
  <c r="J68" i="8"/>
  <c r="H68" i="8"/>
  <c r="E68" i="8"/>
  <c r="B68" i="8"/>
  <c r="J60" i="8"/>
  <c r="H60" i="8"/>
  <c r="B52" i="8"/>
  <c r="G52" i="8" s="1"/>
  <c r="J52" i="8"/>
  <c r="J44" i="8"/>
  <c r="H44" i="8"/>
  <c r="D36" i="8"/>
  <c r="J36" i="8"/>
  <c r="H13" i="8"/>
  <c r="J13" i="8"/>
  <c r="D13" i="8"/>
  <c r="B5" i="8"/>
  <c r="G5" i="8" s="1"/>
  <c r="J5" i="8"/>
  <c r="D5" i="8"/>
  <c r="E163" i="8"/>
  <c r="B44" i="8"/>
  <c r="G44" i="8" s="1"/>
  <c r="H5" i="8"/>
  <c r="D122" i="8"/>
  <c r="H122" i="8"/>
  <c r="E59" i="8"/>
  <c r="B59" i="8"/>
  <c r="G59" i="8" s="1"/>
  <c r="D59" i="8"/>
  <c r="D51" i="8"/>
  <c r="C51" i="8"/>
  <c r="B43" i="8"/>
  <c r="G43" i="8" s="1"/>
  <c r="D43" i="8"/>
  <c r="C43" i="8"/>
  <c r="H43" i="8"/>
  <c r="C177" i="8"/>
  <c r="H177" i="8"/>
  <c r="C169" i="8"/>
  <c r="D169" i="8"/>
  <c r="H161" i="8"/>
  <c r="I161" i="8" s="1"/>
  <c r="B161" i="8"/>
  <c r="G161" i="8" s="1"/>
  <c r="E145" i="8"/>
  <c r="D145" i="8"/>
  <c r="H89" i="8"/>
  <c r="I89" i="8" s="1"/>
  <c r="D89" i="8"/>
  <c r="B2" i="8"/>
  <c r="H2" i="8"/>
  <c r="C66" i="8"/>
  <c r="E66" i="8"/>
  <c r="D50" i="8"/>
  <c r="C50" i="8"/>
  <c r="H42" i="8"/>
  <c r="C42" i="8"/>
  <c r="H34" i="8"/>
  <c r="I34" i="8" s="1"/>
  <c r="B34" i="8"/>
  <c r="G34" i="8" s="1"/>
  <c r="H26" i="8"/>
  <c r="C26" i="8"/>
  <c r="E26" i="8"/>
  <c r="B3" i="8"/>
  <c r="H3" i="8"/>
  <c r="J177" i="8"/>
  <c r="J145" i="8"/>
  <c r="J113" i="8"/>
  <c r="J2" i="8"/>
  <c r="J50" i="8"/>
  <c r="J3" i="8"/>
  <c r="H179" i="8"/>
  <c r="J179" i="8"/>
  <c r="J171" i="8"/>
  <c r="H171" i="8"/>
  <c r="H155" i="8"/>
  <c r="J155" i="8"/>
  <c r="B155" i="8"/>
  <c r="G155" i="8" s="1"/>
  <c r="H147" i="8"/>
  <c r="J147" i="8"/>
  <c r="H139" i="8"/>
  <c r="J139" i="8"/>
  <c r="B131" i="8"/>
  <c r="G131" i="8" s="1"/>
  <c r="J131" i="8"/>
  <c r="E131" i="8"/>
  <c r="H131" i="8"/>
  <c r="B123" i="8"/>
  <c r="G123" i="8" s="1"/>
  <c r="J123" i="8"/>
  <c r="H123" i="8"/>
  <c r="B115" i="8"/>
  <c r="G115" i="8" s="1"/>
  <c r="J115" i="8"/>
  <c r="E107" i="8"/>
  <c r="J107" i="8"/>
  <c r="H99" i="8"/>
  <c r="J99" i="8"/>
  <c r="E186" i="8"/>
  <c r="H186" i="8"/>
  <c r="C186" i="8"/>
  <c r="H178" i="8"/>
  <c r="C178" i="8"/>
  <c r="C170" i="8"/>
  <c r="H170" i="8"/>
  <c r="E154" i="8"/>
  <c r="B154" i="8"/>
  <c r="G154" i="8" s="1"/>
  <c r="H138" i="8"/>
  <c r="C138" i="8"/>
  <c r="E106" i="8"/>
  <c r="C106" i="8"/>
  <c r="H106" i="8"/>
  <c r="H75" i="8"/>
  <c r="C75" i="8"/>
  <c r="B27" i="8"/>
  <c r="G27" i="8" s="1"/>
  <c r="H27" i="8"/>
  <c r="B12" i="8"/>
  <c r="G12" i="8" s="1"/>
  <c r="C12" i="8"/>
  <c r="B4" i="8"/>
  <c r="G4" i="8" s="1"/>
  <c r="D4" i="8"/>
  <c r="E4" i="8"/>
  <c r="J4" i="8"/>
  <c r="C122" i="8"/>
  <c r="D170" i="8"/>
  <c r="J178" i="8"/>
  <c r="J114" i="8"/>
  <c r="J82" i="8"/>
  <c r="J51" i="8"/>
  <c r="J19" i="8"/>
  <c r="H129" i="8"/>
  <c r="E129" i="8"/>
  <c r="D113" i="8"/>
  <c r="H113" i="8"/>
  <c r="I113" i="8" s="1"/>
  <c r="B113" i="8"/>
  <c r="G113" i="8" s="1"/>
  <c r="E105" i="8"/>
  <c r="B105" i="8"/>
  <c r="G105" i="8" s="1"/>
  <c r="C105" i="8"/>
  <c r="H105" i="8"/>
  <c r="D105" i="8"/>
  <c r="C114" i="8"/>
  <c r="I114" i="8" s="1"/>
  <c r="J186" i="8"/>
  <c r="J154" i="8"/>
  <c r="J122" i="8"/>
  <c r="J90" i="8"/>
  <c r="J59" i="8"/>
  <c r="J27" i="8"/>
  <c r="E83" i="8"/>
  <c r="H90" i="8"/>
  <c r="H59" i="8"/>
  <c r="J185" i="8"/>
  <c r="J89" i="8"/>
  <c r="J58" i="8"/>
  <c r="J26" i="8"/>
  <c r="C126" i="8"/>
  <c r="I126" i="8" s="1"/>
  <c r="C125" i="8"/>
  <c r="C101" i="8"/>
  <c r="I101" i="8" s="1"/>
  <c r="D141" i="8"/>
  <c r="D54" i="8"/>
  <c r="E173" i="8"/>
  <c r="E109" i="8"/>
  <c r="B141" i="8"/>
  <c r="G141" i="8" s="1"/>
  <c r="B101" i="8"/>
  <c r="G101" i="8" s="1"/>
  <c r="H152" i="8"/>
  <c r="H62" i="8"/>
  <c r="H9" i="8"/>
  <c r="I9" i="8" s="1"/>
  <c r="J188" i="8"/>
  <c r="J164" i="8"/>
  <c r="J140" i="8"/>
  <c r="J132" i="8"/>
  <c r="J124" i="8"/>
  <c r="J116" i="8"/>
  <c r="J108" i="8"/>
  <c r="J77" i="8"/>
  <c r="J61" i="8"/>
  <c r="J53" i="8"/>
  <c r="J14" i="8"/>
  <c r="J6" i="8"/>
  <c r="H18" i="8"/>
  <c r="I18" i="8" s="1"/>
  <c r="H33" i="8"/>
  <c r="E126" i="8"/>
  <c r="C93" i="8"/>
  <c r="D181" i="8"/>
  <c r="E165" i="8"/>
  <c r="E46" i="8"/>
  <c r="B133" i="8"/>
  <c r="G133" i="8" s="1"/>
  <c r="B93" i="8"/>
  <c r="B46" i="8"/>
  <c r="G46" i="8" s="1"/>
  <c r="H149" i="8"/>
  <c r="H78" i="8"/>
  <c r="C167" i="8"/>
  <c r="H167" i="8"/>
  <c r="D119" i="8"/>
  <c r="H119" i="8"/>
  <c r="C111" i="8"/>
  <c r="H111" i="8"/>
  <c r="E103" i="8"/>
  <c r="H103" i="8"/>
  <c r="D180" i="8"/>
  <c r="E180" i="8"/>
  <c r="B172" i="8"/>
  <c r="G172" i="8" s="1"/>
  <c r="D172" i="8"/>
  <c r="B156" i="8"/>
  <c r="G156" i="8" s="1"/>
  <c r="H156" i="8"/>
  <c r="E69" i="8"/>
  <c r="D69" i="8"/>
  <c r="H53" i="8"/>
  <c r="I53" i="8" s="1"/>
  <c r="H143" i="8"/>
  <c r="I143" i="8" s="1"/>
  <c r="E162" i="8"/>
  <c r="B162" i="8"/>
  <c r="G162" i="8" s="1"/>
  <c r="C162" i="8"/>
  <c r="I162" i="8" s="1"/>
  <c r="D98" i="8"/>
  <c r="C98" i="8"/>
  <c r="I98" i="8" s="1"/>
  <c r="B67" i="8"/>
  <c r="G67" i="8" s="1"/>
  <c r="H67" i="8"/>
  <c r="I67" i="8" s="1"/>
  <c r="D187" i="8"/>
  <c r="D164" i="8"/>
  <c r="D114" i="8"/>
  <c r="B164" i="8"/>
  <c r="G164" i="8" s="1"/>
  <c r="H180" i="8"/>
  <c r="H169" i="8"/>
  <c r="H154" i="8"/>
  <c r="H115" i="8"/>
  <c r="H77" i="8"/>
  <c r="H51" i="8"/>
  <c r="C183" i="8"/>
  <c r="H183" i="8"/>
  <c r="C56" i="8"/>
  <c r="H56" i="8"/>
  <c r="E48" i="8"/>
  <c r="H48" i="8"/>
  <c r="C40" i="8"/>
  <c r="H40" i="8"/>
  <c r="H151" i="8"/>
  <c r="H135" i="8"/>
  <c r="H95" i="8"/>
  <c r="I95" i="8" s="1"/>
  <c r="H32" i="8"/>
  <c r="D148" i="8"/>
  <c r="B148" i="8"/>
  <c r="G148" i="8" s="1"/>
  <c r="E148" i="8"/>
  <c r="H148" i="8"/>
  <c r="C116" i="8"/>
  <c r="I116" i="8" s="1"/>
  <c r="D116" i="8"/>
  <c r="B116" i="8"/>
  <c r="G116" i="8" s="1"/>
  <c r="C100" i="8"/>
  <c r="H100" i="8"/>
  <c r="D92" i="8"/>
  <c r="H92" i="8"/>
  <c r="E84" i="8"/>
  <c r="H84" i="8"/>
  <c r="B45" i="8"/>
  <c r="G45" i="8" s="1"/>
  <c r="C45" i="8"/>
  <c r="E45" i="8"/>
  <c r="B37" i="8"/>
  <c r="G37" i="8" s="1"/>
  <c r="H37" i="8"/>
  <c r="C29" i="8"/>
  <c r="H29" i="8"/>
  <c r="B21" i="8"/>
  <c r="G21" i="8" s="1"/>
  <c r="H21" i="8"/>
  <c r="C14" i="8"/>
  <c r="I14" i="8" s="1"/>
  <c r="E14" i="8"/>
  <c r="E108" i="8"/>
  <c r="B100" i="8"/>
  <c r="G100" i="8" s="1"/>
  <c r="H80" i="8"/>
  <c r="H17" i="8"/>
  <c r="B91" i="8"/>
  <c r="G91" i="8" s="1"/>
  <c r="H91" i="8"/>
  <c r="B83" i="8"/>
  <c r="G83" i="8" s="1"/>
  <c r="H83" i="8"/>
  <c r="E76" i="8"/>
  <c r="H76" i="8"/>
  <c r="E28" i="8"/>
  <c r="H28" i="8"/>
  <c r="H20" i="8"/>
  <c r="B20" i="8"/>
  <c r="G20" i="8" s="1"/>
  <c r="C172" i="8"/>
  <c r="C135" i="8"/>
  <c r="E147" i="8"/>
  <c r="B99" i="8"/>
  <c r="G99" i="8" s="1"/>
  <c r="B28" i="8"/>
  <c r="G28" i="8" s="1"/>
  <c r="H64" i="8"/>
  <c r="H52" i="8"/>
  <c r="D146" i="8"/>
  <c r="H146" i="8"/>
  <c r="C130" i="8"/>
  <c r="H130" i="8"/>
  <c r="B35" i="8"/>
  <c r="G35" i="8" s="1"/>
  <c r="C35" i="8"/>
  <c r="I35" i="8" s="1"/>
  <c r="E27" i="8"/>
  <c r="D27" i="8"/>
  <c r="E12" i="8"/>
  <c r="D12" i="8"/>
  <c r="H12" i="8"/>
  <c r="C59" i="8"/>
  <c r="E139" i="8"/>
  <c r="E185" i="8"/>
  <c r="H185" i="8"/>
  <c r="C185" i="8"/>
  <c r="B177" i="8"/>
  <c r="G177" i="8" s="1"/>
  <c r="D177" i="8"/>
  <c r="D161" i="8"/>
  <c r="B153" i="8"/>
  <c r="G153" i="8" s="1"/>
  <c r="C153" i="8"/>
  <c r="B137" i="8"/>
  <c r="G137" i="8" s="1"/>
  <c r="H137" i="8"/>
  <c r="C121" i="8"/>
  <c r="H121" i="8"/>
  <c r="B97" i="8"/>
  <c r="G97" i="8" s="1"/>
  <c r="C97" i="8"/>
  <c r="I97" i="8" s="1"/>
  <c r="D97" i="8"/>
  <c r="B89" i="8"/>
  <c r="G89" i="8" s="1"/>
  <c r="E89" i="8"/>
  <c r="B74" i="8"/>
  <c r="G74" i="8" s="1"/>
  <c r="D74" i="8"/>
  <c r="H74" i="8"/>
  <c r="D66" i="8"/>
  <c r="B66" i="8"/>
  <c r="G66" i="8" s="1"/>
  <c r="H66" i="8"/>
  <c r="D58" i="8"/>
  <c r="C58" i="8"/>
  <c r="H58" i="8"/>
  <c r="B42" i="8"/>
  <c r="G42" i="8" s="1"/>
  <c r="D42" i="8"/>
  <c r="D34" i="8"/>
  <c r="D11" i="8"/>
  <c r="H11" i="8"/>
  <c r="C129" i="8"/>
  <c r="C108" i="8"/>
  <c r="D186" i="8"/>
  <c r="D162" i="8"/>
  <c r="D2" i="8"/>
  <c r="D45" i="8"/>
  <c r="E179" i="8"/>
  <c r="E137" i="8"/>
  <c r="E97" i="8"/>
  <c r="E13" i="8"/>
  <c r="H4" i="8"/>
  <c r="H153" i="8"/>
  <c r="H61" i="8"/>
  <c r="I61" i="8" s="1"/>
  <c r="H50" i="8"/>
  <c r="H36" i="8"/>
  <c r="B118" i="8"/>
  <c r="G118" i="8" s="1"/>
  <c r="H118" i="8"/>
  <c r="B110" i="8"/>
  <c r="G110" i="8" s="1"/>
  <c r="H110" i="8"/>
  <c r="E110" i="8"/>
  <c r="C94" i="8"/>
  <c r="H94" i="8"/>
  <c r="C86" i="8"/>
  <c r="H86" i="8"/>
  <c r="C79" i="8"/>
  <c r="H79" i="8"/>
  <c r="B63" i="8"/>
  <c r="G63" i="8" s="1"/>
  <c r="H63" i="8"/>
  <c r="B47" i="8"/>
  <c r="G47" i="8" s="1"/>
  <c r="H47" i="8"/>
  <c r="C165" i="8"/>
  <c r="I165" i="8" s="1"/>
  <c r="C134" i="8"/>
  <c r="I134" i="8" s="1"/>
  <c r="C71" i="8"/>
  <c r="I71" i="8" s="1"/>
  <c r="C8" i="8"/>
  <c r="I8" i="8" s="1"/>
  <c r="E181" i="8"/>
  <c r="E149" i="8"/>
  <c r="B149" i="8"/>
  <c r="B190" i="8"/>
  <c r="G190" i="8" s="1"/>
  <c r="H190" i="8"/>
  <c r="B182" i="8"/>
  <c r="G182" i="8" s="1"/>
  <c r="H182" i="8"/>
  <c r="C174" i="8"/>
  <c r="H174" i="8"/>
  <c r="H166" i="8"/>
  <c r="E166" i="8"/>
  <c r="C158" i="8"/>
  <c r="H158" i="8"/>
  <c r="C150" i="8"/>
  <c r="H150" i="8"/>
  <c r="B142" i="8"/>
  <c r="G142" i="8" s="1"/>
  <c r="H142" i="8"/>
  <c r="B189" i="8"/>
  <c r="D189" i="8"/>
  <c r="C189" i="8"/>
  <c r="G54" i="8"/>
  <c r="E54" i="8"/>
  <c r="D22" i="8"/>
  <c r="C22" i="8"/>
  <c r="C181" i="8"/>
  <c r="C117" i="8"/>
  <c r="C54" i="8"/>
  <c r="C7" i="8"/>
  <c r="D174" i="8"/>
  <c r="E117" i="8"/>
  <c r="B173" i="8"/>
  <c r="G173" i="8" s="1"/>
  <c r="B85" i="8"/>
  <c r="G85" i="8" s="1"/>
  <c r="H173" i="8"/>
  <c r="I173" i="8" s="1"/>
  <c r="H109" i="8"/>
  <c r="H46" i="8"/>
  <c r="E18" i="8"/>
  <c r="E184" i="8"/>
  <c r="D184" i="8"/>
  <c r="B184" i="8"/>
  <c r="C184" i="8"/>
  <c r="I184" i="8" s="1"/>
  <c r="D176" i="8"/>
  <c r="B176" i="8"/>
  <c r="G176" i="8" s="1"/>
  <c r="C176" i="8"/>
  <c r="I176" i="8" s="1"/>
  <c r="E176" i="8"/>
  <c r="B168" i="8"/>
  <c r="G168" i="8" s="1"/>
  <c r="E168" i="8"/>
  <c r="D168" i="8"/>
  <c r="C168" i="8"/>
  <c r="B160" i="8"/>
  <c r="E160" i="8"/>
  <c r="D160" i="8"/>
  <c r="C160" i="8"/>
  <c r="I160" i="8" s="1"/>
  <c r="B152" i="8"/>
  <c r="C152" i="8"/>
  <c r="E144" i="8"/>
  <c r="D144" i="8"/>
  <c r="B144" i="8"/>
  <c r="B136" i="8"/>
  <c r="C136" i="8"/>
  <c r="I136" i="8" s="1"/>
  <c r="E136" i="8"/>
  <c r="D136" i="8"/>
  <c r="E128" i="8"/>
  <c r="C128" i="8"/>
  <c r="I128" i="8" s="1"/>
  <c r="B128" i="8"/>
  <c r="D120" i="8"/>
  <c r="B120" i="8"/>
  <c r="E120" i="8"/>
  <c r="C120" i="8"/>
  <c r="I120" i="8" s="1"/>
  <c r="E112" i="8"/>
  <c r="D112" i="8"/>
  <c r="B112" i="8"/>
  <c r="C112" i="8"/>
  <c r="I112" i="8" s="1"/>
  <c r="B104" i="8"/>
  <c r="G104" i="8" s="1"/>
  <c r="E104" i="8"/>
  <c r="D104" i="8"/>
  <c r="C104" i="8"/>
  <c r="I104" i="8" s="1"/>
  <c r="D96" i="8"/>
  <c r="B96" i="8"/>
  <c r="G96" i="8" s="1"/>
  <c r="C96" i="8"/>
  <c r="I96" i="8" s="1"/>
  <c r="E96" i="8"/>
  <c r="B88" i="8"/>
  <c r="G88" i="8" s="1"/>
  <c r="E88" i="8"/>
  <c r="D88" i="8"/>
  <c r="C88" i="8"/>
  <c r="E81" i="8"/>
  <c r="B81" i="8"/>
  <c r="G81" i="8" s="1"/>
  <c r="D81" i="8"/>
  <c r="B73" i="8"/>
  <c r="E73" i="8"/>
  <c r="C73" i="8"/>
  <c r="D73" i="8"/>
  <c r="E65" i="8"/>
  <c r="B65" i="8"/>
  <c r="C65" i="8"/>
  <c r="I65" i="8" s="1"/>
  <c r="D65" i="8"/>
  <c r="D57" i="8"/>
  <c r="C57" i="8"/>
  <c r="B57" i="8"/>
  <c r="B49" i="8"/>
  <c r="E49" i="8"/>
  <c r="D49" i="8"/>
  <c r="C49" i="8"/>
  <c r="I49" i="8" s="1"/>
  <c r="B41" i="8"/>
  <c r="G41" i="8" s="1"/>
  <c r="E41" i="8"/>
  <c r="C41" i="8"/>
  <c r="I41" i="8" s="1"/>
  <c r="D41" i="8"/>
  <c r="E33" i="8"/>
  <c r="B33" i="8"/>
  <c r="C33" i="8"/>
  <c r="B25" i="8"/>
  <c r="D25" i="8"/>
  <c r="E25" i="8"/>
  <c r="C25" i="8"/>
  <c r="I25" i="8" s="1"/>
  <c r="D18" i="8"/>
  <c r="B18" i="8"/>
  <c r="G18" i="8" s="1"/>
  <c r="B10" i="8"/>
  <c r="D10" i="8"/>
  <c r="C10" i="8"/>
  <c r="I10" i="8" s="1"/>
  <c r="E10" i="8"/>
  <c r="D152" i="8"/>
  <c r="D128" i="8"/>
  <c r="C80" i="8"/>
  <c r="C17" i="8"/>
  <c r="D151" i="8"/>
  <c r="E17" i="8"/>
  <c r="B134" i="8"/>
  <c r="E134" i="8"/>
  <c r="B126" i="8"/>
  <c r="G126" i="8" s="1"/>
  <c r="B39" i="8"/>
  <c r="E39" i="8"/>
  <c r="D39" i="8"/>
  <c r="B31" i="8"/>
  <c r="B23" i="8"/>
  <c r="G23" i="8" s="1"/>
  <c r="E23" i="8"/>
  <c r="B16" i="8"/>
  <c r="G16" i="8" s="1"/>
  <c r="B8" i="8"/>
  <c r="E8" i="8"/>
  <c r="D8" i="8"/>
  <c r="C142" i="8"/>
  <c r="C87" i="8"/>
  <c r="C24" i="8"/>
  <c r="C16" i="8"/>
  <c r="I16" i="8" s="1"/>
  <c r="D31" i="8"/>
  <c r="D16" i="8"/>
  <c r="E190" i="8"/>
  <c r="E94" i="8"/>
  <c r="E80" i="8"/>
  <c r="E135" i="8"/>
  <c r="E119" i="8"/>
  <c r="D140" i="8"/>
  <c r="E132" i="8"/>
  <c r="B132" i="8"/>
  <c r="G132" i="8" s="1"/>
  <c r="B124" i="8"/>
  <c r="E124" i="8"/>
  <c r="B92" i="8"/>
  <c r="G92" i="8" s="1"/>
  <c r="E92" i="8"/>
  <c r="B84" i="8"/>
  <c r="D84" i="8"/>
  <c r="C103" i="8"/>
  <c r="D124" i="8"/>
  <c r="D110" i="8"/>
  <c r="E172" i="8"/>
  <c r="E77" i="8"/>
  <c r="E64" i="8"/>
  <c r="E53" i="8"/>
  <c r="E37" i="8"/>
  <c r="B53" i="8"/>
  <c r="G53" i="8" s="1"/>
  <c r="C148" i="8"/>
  <c r="B175" i="8"/>
  <c r="D175" i="8"/>
  <c r="E175" i="8"/>
  <c r="B159" i="8"/>
  <c r="E159" i="8"/>
  <c r="B135" i="8"/>
  <c r="B102" i="8"/>
  <c r="G102" i="8" s="1"/>
  <c r="D102" i="8"/>
  <c r="E102" i="8"/>
  <c r="B94" i="8"/>
  <c r="D94" i="8"/>
  <c r="B86" i="8"/>
  <c r="G86" i="8" s="1"/>
  <c r="E86" i="8"/>
  <c r="B79" i="8"/>
  <c r="G79" i="8" s="1"/>
  <c r="B71" i="8"/>
  <c r="G71" i="8" s="1"/>
  <c r="E71" i="8"/>
  <c r="B55" i="8"/>
  <c r="G55" i="8" s="1"/>
  <c r="D150" i="8"/>
  <c r="E55" i="8"/>
  <c r="C159" i="8"/>
  <c r="I159" i="8" s="1"/>
  <c r="D183" i="8"/>
  <c r="D79" i="8"/>
  <c r="G157" i="8"/>
  <c r="B61" i="8"/>
  <c r="E61" i="8"/>
  <c r="G6" i="8"/>
  <c r="C140" i="8"/>
  <c r="I140" i="8" s="1"/>
  <c r="C77" i="8"/>
  <c r="D182" i="8"/>
  <c r="D87" i="8"/>
  <c r="D53" i="8"/>
  <c r="B140" i="8"/>
  <c r="D171" i="8"/>
  <c r="C171" i="8"/>
  <c r="B171" i="8"/>
  <c r="D163" i="8"/>
  <c r="C163" i="8"/>
  <c r="I163" i="8" s="1"/>
  <c r="D155" i="8"/>
  <c r="C155" i="8"/>
  <c r="E155" i="8"/>
  <c r="D131" i="8"/>
  <c r="C131" i="8"/>
  <c r="D107" i="8"/>
  <c r="C107" i="8"/>
  <c r="I107" i="8" s="1"/>
  <c r="D99" i="8"/>
  <c r="C99" i="8"/>
  <c r="D83" i="8"/>
  <c r="C83" i="8"/>
  <c r="E60" i="8"/>
  <c r="D60" i="8"/>
  <c r="B60" i="8"/>
  <c r="G60" i="8" s="1"/>
  <c r="C60" i="8"/>
  <c r="C102" i="8"/>
  <c r="I102" i="8" s="1"/>
  <c r="C84" i="8"/>
  <c r="C48" i="8"/>
  <c r="C39" i="8"/>
  <c r="I39" i="8" s="1"/>
  <c r="D190" i="8"/>
  <c r="D156" i="8"/>
  <c r="D86" i="8"/>
  <c r="D37" i="8"/>
  <c r="D24" i="8"/>
  <c r="E63" i="8"/>
  <c r="E36" i="8"/>
  <c r="E178" i="8"/>
  <c r="B178" i="8"/>
  <c r="G178" i="8" s="1"/>
  <c r="E170" i="8"/>
  <c r="B170" i="8"/>
  <c r="E146" i="8"/>
  <c r="B146" i="8"/>
  <c r="E138" i="8"/>
  <c r="D138" i="8"/>
  <c r="E130" i="8"/>
  <c r="D130" i="8"/>
  <c r="E122" i="8"/>
  <c r="B122" i="8"/>
  <c r="E114" i="8"/>
  <c r="B114" i="8"/>
  <c r="E98" i="8"/>
  <c r="B98" i="8"/>
  <c r="E90" i="8"/>
  <c r="E82" i="8"/>
  <c r="B82" i="8"/>
  <c r="E75" i="8"/>
  <c r="D75" i="8"/>
  <c r="B75" i="8"/>
  <c r="E67" i="8"/>
  <c r="D67" i="8"/>
  <c r="E51" i="8"/>
  <c r="B51" i="8"/>
  <c r="E43" i="8"/>
  <c r="E35" i="8"/>
  <c r="D35" i="8"/>
  <c r="E19" i="8"/>
  <c r="B19" i="8"/>
  <c r="G19" i="8" s="1"/>
  <c r="D19" i="8"/>
  <c r="C156" i="8"/>
  <c r="C146" i="8"/>
  <c r="C137" i="8"/>
  <c r="C119" i="8"/>
  <c r="C110" i="8"/>
  <c r="C92" i="8"/>
  <c r="C82" i="8"/>
  <c r="I82" i="8" s="1"/>
  <c r="C74" i="8"/>
  <c r="C47" i="8"/>
  <c r="C19" i="8"/>
  <c r="I19" i="8" s="1"/>
  <c r="C11" i="8"/>
  <c r="D154" i="8"/>
  <c r="D108" i="8"/>
  <c r="D23" i="8"/>
  <c r="E182" i="8"/>
  <c r="E169" i="8"/>
  <c r="E142" i="8"/>
  <c r="E116" i="8"/>
  <c r="E100" i="8"/>
  <c r="E74" i="8"/>
  <c r="E47" i="8"/>
  <c r="E34" i="8"/>
  <c r="B186" i="8"/>
  <c r="B169" i="8"/>
  <c r="B138" i="8"/>
  <c r="B107" i="8"/>
  <c r="B183" i="8"/>
  <c r="B167" i="8"/>
  <c r="G167" i="8" s="1"/>
  <c r="D167" i="8"/>
  <c r="B151" i="8"/>
  <c r="G151" i="8" s="1"/>
  <c r="B143" i="8"/>
  <c r="G143" i="8" s="1"/>
  <c r="E143" i="8"/>
  <c r="B127" i="8"/>
  <c r="B119" i="8"/>
  <c r="B111" i="8"/>
  <c r="E111" i="8"/>
  <c r="D111" i="8"/>
  <c r="B103" i="8"/>
  <c r="D103" i="8"/>
  <c r="B95" i="8"/>
  <c r="G95" i="8" s="1"/>
  <c r="E95" i="8"/>
  <c r="B87" i="8"/>
  <c r="B80" i="8"/>
  <c r="B72" i="8"/>
  <c r="E72" i="8"/>
  <c r="B64" i="8"/>
  <c r="G64" i="8" s="1"/>
  <c r="B56" i="8"/>
  <c r="G56" i="8" s="1"/>
  <c r="B48" i="8"/>
  <c r="G48" i="8" s="1"/>
  <c r="D48" i="8"/>
  <c r="B40" i="8"/>
  <c r="E40" i="8"/>
  <c r="D40" i="8"/>
  <c r="B32" i="8"/>
  <c r="E32" i="8"/>
  <c r="B24" i="8"/>
  <c r="G24" i="8" s="1"/>
  <c r="B17" i="8"/>
  <c r="B9" i="8"/>
  <c r="D9" i="8"/>
  <c r="E9" i="8"/>
  <c r="D127" i="8"/>
  <c r="D56" i="8"/>
  <c r="E56" i="8"/>
  <c r="G179" i="8"/>
  <c r="B174" i="8"/>
  <c r="E174" i="8"/>
  <c r="B166" i="8"/>
  <c r="G166" i="8" s="1"/>
  <c r="D166" i="8"/>
  <c r="B158" i="8"/>
  <c r="D158" i="8"/>
  <c r="B150" i="8"/>
  <c r="G150" i="8" s="1"/>
  <c r="E150" i="8"/>
  <c r="C151" i="8"/>
  <c r="D126" i="8"/>
  <c r="D55" i="8"/>
  <c r="E16" i="8"/>
  <c r="C32" i="8"/>
  <c r="C23" i="8"/>
  <c r="I23" i="8" s="1"/>
  <c r="E79" i="8"/>
  <c r="B188" i="8"/>
  <c r="G188" i="8" s="1"/>
  <c r="E164" i="8"/>
  <c r="B29" i="8"/>
  <c r="E29" i="8"/>
  <c r="D29" i="8"/>
  <c r="B14" i="8"/>
  <c r="C31" i="8"/>
  <c r="I31" i="8" s="1"/>
  <c r="D159" i="8"/>
  <c r="E118" i="8"/>
  <c r="E187" i="8"/>
  <c r="C187" i="8"/>
  <c r="D179" i="8"/>
  <c r="C179" i="8"/>
  <c r="D147" i="8"/>
  <c r="C147" i="8"/>
  <c r="B147" i="8"/>
  <c r="D139" i="8"/>
  <c r="C139" i="8"/>
  <c r="E123" i="8"/>
  <c r="D123" i="8"/>
  <c r="C123" i="8"/>
  <c r="D115" i="8"/>
  <c r="C115" i="8"/>
  <c r="D91" i="8"/>
  <c r="E91" i="8"/>
  <c r="C91" i="8"/>
  <c r="D76" i="8"/>
  <c r="C76" i="8"/>
  <c r="D68" i="8"/>
  <c r="C68" i="8"/>
  <c r="D52" i="8"/>
  <c r="C52" i="8"/>
  <c r="E52" i="8"/>
  <c r="D44" i="8"/>
  <c r="C44" i="8"/>
  <c r="B36" i="8"/>
  <c r="G36" i="8" s="1"/>
  <c r="C36" i="8"/>
  <c r="D28" i="8"/>
  <c r="C28" i="8"/>
  <c r="C20" i="8"/>
  <c r="E20" i="8"/>
  <c r="B13" i="8"/>
  <c r="C13" i="8"/>
  <c r="E5" i="8"/>
  <c r="C5" i="8"/>
  <c r="C175" i="8"/>
  <c r="I175" i="8" s="1"/>
  <c r="C166" i="8"/>
  <c r="C21" i="8"/>
  <c r="D134" i="8"/>
  <c r="D63" i="8"/>
  <c r="E183" i="8"/>
  <c r="E171" i="8"/>
  <c r="E158" i="8"/>
  <c r="B139" i="8"/>
  <c r="E177" i="8"/>
  <c r="E153" i="8"/>
  <c r="B145" i="8"/>
  <c r="G145" i="8" s="1"/>
  <c r="D129" i="8"/>
  <c r="G129" i="8"/>
  <c r="B121" i="8"/>
  <c r="E121" i="8"/>
  <c r="D121" i="8"/>
  <c r="E113" i="8"/>
  <c r="E2" i="8"/>
  <c r="E50" i="8"/>
  <c r="B50" i="8"/>
  <c r="D26" i="8"/>
  <c r="B26" i="8"/>
  <c r="E3" i="8"/>
  <c r="D3" i="8"/>
  <c r="E11" i="8"/>
  <c r="G11" i="8"/>
  <c r="C4" i="8"/>
  <c r="C182" i="8"/>
  <c r="C164" i="8"/>
  <c r="I164" i="8" s="1"/>
  <c r="C154" i="8"/>
  <c r="C145" i="8"/>
  <c r="I145" i="8" s="1"/>
  <c r="C127" i="8"/>
  <c r="I127" i="8" s="1"/>
  <c r="C118" i="8"/>
  <c r="C90" i="8"/>
  <c r="C2" i="8"/>
  <c r="C64" i="8"/>
  <c r="C55" i="8"/>
  <c r="I55" i="8" s="1"/>
  <c r="C37" i="8"/>
  <c r="C27" i="8"/>
  <c r="C3" i="8"/>
  <c r="D188" i="8"/>
  <c r="D178" i="8"/>
  <c r="D153" i="8"/>
  <c r="D143" i="8"/>
  <c r="D132" i="8"/>
  <c r="D118" i="8"/>
  <c r="D106" i="8"/>
  <c r="D95" i="8"/>
  <c r="D82" i="8"/>
  <c r="D72" i="8"/>
  <c r="D61" i="8"/>
  <c r="D47" i="8"/>
  <c r="D21" i="8"/>
  <c r="D6" i="8"/>
  <c r="E167" i="8"/>
  <c r="E156" i="8"/>
  <c r="E140" i="8"/>
  <c r="E127" i="8"/>
  <c r="E115" i="8"/>
  <c r="E99" i="8"/>
  <c r="E58" i="8"/>
  <c r="E21" i="8"/>
  <c r="E6" i="8"/>
  <c r="B185" i="8"/>
  <c r="B106" i="8"/>
  <c r="B90" i="8"/>
  <c r="G90" i="8" s="1"/>
  <c r="B77" i="8"/>
  <c r="G165" i="8"/>
  <c r="D38" i="8"/>
  <c r="D15" i="8"/>
  <c r="E15" i="8"/>
  <c r="D157" i="8"/>
  <c r="E133" i="8"/>
  <c r="E101" i="8"/>
  <c r="G15" i="8"/>
  <c r="G78" i="8"/>
  <c r="M5" i="8" l="1"/>
  <c r="I7" i="8"/>
  <c r="K7" i="8" s="1"/>
  <c r="G183" i="8"/>
  <c r="I45" i="8"/>
  <c r="K45" i="8" s="1"/>
  <c r="J191" i="8"/>
  <c r="I90" i="8"/>
  <c r="K90" i="8" s="1"/>
  <c r="I125" i="8"/>
  <c r="K125" i="8" s="1"/>
  <c r="K35" i="8"/>
  <c r="I24" i="8"/>
  <c r="K24" i="8" s="1"/>
  <c r="K162" i="8"/>
  <c r="I139" i="8"/>
  <c r="K139" i="8" s="1"/>
  <c r="I32" i="8"/>
  <c r="K32" i="8" s="1"/>
  <c r="I168" i="8"/>
  <c r="K168" i="8" s="1"/>
  <c r="G68" i="8"/>
  <c r="I33" i="8"/>
  <c r="K33" i="8" s="1"/>
  <c r="I138" i="8"/>
  <c r="K138" i="8" s="1"/>
  <c r="I186" i="8"/>
  <c r="K186" i="8" s="1"/>
  <c r="G3" i="8"/>
  <c r="G2" i="8"/>
  <c r="M13" i="8"/>
  <c r="O24" i="2"/>
  <c r="I119" i="8"/>
  <c r="K119" i="8" s="1"/>
  <c r="I22" i="8"/>
  <c r="K22" i="8" s="1"/>
  <c r="R16" i="2"/>
  <c r="S16" i="2" s="1"/>
  <c r="I87" i="8"/>
  <c r="K87" i="8" s="1"/>
  <c r="I178" i="8"/>
  <c r="K178" i="8" s="1"/>
  <c r="I185" i="8"/>
  <c r="K185" i="8" s="1"/>
  <c r="K34" i="8"/>
  <c r="K72" i="8"/>
  <c r="K184" i="8"/>
  <c r="K96" i="8"/>
  <c r="K8" i="8"/>
  <c r="K161" i="8"/>
  <c r="K120" i="8"/>
  <c r="K97" i="8"/>
  <c r="K95" i="8"/>
  <c r="K9" i="8"/>
  <c r="K81" i="8"/>
  <c r="I149" i="8"/>
  <c r="K149" i="8" s="1"/>
  <c r="K98" i="8"/>
  <c r="I4" i="8"/>
  <c r="K4" i="8" s="1"/>
  <c r="K160" i="8"/>
  <c r="K18" i="8"/>
  <c r="K144" i="8"/>
  <c r="K134" i="8"/>
  <c r="I59" i="8"/>
  <c r="K59" i="8" s="1"/>
  <c r="I26" i="8"/>
  <c r="K26" i="8" s="1"/>
  <c r="I63" i="8"/>
  <c r="K63" i="8" s="1"/>
  <c r="I156" i="8"/>
  <c r="K156" i="8" s="1"/>
  <c r="K71" i="8"/>
  <c r="I180" i="8"/>
  <c r="K180" i="8" s="1"/>
  <c r="I85" i="8"/>
  <c r="K85" i="8" s="1"/>
  <c r="I73" i="8"/>
  <c r="K73" i="8" s="1"/>
  <c r="I190" i="8"/>
  <c r="K190" i="8" s="1"/>
  <c r="I189" i="8"/>
  <c r="K189" i="8" s="1"/>
  <c r="I69" i="8"/>
  <c r="K69" i="8" s="1"/>
  <c r="I141" i="8"/>
  <c r="K141" i="8" s="1"/>
  <c r="I46" i="8"/>
  <c r="K46" i="8" s="1"/>
  <c r="K70" i="8"/>
  <c r="F70" i="8"/>
  <c r="K49" i="8"/>
  <c r="K159" i="8"/>
  <c r="K165" i="8"/>
  <c r="F38" i="8"/>
  <c r="K133" i="8"/>
  <c r="K143" i="8"/>
  <c r="K175" i="8"/>
  <c r="F85" i="8"/>
  <c r="I62" i="8"/>
  <c r="K62" i="8" s="1"/>
  <c r="K23" i="8"/>
  <c r="K104" i="8"/>
  <c r="K136" i="8"/>
  <c r="K176" i="8"/>
  <c r="K140" i="8"/>
  <c r="K101" i="8"/>
  <c r="K113" i="8"/>
  <c r="F78" i="8"/>
  <c r="K39" i="8"/>
  <c r="F46" i="8"/>
  <c r="F109" i="8"/>
  <c r="F93" i="8"/>
  <c r="K25" i="8"/>
  <c r="K128" i="8"/>
  <c r="K173" i="8"/>
  <c r="K10" i="8"/>
  <c r="K126" i="8"/>
  <c r="K16" i="8"/>
  <c r="F42" i="8"/>
  <c r="F30" i="8"/>
  <c r="K38" i="8"/>
  <c r="F62" i="8"/>
  <c r="K127" i="8"/>
  <c r="I78" i="8"/>
  <c r="K78" i="8" s="1"/>
  <c r="K65" i="8"/>
  <c r="I109" i="8"/>
  <c r="K109" i="8" s="1"/>
  <c r="I117" i="8"/>
  <c r="K117" i="8" s="1"/>
  <c r="K124" i="8"/>
  <c r="I13" i="8"/>
  <c r="K13" i="8" s="1"/>
  <c r="I84" i="8"/>
  <c r="K84" i="8" s="1"/>
  <c r="I93" i="8"/>
  <c r="K93" i="8" s="1"/>
  <c r="I75" i="8"/>
  <c r="K75" i="8" s="1"/>
  <c r="I177" i="8"/>
  <c r="K177" i="8" s="1"/>
  <c r="I30" i="8"/>
  <c r="K30" i="8" s="1"/>
  <c r="G93" i="8"/>
  <c r="I92" i="8"/>
  <c r="K92" i="8" s="1"/>
  <c r="K41" i="8"/>
  <c r="I57" i="8"/>
  <c r="K57" i="8" s="1"/>
  <c r="I15" i="8"/>
  <c r="K15" i="8" s="1"/>
  <c r="I91" i="8"/>
  <c r="K91" i="8" s="1"/>
  <c r="I88" i="8"/>
  <c r="K88" i="8" s="1"/>
  <c r="I157" i="8"/>
  <c r="K157" i="8" s="1"/>
  <c r="F157" i="8"/>
  <c r="K102" i="8"/>
  <c r="K55" i="8"/>
  <c r="K31" i="8"/>
  <c r="I60" i="8"/>
  <c r="K60" i="8" s="1"/>
  <c r="K112" i="8"/>
  <c r="I108" i="8"/>
  <c r="K108" i="8" s="1"/>
  <c r="I172" i="8"/>
  <c r="K172" i="8" s="1"/>
  <c r="K67" i="8"/>
  <c r="I188" i="8"/>
  <c r="K188" i="8" s="1"/>
  <c r="K14" i="8"/>
  <c r="K164" i="8"/>
  <c r="K19" i="8"/>
  <c r="K116" i="8"/>
  <c r="K114" i="8"/>
  <c r="I51" i="8"/>
  <c r="K51" i="8" s="1"/>
  <c r="F89" i="8"/>
  <c r="K132" i="8"/>
  <c r="F105" i="8"/>
  <c r="F50" i="8"/>
  <c r="F161" i="8"/>
  <c r="K145" i="8"/>
  <c r="K107" i="8"/>
  <c r="K163" i="8"/>
  <c r="K53" i="8"/>
  <c r="K89" i="8"/>
  <c r="K61" i="8"/>
  <c r="K82" i="8"/>
  <c r="I12" i="8"/>
  <c r="K12" i="8" s="1"/>
  <c r="F43" i="8"/>
  <c r="I169" i="8"/>
  <c r="K169" i="8" s="1"/>
  <c r="K6" i="8"/>
  <c r="I170" i="8"/>
  <c r="K170" i="8" s="1"/>
  <c r="I80" i="8"/>
  <c r="K80" i="8" s="1"/>
  <c r="I129" i="8"/>
  <c r="K129" i="8" s="1"/>
  <c r="I94" i="8"/>
  <c r="K94" i="8" s="1"/>
  <c r="I147" i="8"/>
  <c r="K147" i="8" s="1"/>
  <c r="I105" i="8"/>
  <c r="K105" i="8" s="1"/>
  <c r="G50" i="8"/>
  <c r="I50" i="8"/>
  <c r="K50" i="8" s="1"/>
  <c r="F101" i="8"/>
  <c r="F133" i="8"/>
  <c r="I64" i="8"/>
  <c r="K64" i="8" s="1"/>
  <c r="F113" i="8"/>
  <c r="I36" i="8"/>
  <c r="K36" i="8" s="1"/>
  <c r="F125" i="8"/>
  <c r="I171" i="8"/>
  <c r="K171" i="8" s="1"/>
  <c r="F59" i="8"/>
  <c r="I66" i="8"/>
  <c r="K66" i="8" s="1"/>
  <c r="F141" i="8"/>
  <c r="I43" i="8"/>
  <c r="K43" i="8" s="1"/>
  <c r="I106" i="8"/>
  <c r="K106" i="8" s="1"/>
  <c r="I131" i="8"/>
  <c r="K131" i="8" s="1"/>
  <c r="I48" i="8"/>
  <c r="K48" i="8" s="1"/>
  <c r="I152" i="8"/>
  <c r="K152" i="8" s="1"/>
  <c r="I122" i="8"/>
  <c r="K122" i="8" s="1"/>
  <c r="I42" i="8"/>
  <c r="K42" i="8" s="1"/>
  <c r="F72" i="8"/>
  <c r="F148" i="8"/>
  <c r="F100" i="8"/>
  <c r="F97" i="8"/>
  <c r="F67" i="8"/>
  <c r="F69" i="8"/>
  <c r="F14" i="8"/>
  <c r="F34" i="8"/>
  <c r="F188" i="8"/>
  <c r="F45" i="8"/>
  <c r="F12" i="8"/>
  <c r="F83" i="8"/>
  <c r="F119" i="8"/>
  <c r="F169" i="8"/>
  <c r="F189" i="8"/>
  <c r="F17" i="8"/>
  <c r="F117" i="8"/>
  <c r="F163" i="8"/>
  <c r="F172" i="8"/>
  <c r="F174" i="8"/>
  <c r="F132" i="8"/>
  <c r="F177" i="8"/>
  <c r="F142" i="8"/>
  <c r="F165" i="8"/>
  <c r="F108" i="8"/>
  <c r="F57" i="8"/>
  <c r="F164" i="8"/>
  <c r="F156" i="8"/>
  <c r="F35" i="8"/>
  <c r="F180" i="8"/>
  <c r="G149" i="8"/>
  <c r="F149" i="8"/>
  <c r="F187" i="8"/>
  <c r="I187" i="8"/>
  <c r="K187" i="8" s="1"/>
  <c r="F40" i="8"/>
  <c r="G189" i="8"/>
  <c r="G17" i="8"/>
  <c r="F111" i="8"/>
  <c r="F162" i="8"/>
  <c r="I56" i="8"/>
  <c r="K56" i="8" s="1"/>
  <c r="I154" i="8"/>
  <c r="K154" i="8" s="1"/>
  <c r="F13" i="8"/>
  <c r="F55" i="8"/>
  <c r="F22" i="8"/>
  <c r="F2" i="8"/>
  <c r="I2" i="8"/>
  <c r="F44" i="8"/>
  <c r="I44" i="8"/>
  <c r="K44" i="8" s="1"/>
  <c r="F116" i="8"/>
  <c r="F190" i="8"/>
  <c r="F20" i="8"/>
  <c r="I20" i="8"/>
  <c r="K20" i="8" s="1"/>
  <c r="F123" i="8"/>
  <c r="I123" i="8"/>
  <c r="K123" i="8" s="1"/>
  <c r="I151" i="8"/>
  <c r="K151" i="8" s="1"/>
  <c r="F131" i="8"/>
  <c r="F54" i="8"/>
  <c r="I54" i="8"/>
  <c r="K54" i="8" s="1"/>
  <c r="I158" i="8"/>
  <c r="K158" i="8" s="1"/>
  <c r="I86" i="8"/>
  <c r="K86" i="8" s="1"/>
  <c r="I40" i="8"/>
  <c r="K40" i="8" s="1"/>
  <c r="F3" i="8"/>
  <c r="I3" i="8"/>
  <c r="K3" i="8" s="1"/>
  <c r="F118" i="8"/>
  <c r="I118" i="8"/>
  <c r="K118" i="8" s="1"/>
  <c r="F52" i="8"/>
  <c r="I52" i="8"/>
  <c r="K52" i="8" s="1"/>
  <c r="F155" i="8"/>
  <c r="I155" i="8"/>
  <c r="K155" i="8" s="1"/>
  <c r="F181" i="8"/>
  <c r="I181" i="8"/>
  <c r="K181" i="8" s="1"/>
  <c r="F27" i="8"/>
  <c r="I27" i="8"/>
  <c r="K27" i="8" s="1"/>
  <c r="F99" i="8"/>
  <c r="I99" i="8"/>
  <c r="K99" i="8" s="1"/>
  <c r="I58" i="8"/>
  <c r="K58" i="8" s="1"/>
  <c r="I121" i="8"/>
  <c r="K121" i="8" s="1"/>
  <c r="I130" i="8"/>
  <c r="K130" i="8" s="1"/>
  <c r="F37" i="8"/>
  <c r="I37" i="8"/>
  <c r="K37" i="8" s="1"/>
  <c r="F63" i="8"/>
  <c r="F130" i="8"/>
  <c r="F110" i="8"/>
  <c r="I110" i="8"/>
  <c r="K110" i="8" s="1"/>
  <c r="I103" i="8"/>
  <c r="K103" i="8" s="1"/>
  <c r="I174" i="8"/>
  <c r="K174" i="8" s="1"/>
  <c r="F58" i="8"/>
  <c r="F68" i="8"/>
  <c r="I68" i="8"/>
  <c r="K68" i="8" s="1"/>
  <c r="F115" i="8"/>
  <c r="I115" i="8"/>
  <c r="K115" i="8" s="1"/>
  <c r="I142" i="8"/>
  <c r="K142" i="8" s="1"/>
  <c r="F31" i="8"/>
  <c r="I111" i="8"/>
  <c r="K111" i="8" s="1"/>
  <c r="F21" i="8"/>
  <c r="I21" i="8"/>
  <c r="K21" i="8" s="1"/>
  <c r="F11" i="8"/>
  <c r="I11" i="8"/>
  <c r="K11" i="8" s="1"/>
  <c r="F137" i="8"/>
  <c r="I137" i="8"/>
  <c r="K137" i="8" s="1"/>
  <c r="F25" i="8"/>
  <c r="F120" i="8"/>
  <c r="I150" i="8"/>
  <c r="K150" i="8" s="1"/>
  <c r="I79" i="8"/>
  <c r="K79" i="8" s="1"/>
  <c r="I153" i="8"/>
  <c r="K153" i="8" s="1"/>
  <c r="I135" i="8"/>
  <c r="K135" i="8" s="1"/>
  <c r="I29" i="8"/>
  <c r="K29" i="8" s="1"/>
  <c r="I182" i="8"/>
  <c r="K182" i="8" s="1"/>
  <c r="F139" i="8"/>
  <c r="I166" i="8"/>
  <c r="K166" i="8" s="1"/>
  <c r="F76" i="8"/>
  <c r="I76" i="8"/>
  <c r="K76" i="8" s="1"/>
  <c r="I146" i="8"/>
  <c r="K146" i="8" s="1"/>
  <c r="F66" i="8"/>
  <c r="F182" i="8"/>
  <c r="F129" i="8"/>
  <c r="F65" i="8"/>
  <c r="I183" i="8"/>
  <c r="K183" i="8" s="1"/>
  <c r="F154" i="8"/>
  <c r="F173" i="8"/>
  <c r="F47" i="8"/>
  <c r="I47" i="8"/>
  <c r="K47" i="8" s="1"/>
  <c r="I77" i="8"/>
  <c r="K77" i="8" s="1"/>
  <c r="F153" i="8"/>
  <c r="F5" i="8"/>
  <c r="I5" i="8"/>
  <c r="K5" i="8" s="1"/>
  <c r="F28" i="8"/>
  <c r="I28" i="8"/>
  <c r="K28" i="8" s="1"/>
  <c r="F179" i="8"/>
  <c r="I179" i="8"/>
  <c r="K179" i="8" s="1"/>
  <c r="F7" i="8"/>
  <c r="G174" i="8"/>
  <c r="F74" i="8"/>
  <c r="I74" i="8"/>
  <c r="K74" i="8" s="1"/>
  <c r="F4" i="8"/>
  <c r="I83" i="8"/>
  <c r="K83" i="8" s="1"/>
  <c r="I148" i="8"/>
  <c r="K148" i="8" s="1"/>
  <c r="I17" i="8"/>
  <c r="K17" i="8" s="1"/>
  <c r="G65" i="8"/>
  <c r="F91" i="8"/>
  <c r="I100" i="8"/>
  <c r="K100" i="8" s="1"/>
  <c r="I167" i="8"/>
  <c r="K167" i="8" s="1"/>
  <c r="F171" i="8"/>
  <c r="G171" i="8"/>
  <c r="F94" i="8"/>
  <c r="F134" i="8"/>
  <c r="G25" i="8"/>
  <c r="F152" i="8"/>
  <c r="F121" i="8"/>
  <c r="G121" i="8"/>
  <c r="F127" i="8"/>
  <c r="F175" i="8"/>
  <c r="F135" i="8"/>
  <c r="G94" i="8"/>
  <c r="F39" i="8"/>
  <c r="G57" i="8"/>
  <c r="F184" i="8"/>
  <c r="F77" i="8"/>
  <c r="G77" i="8"/>
  <c r="F26" i="8"/>
  <c r="G26" i="8"/>
  <c r="G39" i="8"/>
  <c r="F29" i="8"/>
  <c r="G29" i="8"/>
  <c r="F158" i="8"/>
  <c r="F9" i="8"/>
  <c r="G9" i="8"/>
  <c r="F87" i="8"/>
  <c r="F183" i="8"/>
  <c r="F178" i="8"/>
  <c r="G135" i="8"/>
  <c r="F16" i="8"/>
  <c r="F73" i="8"/>
  <c r="F144" i="8"/>
  <c r="F48" i="8"/>
  <c r="F51" i="8"/>
  <c r="G51" i="8"/>
  <c r="F10" i="8"/>
  <c r="F41" i="8"/>
  <c r="F6" i="8"/>
  <c r="F32" i="8"/>
  <c r="F80" i="8"/>
  <c r="F103" i="8"/>
  <c r="F8" i="8"/>
  <c r="G8" i="8"/>
  <c r="F112" i="8"/>
  <c r="G120" i="8"/>
  <c r="F136" i="8"/>
  <c r="G152" i="8"/>
  <c r="F56" i="8"/>
  <c r="G134" i="8"/>
  <c r="F71" i="8"/>
  <c r="F33" i="8"/>
  <c r="F128" i="8"/>
  <c r="G136" i="8"/>
  <c r="F168" i="8"/>
  <c r="F90" i="8"/>
  <c r="F145" i="8"/>
  <c r="F64" i="8"/>
  <c r="G87" i="8"/>
  <c r="F143" i="8"/>
  <c r="F98" i="8"/>
  <c r="G98" i="8"/>
  <c r="F60" i="8"/>
  <c r="F140" i="8"/>
  <c r="F61" i="8"/>
  <c r="G61" i="8"/>
  <c r="F79" i="8"/>
  <c r="F102" i="8"/>
  <c r="F53" i="8"/>
  <c r="F92" i="8"/>
  <c r="G140" i="8"/>
  <c r="G158" i="8"/>
  <c r="G33" i="8"/>
  <c r="G73" i="8"/>
  <c r="F88" i="8"/>
  <c r="G112" i="8"/>
  <c r="F185" i="8"/>
  <c r="G185" i="8"/>
  <c r="F147" i="8"/>
  <c r="G147" i="8"/>
  <c r="G14" i="8"/>
  <c r="G72" i="8"/>
  <c r="G119" i="8"/>
  <c r="F82" i="8"/>
  <c r="G82" i="8"/>
  <c r="F122" i="8"/>
  <c r="G122" i="8"/>
  <c r="F124" i="8"/>
  <c r="G124" i="8"/>
  <c r="G80" i="8"/>
  <c r="G103" i="8"/>
  <c r="G175" i="8"/>
  <c r="F106" i="8"/>
  <c r="G106" i="8"/>
  <c r="F159" i="8"/>
  <c r="F23" i="8"/>
  <c r="F49" i="8"/>
  <c r="G128" i="8"/>
  <c r="F160" i="8"/>
  <c r="G184" i="8"/>
  <c r="F186" i="8"/>
  <c r="G186" i="8"/>
  <c r="F170" i="8"/>
  <c r="G170" i="8"/>
  <c r="F96" i="8"/>
  <c r="G169" i="8"/>
  <c r="F150" i="8"/>
  <c r="F167" i="8"/>
  <c r="F84" i="8"/>
  <c r="F18" i="8"/>
  <c r="F15" i="8"/>
  <c r="G32" i="8"/>
  <c r="G127" i="8"/>
  <c r="F19" i="8"/>
  <c r="F166" i="8"/>
  <c r="F107" i="8"/>
  <c r="G107" i="8"/>
  <c r="F75" i="8"/>
  <c r="G75" i="8"/>
  <c r="G84" i="8"/>
  <c r="G13" i="8"/>
  <c r="F36" i="8"/>
  <c r="G139" i="8"/>
  <c r="F24" i="8"/>
  <c r="G40" i="8"/>
  <c r="F95" i="8"/>
  <c r="G111" i="8"/>
  <c r="F151" i="8"/>
  <c r="F138" i="8"/>
  <c r="G138" i="8"/>
  <c r="F114" i="8"/>
  <c r="G114" i="8"/>
  <c r="F146" i="8"/>
  <c r="G146" i="8"/>
  <c r="F86" i="8"/>
  <c r="G159" i="8"/>
  <c r="G31" i="8"/>
  <c r="F126" i="8"/>
  <c r="G10" i="8"/>
  <c r="G49" i="8"/>
  <c r="F81" i="8"/>
  <c r="F104" i="8"/>
  <c r="G144" i="8"/>
  <c r="G160" i="8"/>
  <c r="F176" i="8"/>
  <c r="K2" i="8" l="1"/>
  <c r="I191" i="8"/>
</calcChain>
</file>

<file path=xl/sharedStrings.xml><?xml version="1.0" encoding="utf-8"?>
<sst xmlns="http://schemas.openxmlformats.org/spreadsheetml/2006/main" count="569" uniqueCount="255">
  <si>
    <t>PRODUCTOS</t>
  </si>
  <si>
    <t>PRECIO VENTA</t>
  </si>
  <si>
    <t>COMISION</t>
  </si>
  <si>
    <t>STOCK INICIAL</t>
  </si>
  <si>
    <t>VENTAS</t>
  </si>
  <si>
    <t>SALIDAS</t>
  </si>
  <si>
    <t>STOCK FINAL</t>
  </si>
  <si>
    <t>PRODUCTO</t>
  </si>
  <si>
    <t>MOVIMIENTO</t>
  </si>
  <si>
    <t>CANTIDAD</t>
  </si>
  <si>
    <t>GESTOR</t>
  </si>
  <si>
    <t>BOLSA DE CEMENTO BLANCO</t>
  </si>
  <si>
    <t>BASE PARA PANELES GRANDES</t>
  </si>
  <si>
    <t>BASE PARA PANELES</t>
  </si>
  <si>
    <t>BASE GIRATORIA</t>
  </si>
  <si>
    <t>BATERIA 16K SACO</t>
  </si>
  <si>
    <t>BREKE 63A SENCILLO</t>
  </si>
  <si>
    <t>BREKE 63A DOBLE TIR</t>
  </si>
  <si>
    <t xml:space="preserve">BREKE 32A DOBLE </t>
  </si>
  <si>
    <t xml:space="preserve">BOCINA BOOM 8  PULGADAS   </t>
  </si>
  <si>
    <t xml:space="preserve">BOCINA MILEXUS 8  PULGADAS  </t>
  </si>
  <si>
    <t>BOCINA MILEXUS 8 DUAL</t>
  </si>
  <si>
    <t>BOMBA DE AGUA SILVER POINT  1 HP</t>
  </si>
  <si>
    <t>BOMBA DE AGUA SILVER POINT  1X1/2</t>
  </si>
  <si>
    <t>BICICLETA INFANTIL</t>
  </si>
  <si>
    <t>BICICLETA</t>
  </si>
  <si>
    <t>CONECTORES MC4</t>
  </si>
  <si>
    <t>CAJITA DECODIFICADORA VIVAMAX</t>
  </si>
  <si>
    <t>CAJA DE DISTRIBUCION DE VIAS 12 VIAS</t>
  </si>
  <si>
    <t>COLCHON PERSONAL</t>
  </si>
  <si>
    <t>COLCHON EKO</t>
  </si>
  <si>
    <t>CAJAS DE AZULEJOS 44X44 2.5 M</t>
  </si>
  <si>
    <t>CAFETERA  3 TASAS</t>
  </si>
  <si>
    <t>CAFETERA DE INDUCCION 6 TASAS</t>
  </si>
  <si>
    <t>CAFETERA ELECTRICA RUDENKOV</t>
  </si>
  <si>
    <t>CALENTADOR 80 L</t>
  </si>
  <si>
    <t>CALENTADOR 50 L</t>
  </si>
  <si>
    <t xml:space="preserve">DISPENSSDOR DE AGUA ROYAL </t>
  </si>
  <si>
    <t>ESTACION ENERGIA 6000 W</t>
  </si>
  <si>
    <t>ESTACION ENERGIA PECRON</t>
  </si>
  <si>
    <t>ESTACION ENERGIA ECOFLOW DELTA 2</t>
  </si>
  <si>
    <t>ESTACION ENERGIA ECOFLOW DELTA 3</t>
  </si>
  <si>
    <t>ESTACION MUST 6000 W</t>
  </si>
  <si>
    <t>ESCRITORIO</t>
  </si>
  <si>
    <t>ESTACION ECOFLOW DELTA 2 1800W</t>
  </si>
  <si>
    <t>KIT DE INSTALACION</t>
  </si>
  <si>
    <t>EXHIBIDOR HORIZONTAL 13P</t>
  </si>
  <si>
    <t>EXHIBIDOR VERTICAL 12P</t>
  </si>
  <si>
    <t>EXHIBIDOR MILEXUS 390 L 14PIES</t>
  </si>
  <si>
    <t>EXHIBIDOR DOBLE MILEXUS 560 LITROS</t>
  </si>
  <si>
    <t>EQUIPO DE MUSICA LG</t>
  </si>
  <si>
    <t>FOGON DE PETROLEO</t>
  </si>
  <si>
    <t>FOGON DE GAS DE CRISTAL</t>
  </si>
  <si>
    <t>FOGON DE GAS SENCILLO</t>
  </si>
  <si>
    <t>FOGON DE GAS 2 QUEMADORES</t>
  </si>
  <si>
    <t>FOGON DE GAS 3 QUEMADORES</t>
  </si>
  <si>
    <t>FOGON INFRARROJO MILEXUS 1200 W</t>
  </si>
  <si>
    <t>FOGON INFRARROJO MAF 2000 W</t>
  </si>
  <si>
    <t>FOGON INFRARROJO EKO 1500 W</t>
  </si>
  <si>
    <t>FILTRO DE AGUA</t>
  </si>
  <si>
    <t>FREIDORA DE AIRE JMD 4 L</t>
  </si>
  <si>
    <t>FREIDORA DE AIRE MILEXUS NEGRA 5.7L</t>
  </si>
  <si>
    <t>INVERSOR 3.6K YINGI</t>
  </si>
  <si>
    <t>INVERSOR DE 10 K SUNPAL</t>
  </si>
  <si>
    <t>INVERSOR 12K MUST</t>
  </si>
  <si>
    <t xml:space="preserve">INVERSOR MUST 3000 W </t>
  </si>
  <si>
    <t>LAMPARA RECARGABLE DE 50 CM</t>
  </si>
  <si>
    <t xml:space="preserve">LAMPARA SOLAR 800W </t>
  </si>
  <si>
    <t xml:space="preserve">LAMPARA SOLAR 1000W </t>
  </si>
  <si>
    <t>LAMPARA DE 100W CON PANEL</t>
  </si>
  <si>
    <t>LAMPARA DE 360 W CON PANEL INTEGRADO</t>
  </si>
  <si>
    <t>LAMPARA DE 300 W CON PANEL INTEGRADO</t>
  </si>
  <si>
    <t>LAMPARA DE 200 W CON PANEL INDEPENDIENTE</t>
  </si>
  <si>
    <t>LAMPARA DE 300 W CON PANEL INDEPENDIENTE</t>
  </si>
  <si>
    <t>LAVADORA SECADORA AUTOMÁTICA MILEXUS 10 KG</t>
  </si>
  <si>
    <t>LAVADORA PREMIER AUTOMÁTICA 11 KG</t>
  </si>
  <si>
    <t>LAVADORA SANKEY 7 KG SEMI</t>
  </si>
  <si>
    <t>LAVADORA 7 KG MILEXUS SEMI.</t>
  </si>
  <si>
    <t>LAVADORA 10 KG AUTOMATICA SANKEY</t>
  </si>
  <si>
    <t>LAVADORA 7.5 AUTOMA MILEXUS</t>
  </si>
  <si>
    <t>LAVADORA 8.6 KG JMT SEMI</t>
  </si>
  <si>
    <t>LAVADORA 9 KG SAMSUNG AUTOMATICA</t>
  </si>
  <si>
    <t>LICUADORA MILEXUS 550W CRISTAL</t>
  </si>
  <si>
    <t>LUZ LED EXTERIORES 100 W</t>
  </si>
  <si>
    <t>LUZ LED EXTERIORES 200 W</t>
  </si>
  <si>
    <t>LUCES SOLARES PEQUEÑAS</t>
  </si>
  <si>
    <t>MICROONDAS 20 L MILEXUS</t>
  </si>
  <si>
    <t>MICROONDAS 40 L</t>
  </si>
  <si>
    <t>MICROONDAS 20 L PREMIER</t>
  </si>
  <si>
    <t>MINIBAR MILEXUS</t>
  </si>
  <si>
    <t>HORNO ELECTRICO EKO 22L</t>
  </si>
  <si>
    <t xml:space="preserve">MESCLADORA AMASADORA </t>
  </si>
  <si>
    <t>NEVERA ROYAL 3.5</t>
  </si>
  <si>
    <t>NEVERA ROYAL 5.5</t>
  </si>
  <si>
    <t>NEVERA ROYAL 7.8 220L</t>
  </si>
  <si>
    <t>NEVERA ROYAL 10 P</t>
  </si>
  <si>
    <t>NEVERA 11.2 PIES MILEXUS</t>
  </si>
  <si>
    <t>NEVERA 6 PIES MILEXUS 170L</t>
  </si>
  <si>
    <t>NEVERA MILEXUS 3.5 PIES  100L</t>
  </si>
  <si>
    <t>NEVERA SANKEY 9 P</t>
  </si>
  <si>
    <t>NEVERA MILEXUS 4.2</t>
  </si>
  <si>
    <t>NEVERA  7 PIES MILEXUS 200L</t>
  </si>
  <si>
    <t xml:space="preserve">NEVERA MILEXUS 11.2 PIES </t>
  </si>
  <si>
    <t>NEVERA 17 PIES  ROYAL</t>
  </si>
  <si>
    <t>NEVERA 20 PIES  MILEXUS</t>
  </si>
  <si>
    <t>NEVERA 8.8 PIES  MILEXUS 250 L</t>
  </si>
  <si>
    <t>HIDROLAVADORA ROYAL</t>
  </si>
  <si>
    <t>OLLA ARROCERA 2.2 L MILEXUS</t>
  </si>
  <si>
    <t>OLLA ARROCERA 1.8 L EKO</t>
  </si>
  <si>
    <t>OLLA ARROCERA 1.8 L WYNWOOD</t>
  </si>
  <si>
    <t>OLLA ARROCERA 1.8 L ELECSTAR</t>
  </si>
  <si>
    <t>OLLA ARROCERA 0.6 L MILEXUS</t>
  </si>
  <si>
    <t>OLLA DE PRESION 5 L INDUCCION BRYDERK</t>
  </si>
  <si>
    <t>OLLA DE PRESION 7 L ELECSTAR</t>
  </si>
  <si>
    <t>OLLA REINA 7 L REYAN</t>
  </si>
  <si>
    <t>OLLA REINA CHALLENGER 7L</t>
  </si>
  <si>
    <t>OLLA REINA 6 L MILEXUS</t>
  </si>
  <si>
    <t>OLLA REINA WYNWOOD</t>
  </si>
  <si>
    <t>OLLA REINA EON 6L</t>
  </si>
  <si>
    <t>JUEGO CALDERO EON</t>
  </si>
  <si>
    <t>JUEGO DE MESA Y SILLAS</t>
  </si>
  <si>
    <t>JUEGO DE VAJILLAS</t>
  </si>
  <si>
    <t>JUEGO DE BAÑO</t>
  </si>
  <si>
    <t>PUERTA PLEGABLE</t>
  </si>
  <si>
    <t>PRESURIZADOR</t>
  </si>
  <si>
    <t>PROTECTOR DE VOLTAJE</t>
  </si>
  <si>
    <t>PANELES 490 W</t>
  </si>
  <si>
    <t>PANELES 600 W JMD</t>
  </si>
  <si>
    <t>PANELES 500 W</t>
  </si>
  <si>
    <t xml:space="preserve">PANELES 585 W </t>
  </si>
  <si>
    <t>ROLLO DE CABLE</t>
  </si>
  <si>
    <t xml:space="preserve">ROLLO DE CABLE ROYAL CORD </t>
  </si>
  <si>
    <t>REFRIGERADOR 11.9 PIES EKO</t>
  </si>
  <si>
    <t>REFRIGERADOR 10.5 PIES ENERLIFE</t>
  </si>
  <si>
    <t>REFRIGERADOR 15.2 PIES MILEXUS</t>
  </si>
  <si>
    <t>REFRIGERADOR 11 PIES ROYAL DISPENSADOR</t>
  </si>
  <si>
    <t xml:space="preserve">REFRIGERADOR MILEXUS 16 PIES </t>
  </si>
  <si>
    <t>REFRIGERADOR 15 PIES ROYAL</t>
  </si>
  <si>
    <t>SET DE INSTALACION</t>
  </si>
  <si>
    <t>SISTEMA FELICITY SOLAR 6 K CON 15K</t>
  </si>
  <si>
    <t>SISTEMA INFINITY 6 K CON 14</t>
  </si>
  <si>
    <t xml:space="preserve">SANDWICHERA </t>
  </si>
  <si>
    <t>SECADORA A VAPOR EKO</t>
  </si>
  <si>
    <t>SPLIT 2 T 220V MILEXUS</t>
  </si>
  <si>
    <t>SUPRESOR AC</t>
  </si>
  <si>
    <t>SUPRESOR DC</t>
  </si>
  <si>
    <t>SPLIT MILEXUS 1 T 110 VOLT</t>
  </si>
  <si>
    <t>SPLIT MILEXUS 1 T 220 VOLT</t>
  </si>
  <si>
    <t>SPLIT 1 T MILEXUS INVERTER</t>
  </si>
  <si>
    <t>SILLA GIRATORIA</t>
  </si>
  <si>
    <t>SPLIT 1 T MILEXUS 220 V INVERTER</t>
  </si>
  <si>
    <t>TV ROYAL 65</t>
  </si>
  <si>
    <t>TRANSFER 220V</t>
  </si>
  <si>
    <t>TV 43" HISENSE</t>
  </si>
  <si>
    <t>TV 43" MILEXUS</t>
  </si>
  <si>
    <t>TV 50 SANKEY</t>
  </si>
  <si>
    <t xml:space="preserve">MAQUINA DE FRIO </t>
  </si>
  <si>
    <t>TV 32" MILEXUS</t>
  </si>
  <si>
    <t>TV SANKEY 40</t>
  </si>
  <si>
    <t>TV 32" SANKEY</t>
  </si>
  <si>
    <t>TUBO DE LUZ LED INTEGRAL T8 SACO</t>
  </si>
  <si>
    <t>TANQUE GASOLINA 20L</t>
  </si>
  <si>
    <t>VENTILADOR DE PEDESTAL SILVERAIR</t>
  </si>
  <si>
    <t>VENTILADOR DE PARED SILVERAIR</t>
  </si>
  <si>
    <t>VENTILADOR DE PARED RECARGABLE</t>
  </si>
  <si>
    <t xml:space="preserve">VENTILADOR DE PARED EKO </t>
  </si>
  <si>
    <t>VENTILADOR INDUSTRIAL 30</t>
  </si>
  <si>
    <t>VENTILADOR RECARGABLE CHIQUITO DE 20000 MAH F6</t>
  </si>
  <si>
    <t>VENTILADOR RECARGABLE  SANKEY</t>
  </si>
  <si>
    <t>VENTILADOR RECARGABLE CON PANEL , MARCA FERRE</t>
  </si>
  <si>
    <t>VENTILADOR RECARGABLE CON PANEL y LAMPARA</t>
  </si>
  <si>
    <t>VENTILADOR DE PEDESTAL EKO 18</t>
  </si>
  <si>
    <t>VENTILADOR DE PEDESTAL EKO 16</t>
  </si>
  <si>
    <t>VENTILADOR DE TECHO ROYAL 56</t>
  </si>
  <si>
    <t>VITRINA SANKEY 8P</t>
  </si>
  <si>
    <t>RIEL</t>
  </si>
  <si>
    <t>CONECTOR DE RIEL</t>
  </si>
  <si>
    <t>EXPANCIONADORES</t>
  </si>
  <si>
    <t>PLATINAS</t>
  </si>
  <si>
    <t>SUJETADOR EXTERIOR</t>
  </si>
  <si>
    <t>GANCHO TIERRA</t>
  </si>
  <si>
    <t>PATAS TRASERAS AJUSTABLES</t>
  </si>
  <si>
    <t>PATAS DELANTERA AJUSTABLE</t>
  </si>
  <si>
    <t>SUJETADOR INTERMEDIO</t>
  </si>
  <si>
    <t>VENTA</t>
  </si>
  <si>
    <t>IMPORTE</t>
  </si>
  <si>
    <t>SALIDA</t>
  </si>
  <si>
    <t>ENTRADA</t>
  </si>
  <si>
    <t>TIENDA</t>
  </si>
  <si>
    <t>TIPO DE VENTA O MOV</t>
  </si>
  <si>
    <t>MOV</t>
  </si>
  <si>
    <t>VENTA TOTAL</t>
  </si>
  <si>
    <t>USD</t>
  </si>
  <si>
    <t>TOTAL</t>
  </si>
  <si>
    <t xml:space="preserve">   USD</t>
  </si>
  <si>
    <t xml:space="preserve">   ZELLE</t>
  </si>
  <si>
    <t xml:space="preserve">   MXN</t>
  </si>
  <si>
    <t xml:space="preserve">   CUP EFECTIVO</t>
  </si>
  <si>
    <t xml:space="preserve">   CUP TRANSF</t>
  </si>
  <si>
    <t xml:space="preserve">   EUROPA</t>
  </si>
  <si>
    <t>TIPO CAMBIO</t>
  </si>
  <si>
    <t>EXTRACCION</t>
  </si>
  <si>
    <t>CUP</t>
  </si>
  <si>
    <t xml:space="preserve">   DOMICILIO</t>
  </si>
  <si>
    <t xml:space="preserve">   OTROS GASTOS</t>
  </si>
  <si>
    <t>CUP/USD</t>
  </si>
  <si>
    <t>MXN/USD</t>
  </si>
  <si>
    <t>FONDO INICIAL</t>
  </si>
  <si>
    <t>ENTRADA DINERO</t>
  </si>
  <si>
    <t>FONDO FINAL</t>
  </si>
  <si>
    <t xml:space="preserve">   COMISIONES</t>
  </si>
  <si>
    <t>TOTAL GENERAL</t>
  </si>
  <si>
    <t xml:space="preserve">   CUP</t>
  </si>
  <si>
    <t xml:space="preserve">ENTRADAS </t>
  </si>
  <si>
    <t>STOCK CALCULADO</t>
  </si>
  <si>
    <t>IMPORTE REAL</t>
  </si>
  <si>
    <t>DIFERENCIA DE IMPORTE</t>
  </si>
  <si>
    <t>IMPORTE PRECIO ORIGINAL</t>
  </si>
  <si>
    <t>Columna1</t>
  </si>
  <si>
    <t>COMISION CUP</t>
  </si>
  <si>
    <t>PRECIO VENTA USD</t>
  </si>
  <si>
    <t xml:space="preserve">   CAMBIO</t>
  </si>
  <si>
    <t>VENTA TOTAL SEMANAL</t>
  </si>
  <si>
    <t>GASTOS SEMANALES</t>
  </si>
  <si>
    <t>COMISIONES TOTALES</t>
  </si>
  <si>
    <t>DOMICILIO SEMANAL</t>
  </si>
  <si>
    <t>MN</t>
  </si>
  <si>
    <t>BATERIA 5120W SACO</t>
  </si>
  <si>
    <t>BATERIA SACO 7680W</t>
  </si>
  <si>
    <t>BATERIA DE 15360W SACO</t>
  </si>
  <si>
    <t>BATERIA EXTRA 16K SACO</t>
  </si>
  <si>
    <t>BASE FIJA PARA TV 32'' - 86''</t>
  </si>
  <si>
    <t>BATERIA MUST 10.25 KW</t>
  </si>
  <si>
    <t>ESTACION MUST 2K CON 2.7K</t>
  </si>
  <si>
    <t>FOGON INFRARROJO ROYAL 1500 W</t>
  </si>
  <si>
    <t>INVERSOR 6000W MUST</t>
  </si>
  <si>
    <t xml:space="preserve">LAVADORA 9 KG MILEXUS SEMI </t>
  </si>
  <si>
    <t>LICUADORA MILEXUS 3000W PLASTICA 2 EN 1</t>
  </si>
  <si>
    <t>LICUADORA MILEXUS 400 W CRISTAL</t>
  </si>
  <si>
    <t>PANELES 615 W</t>
  </si>
  <si>
    <t>REFRIGERADOR 7 PIES HISENSE</t>
  </si>
  <si>
    <t>REFRIGERADOR 7 PIES ROYAL</t>
  </si>
  <si>
    <t>TV HISENSE 55</t>
  </si>
  <si>
    <t>REF</t>
  </si>
  <si>
    <t>OBSERVACION</t>
  </si>
  <si>
    <t>ZELLE</t>
  </si>
  <si>
    <t>CUSTODIO</t>
  </si>
  <si>
    <t>DIA</t>
  </si>
  <si>
    <t>TARJETA CUP</t>
  </si>
  <si>
    <t>CUP EFECTIVO</t>
  </si>
  <si>
    <t>FONDO TOTAL</t>
  </si>
  <si>
    <t>PROP`TARJETA</t>
  </si>
  <si>
    <t>LEO</t>
  </si>
  <si>
    <t>CARLOS</t>
  </si>
  <si>
    <t>REBAJAS X COMBO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</si>
</sst>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1"/>
      <name val="Calibri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37">
    <xf numFmtId="0" fontId="0" fillId="0" borderId="0" xfId="0"/>
    <xf numFmtId="0" fontId="4" fillId="0" borderId="0" xfId="0" applyFont="1"/>
    <xf numFmtId="0" fontId="4" fillId="0" borderId="1" xfId="0" applyFont="1" applyBorder="1"/>
    <xf numFmtId="0" fontId="0" fillId="0" borderId="1" xfId="0" applyBorder="1"/>
    <xf numFmtId="0" fontId="2" fillId="2" borderId="1" xfId="2" applyBorder="1"/>
    <xf numFmtId="0" fontId="3" fillId="0" borderId="1" xfId="0" applyFont="1" applyBorder="1"/>
    <xf numFmtId="0" fontId="4" fillId="0" borderId="2" xfId="0" applyFont="1" applyBorder="1"/>
    <xf numFmtId="0" fontId="0" fillId="0" borderId="3" xfId="0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0" fillId="0" borderId="7" xfId="0" applyBorder="1"/>
    <xf numFmtId="0" fontId="7" fillId="0" borderId="0" xfId="0" applyFont="1"/>
    <xf numFmtId="0" fontId="6" fillId="0" borderId="0" xfId="0" applyFont="1"/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4" fillId="0" borderId="0" xfId="0" applyFont="1" applyProtection="1"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/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4" fillId="0" borderId="8" xfId="0" applyFont="1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/>
      <protection locked="0"/>
    </xf>
    <xf numFmtId="0" fontId="0" fillId="0" borderId="8" xfId="0" applyBorder="1" applyAlignment="1" applyProtection="1">
      <alignment horizontal="left"/>
      <protection locked="0"/>
    </xf>
    <xf numFmtId="0" fontId="5" fillId="0" borderId="0" xfId="0" applyFont="1"/>
    <xf numFmtId="44" fontId="9" fillId="0" borderId="0" xfId="1" applyFont="1"/>
    <xf numFmtId="0" fontId="9" fillId="0" borderId="0" xfId="0" applyFont="1"/>
    <xf numFmtId="0" fontId="10" fillId="0" borderId="1" xfId="0" applyFont="1" applyBorder="1" applyAlignment="1" applyProtection="1">
      <alignment horizontal="left"/>
      <protection locked="0"/>
    </xf>
    <xf numFmtId="0" fontId="3" fillId="0" borderId="0" xfId="0" applyFont="1"/>
    <xf numFmtId="0" fontId="2" fillId="2" borderId="0" xfId="2" applyBorder="1"/>
    <xf numFmtId="0" fontId="0" fillId="3" borderId="1" xfId="0" applyFill="1" applyBorder="1"/>
    <xf numFmtId="0" fontId="11" fillId="0" borderId="0" xfId="0" applyFont="1"/>
    <xf numFmtId="0" fontId="11" fillId="0" borderId="1" xfId="0" applyFont="1" applyBorder="1"/>
    <xf numFmtId="0" fontId="5" fillId="0" borderId="1" xfId="0" applyFont="1" applyBorder="1"/>
    <xf numFmtId="44" fontId="0" fillId="0" borderId="1" xfId="1" applyFont="1" applyBorder="1"/>
    <xf numFmtId="0" fontId="11" fillId="0" borderId="9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3">
    <cellStyle name="Moneda" xfId="1" builtinId="4"/>
    <cellStyle name="Neutral" xfId="2" builtinId="28"/>
    <cellStyle name="Normal" xfId="0" builtinId="0"/>
  </cellStyles>
  <dxfs count="65">
    <dxf>
      <fill>
        <patternFill>
          <bgColor rgb="FFFF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</font>
    </dxf>
    <dxf>
      <font>
        <b/>
      </font>
      <alignment horizontal="general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protection locked="0" hidden="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protection locked="0" hidden="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protection locked="0" hidden="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protection locked="0" hidden="0"/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protection locked="0" hidden="0"/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protection locked="0" hidden="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0000000}" name="Tabla16" displayName="Tabla16" ref="A1:D193" totalsRowShown="0" headerRowDxfId="55" dataDxfId="54" tableBorderDxfId="53">
  <autoFilter ref="A1:D193" xr:uid="{00000000-0009-0000-0100-000010000000}"/>
  <tableColumns count="4">
    <tableColumn id="1" xr3:uid="{00000000-0010-0000-0000-000001000000}" name="PRODUCTOS" dataDxfId="52"/>
    <tableColumn id="2" xr3:uid="{00000000-0010-0000-0000-000002000000}" name="STOCK INICIAL" dataDxfId="51"/>
    <tableColumn id="3" xr3:uid="{00000000-0010-0000-0000-000003000000}" name="PRECIO VENTA" dataDxfId="50"/>
    <tableColumn id="4" xr3:uid="{00000000-0010-0000-0000-000004000000}" name="COMISION" dataDxfId="49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1000000}" name="Tabla15" displayName="Tabla15" ref="A1:I192" totalsRowCount="1" headerRowDxfId="48">
  <autoFilter ref="A1:I191" xr:uid="{00000000-0009-0000-0100-00000F000000}"/>
  <tableColumns count="9">
    <tableColumn id="1" xr3:uid="{00000000-0010-0000-0100-000001000000}" name="PRODUCTO" totalsRowLabel="TOTAL"/>
    <tableColumn id="2" xr3:uid="{00000000-0010-0000-0100-000002000000}" name="STOCK INICIAL">
      <calculatedColumnFormula>IFERROR(VLOOKUP(A2, Configuracion!$A:$B, 2, FALSE), 0)</calculatedColumnFormula>
    </tableColumn>
    <tableColumn id="3" xr3:uid="{00000000-0010-0000-0100-000003000000}" name="MOVIMIENTO"/>
    <tableColumn id="4" xr3:uid="{00000000-0010-0000-0100-000004000000}" name="CANTIDAD" dataDxfId="47" totalsRowDxfId="46"/>
    <tableColumn id="5" xr3:uid="{00000000-0010-0000-0100-000005000000}" name="PRECIO VENTA USD"/>
    <tableColumn id="6" xr3:uid="{00000000-0010-0000-0100-000006000000}" name="IMPORTE" totalsRowFunction="custom">
      <totalsRowFormula>SUM(F2:F191)</totalsRowFormula>
    </tableColumn>
    <tableColumn id="7" xr3:uid="{00000000-0010-0000-0100-000007000000}" name="TIPO DE VENTA O MOV"/>
    <tableColumn id="8" xr3:uid="{00000000-0010-0000-0100-000008000000}" name="COMISION CUP" totalsRowFunction="custom">
      <calculatedColumnFormula>IF(AND(G2="Gestor", A2&lt;&gt;""), VLOOKUP(A2, Configuracion!$A:$D, 4, FALSE), 0)*Tabla15[[#This Row],[CANTIDAD]]</calculatedColumnFormula>
      <totalsRowFormula>SUM(H2:H191)</totalsRowFormula>
    </tableColumn>
    <tableColumn id="9" xr3:uid="{00000000-0010-0000-0100-000009000000}" name="STOCK FINAL"/>
  </tableColumns>
  <tableStyleInfo name="TableStyleMedium1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2000000}" name="Tabla17" displayName="Tabla17" ref="K1:L3" totalsRowShown="0" headerRowDxfId="45" headerRowBorderDxfId="44" tableBorderDxfId="43" totalsRowBorderDxfId="42">
  <autoFilter ref="K1:L3" xr:uid="{00000000-0009-0000-0100-000011000000}"/>
  <tableColumns count="2">
    <tableColumn id="1" xr3:uid="{00000000-0010-0000-0200-000001000000}" name="TIPO CAMBIO" dataDxfId="41"/>
    <tableColumn id="2" xr3:uid="{00000000-0010-0000-0200-000002000000}" name="Columna1" dataDxfId="40"/>
  </tableColumns>
  <tableStyleInfo name="TableStyleMedium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3000000}" name="Tabla10" displayName="Tabla10" ref="A1:I192" totalsRowCount="1" headerRowDxfId="39">
  <autoFilter ref="A1:I191" xr:uid="{00000000-0009-0000-0100-00000A000000}"/>
  <tableColumns count="9">
    <tableColumn id="1" xr3:uid="{00000000-0010-0000-0300-000001000000}" name="PRODUCTO"/>
    <tableColumn id="2" xr3:uid="{00000000-0010-0000-0300-000002000000}" name="STOCK INICIAL"/>
    <tableColumn id="3" xr3:uid="{00000000-0010-0000-0300-000003000000}" name="MOVIMIENTO"/>
    <tableColumn id="4" xr3:uid="{00000000-0010-0000-0300-000004000000}" name="CANTIDAD" dataDxfId="38" totalsRowDxfId="37"/>
    <tableColumn id="5" xr3:uid="{00000000-0010-0000-0300-000005000000}" name="PRECIO VENTA"/>
    <tableColumn id="6" xr3:uid="{00000000-0010-0000-0300-000006000000}" name="IMPORTE" totalsRowFunction="custom">
      <totalsRowFormula>SUM(F2:F191)</totalsRowFormula>
    </tableColumn>
    <tableColumn id="7" xr3:uid="{00000000-0010-0000-0300-000007000000}" name="TIPO DE VENTA O MOV"/>
    <tableColumn id="8" xr3:uid="{00000000-0010-0000-0300-000008000000}" name="COMISION" totalsRowFunction="custom">
      <calculatedColumnFormula>IF(AND(G2="Gestor", A2&lt;&gt;""), VLOOKUP(A2, Configuracion!$A:$D, 4, FALSE), 0)*Tabla10[[#This Row],[CANTIDAD]]</calculatedColumnFormula>
      <totalsRowFormula>SUM(H2:H191)</totalsRowFormula>
    </tableColumn>
    <tableColumn id="9" xr3:uid="{00000000-0010-0000-0300-000009000000}" name="STOCK FINAL"/>
  </tableColumns>
  <tableStyleInfo name="TableStyleMedium1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04000000}" name="Tabla1729" displayName="Tabla1729" ref="K1:L3" totalsRowShown="0" headerRowDxfId="36" headerRowBorderDxfId="35" tableBorderDxfId="34" totalsRowBorderDxfId="33">
  <autoFilter ref="K1:L3" xr:uid="{00000000-0009-0000-0100-00001C000000}"/>
  <tableColumns count="2">
    <tableColumn id="1" xr3:uid="{00000000-0010-0000-0400-000001000000}" name="TIPO CAMBIO" dataDxfId="32"/>
    <tableColumn id="2" xr3:uid="{00000000-0010-0000-0400-000002000000}" name="Columna1" dataDxfId="31"/>
  </tableColumns>
  <tableStyleInfo name="TableStyleMedium1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5000000}" name="Tabla1021" displayName="Tabla1021" ref="A1:I190" totalsRowShown="0" headerRowDxfId="64">
  <autoFilter ref="A1:I190" xr:uid="{00000000-0009-0000-0100-000014000000}"/>
  <tableColumns count="9">
    <tableColumn id="1" xr3:uid="{00000000-0010-0000-0500-000001000000}" name="PRODUCTO"/>
    <tableColumn id="2" xr3:uid="{00000000-0010-0000-0500-000002000000}" name="STOCK INICIAL" dataDxfId="63">
      <calculatedColumnFormula>IFERROR(VLOOKUP(A2,martes!$A:$I,9,FALSE),IFERROR(VLOOKUP(A2,lunes!$A:$I,9,FALSE),VLOOKUP(A2,Configuracion!$A:$B,2,FALSE)))</calculatedColumnFormula>
    </tableColumn>
    <tableColumn id="3" xr3:uid="{00000000-0010-0000-0500-000003000000}" name="MOVIMIENTO"/>
    <tableColumn id="4" xr3:uid="{00000000-0010-0000-0500-000004000000}" name="CANTIDAD" dataDxfId="62"/>
    <tableColumn id="5" xr3:uid="{00000000-0010-0000-0500-000005000000}" name="PRECIO VENTA">
      <calculatedColumnFormula>IF(C2="Venta", IFERROR(VLOOKUP(A2, Configuracion!$A:$D, 3, FALSE), 0), 0)</calculatedColumnFormula>
    </tableColumn>
    <tableColumn id="6" xr3:uid="{00000000-0010-0000-0500-000006000000}" name="IMPORTE">
      <calculatedColumnFormula>E2*D2</calculatedColumnFormula>
    </tableColumn>
    <tableColumn id="7" xr3:uid="{00000000-0010-0000-0500-000007000000}" name="TIPO DE VENTA O MOV"/>
    <tableColumn id="8" xr3:uid="{00000000-0010-0000-0500-000008000000}" name="COMISION">
      <calculatedColumnFormula>IF(AND(G2="Gestor", A2&lt;&gt;""), VLOOKUP(A2, Configuracion!$A:$D, 4, FALSE), 0)*Tabla1021[[#This Row],[CANTIDAD]]</calculatedColumnFormula>
    </tableColumn>
    <tableColumn id="9" xr3:uid="{00000000-0010-0000-0500-000009000000}" name="STOCK FINAL"/>
  </tableColumns>
  <tableStyleInfo name="TableStyleMedium1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06000000}" name="Tabla1730" displayName="Tabla1730" ref="K1:L3" totalsRowShown="0" headerRowDxfId="61" headerRowBorderDxfId="60" tableBorderDxfId="59" totalsRowBorderDxfId="58">
  <autoFilter ref="K1:L3" xr:uid="{00000000-0009-0000-0100-00001D000000}"/>
  <tableColumns count="2">
    <tableColumn id="1" xr3:uid="{00000000-0010-0000-0600-000001000000}" name="TIPO CAMBIO" dataDxfId="57"/>
    <tableColumn id="2" xr3:uid="{00000000-0010-0000-0600-000002000000}" name="Columna1" dataDxfId="56"/>
  </tableColumns>
  <tableStyleInfo name="TableStyleMedium1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7000000}" name="Tabla1023" displayName="Tabla1023" ref="A1:I190" totalsRowShown="0" headerRowDxfId="30">
  <autoFilter ref="A1:I190" xr:uid="{00000000-0009-0000-0100-000016000000}"/>
  <tableColumns count="9">
    <tableColumn id="1" xr3:uid="{00000000-0010-0000-0700-000001000000}" name="PRODUCTO"/>
    <tableColumn id="2" xr3:uid="{00000000-0010-0000-0700-000002000000}" name="STOCK INICIAL" dataDxfId="29">
      <calculatedColumnFormula>IFERROR(VLOOKUP(A2,miercoles!$A:$I,9,FALSE),IFERROR(VLOOKUP(A2,martes!$A:$I,9,FALSE),IFERROR(VLOOKUP(A2,lunes!$A:$I,9,FALSE),VLOOKUP(A2,Configuracion!$A:$B,2,FALSE))))</calculatedColumnFormula>
    </tableColumn>
    <tableColumn id="3" xr3:uid="{00000000-0010-0000-0700-000003000000}" name="MOVIMIENTO"/>
    <tableColumn id="4" xr3:uid="{00000000-0010-0000-0700-000004000000}" name="CANTIDAD" dataDxfId="28"/>
    <tableColumn id="5" xr3:uid="{00000000-0010-0000-0700-000005000000}" name="PRECIO VENTA">
      <calculatedColumnFormula>IF(C2="Venta", IFERROR(VLOOKUP(A2, Configuracion!$A:$D, 3, FALSE), 0), 0)</calculatedColumnFormula>
    </tableColumn>
    <tableColumn id="6" xr3:uid="{00000000-0010-0000-0700-000006000000}" name="IMPORTE">
      <calculatedColumnFormula>E2*D2</calculatedColumnFormula>
    </tableColumn>
    <tableColumn id="7" xr3:uid="{00000000-0010-0000-0700-000007000000}" name="TIPO DE VENTA O MOV"/>
    <tableColumn id="8" xr3:uid="{00000000-0010-0000-0700-000008000000}" name="COMISION">
      <calculatedColumnFormula>IF(AND(G2="Gestor", A2&lt;&gt;""), VLOOKUP(A2, Configuracion!$A:$D, 4, FALSE), 0)*Tabla1023[[#This Row],[CANTIDAD]]</calculatedColumnFormula>
    </tableColumn>
    <tableColumn id="9" xr3:uid="{00000000-0010-0000-0700-000009000000}" name="STOCK FINAL"/>
  </tableColumns>
  <tableStyleInfo name="TableStyleMedium1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08000000}" name="Tabla1731" displayName="Tabla1731" ref="K1:L3" totalsRowShown="0" headerRowDxfId="27" headerRowBorderDxfId="26" tableBorderDxfId="25" totalsRowBorderDxfId="24">
  <autoFilter ref="K1:L3" xr:uid="{00000000-0009-0000-0100-00001E000000}"/>
  <tableColumns count="2">
    <tableColumn id="1" xr3:uid="{00000000-0010-0000-0800-000001000000}" name="TIPO CAMBIO" dataDxfId="23"/>
    <tableColumn id="2" xr3:uid="{00000000-0010-0000-0800-000002000000}" name="Columna1" dataDxfId="22"/>
  </tableColumns>
  <tableStyleInfo name="TableStyleMedium1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1025" displayName="Tabla1025" ref="A1:I190" totalsRowShown="0" headerRowDxfId="21">
  <autoFilter ref="A1:I190" xr:uid="{00000000-0009-0000-0100-000018000000}"/>
  <tableColumns count="9">
    <tableColumn id="1" xr3:uid="{00000000-0010-0000-0900-000001000000}" name="PRODUCTO"/>
    <tableColumn id="2" xr3:uid="{00000000-0010-0000-0900-000002000000}" name="STOCK INICIAL" dataDxfId="20">
      <calculatedColumnFormula>IFERROR(VLOOKUP(A2,jueves!$A:$I,9,FALSE),IFERROR(VLOOKUP(A2,miercoles!$A:$I,9,FALSE),IFERROR(VLOOKUP(A2,martes!$A:$I,9,FALSE),IFERROR(VLOOKUP(A2,lunes!$A:$I,9,FALSE),VLOOKUP(A2,Configuracion!$A:$B,2,FALSE)))))</calculatedColumnFormula>
    </tableColumn>
    <tableColumn id="3" xr3:uid="{00000000-0010-0000-0900-000003000000}" name="MOVIMIENTO"/>
    <tableColumn id="4" xr3:uid="{00000000-0010-0000-0900-000004000000}" name="CANTIDAD" dataDxfId="19"/>
    <tableColumn id="5" xr3:uid="{00000000-0010-0000-0900-000005000000}" name="PRECIO VENTA">
      <calculatedColumnFormula>IF(C2="Venta", IFERROR(VLOOKUP(A2, Configuracion!$A:$D, 3, FALSE), 0), 0)</calculatedColumnFormula>
    </tableColumn>
    <tableColumn id="6" xr3:uid="{00000000-0010-0000-0900-000006000000}" name="IMPORTE">
      <calculatedColumnFormula>E2*D2</calculatedColumnFormula>
    </tableColumn>
    <tableColumn id="7" xr3:uid="{00000000-0010-0000-0900-000007000000}" name="TIPO DE VENTA O MOV"/>
    <tableColumn id="8" xr3:uid="{00000000-0010-0000-0900-000008000000}" name="COMISION">
      <calculatedColumnFormula>IF(AND(G2="Gestor", A2&lt;&gt;""), VLOOKUP(A2, Configuracion!$A:$D, 4, FALSE), 0)*Tabla1025[[#This Row],[CANTIDAD]]</calculatedColumnFormula>
    </tableColumn>
    <tableColumn id="9" xr3:uid="{00000000-0010-0000-0900-000009000000}" name="STOCK FINAL"/>
  </tableColumns>
  <tableStyleInfo name="TableStyleMedium1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0A000000}" name="Tabla173134" displayName="Tabla173134" ref="K1:L3" totalsRowShown="0" headerRowDxfId="18" headerRowBorderDxfId="17" tableBorderDxfId="16" totalsRowBorderDxfId="15">
  <autoFilter ref="K1:L3" xr:uid="{00000000-0009-0000-0100-000021000000}"/>
  <tableColumns count="2">
    <tableColumn id="1" xr3:uid="{00000000-0010-0000-0A00-000001000000}" name="TIPO CAMBIO" dataDxfId="14"/>
    <tableColumn id="2" xr3:uid="{00000000-0010-0000-0A00-000002000000}" name="Columna1" dataDxfId="13"/>
  </tableColumns>
  <tableStyleInfo name="TableStyleMedium1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0B000000}" name="Tabla1027" displayName="Tabla1027" ref="A1:I190" totalsRowShown="0" headerRowDxfId="12">
  <autoFilter ref="A1:I190" xr:uid="{00000000-0009-0000-0100-00001A000000}"/>
  <tableColumns count="9">
    <tableColumn id="1" xr3:uid="{00000000-0010-0000-0B00-000001000000}" name="PRODUCTO"/>
    <tableColumn id="2" xr3:uid="{00000000-0010-0000-0B00-000002000000}" name="STOCK INICIAL" dataDxfId="11">
      <calculatedColumnFormula>IFERROR(VLOOKUP(A2, viernes!$A:$I, 9, FALSE), IFERROR(VLOOKUP(A2, jueves!$A:$I, 9, FALSE), IFERROR(VLOOKUP(A2, miercoles!$A:$I, 9, FALSE), IFERROR(VLOOKUP(A2, martes!$A:$I, 9, FALSE), IFERROR(VLOOKUP(A2, lunes!$A:$I, 9, FALSE), VLOOKUP(A2, Configuracion!$A:$B, 2, FALSE))))))</calculatedColumnFormula>
    </tableColumn>
    <tableColumn id="3" xr3:uid="{00000000-0010-0000-0B00-000003000000}" name="MOVIMIENTO"/>
    <tableColumn id="4" xr3:uid="{00000000-0010-0000-0B00-000004000000}" name="CANTIDAD" dataDxfId="10"/>
    <tableColumn id="5" xr3:uid="{00000000-0010-0000-0B00-000005000000}" name="PRECIO VENTA">
      <calculatedColumnFormula>IF(C2="Venta", IFERROR(VLOOKUP(A2, Configuracion!$A:$D, 3, FALSE), 0), 0)</calculatedColumnFormula>
    </tableColumn>
    <tableColumn id="6" xr3:uid="{00000000-0010-0000-0B00-000006000000}" name="IMPORTE">
      <calculatedColumnFormula>E2*D2</calculatedColumnFormula>
    </tableColumn>
    <tableColumn id="7" xr3:uid="{00000000-0010-0000-0B00-000007000000}" name="TIPO DE VENTA O MOV"/>
    <tableColumn id="8" xr3:uid="{00000000-0010-0000-0B00-000008000000}" name="COMISION">
      <calculatedColumnFormula>IF(AND(G2="Gestor", A2&lt;&gt;""), VLOOKUP(A2, Configuracion!$A:$D, 4, FALSE), 0)*Tabla1027[[#This Row],[CANTIDAD]]</calculatedColumnFormula>
    </tableColumn>
    <tableColumn id="9" xr3:uid="{00000000-0010-0000-0B00-000009000000}" name="STOCK FINAL"/>
  </tableColumns>
  <tableStyleInfo name="TableStyleMedium1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C000000}" name="Tabla173135" displayName="Tabla173135" ref="K1:L3" totalsRowShown="0" headerRowDxfId="9" headerRowBorderDxfId="8" tableBorderDxfId="7" totalsRowBorderDxfId="6">
  <autoFilter ref="K1:L3" xr:uid="{00000000-0009-0000-0100-000022000000}"/>
  <tableColumns count="2">
    <tableColumn id="1" xr3:uid="{00000000-0010-0000-0C00-000001000000}" name="TIPO CAMBIO" dataDxfId="5"/>
    <tableColumn id="2" xr3:uid="{00000000-0010-0000-0C00-000002000000}" name="Columna1" dataDxfId="4"/>
  </tableColumns>
  <tableStyleInfo name="TableStyleMedium1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D000000}" name="Tabla2" displayName="Tabla2" ref="A1:K191" totalsRowCount="1" headerRowDxfId="3">
  <autoFilter ref="A1:K190" xr:uid="{00000000-0009-0000-0100-000002000000}"/>
  <sortState xmlns:xlrd2="http://schemas.microsoft.com/office/spreadsheetml/2017/richdata2" ref="A2:K190">
    <sortCondition descending="1" ref="J1:J190"/>
  </sortState>
  <tableColumns count="11">
    <tableColumn id="1" xr3:uid="{00000000-0010-0000-0D00-000001000000}" name="PRODUCTOS" totalsRowLabel="TOTAL" dataDxfId="2" totalsRowDxfId="1">
      <calculatedColumnFormula>Configuracion!A2</calculatedColumnFormula>
    </tableColumn>
    <tableColumn id="2" xr3:uid="{00000000-0010-0000-0D00-000002000000}" name="STOCK INICIAL">
      <calculatedColumnFormula>VLOOKUP(A2, Configuracion!A:B, 2, FALSE)</calculatedColumnFormula>
    </tableColumn>
    <tableColumn id="3" xr3:uid="{00000000-0010-0000-0D00-000003000000}" name="VENTAS">
      <calculatedColumnFormula>SUMIFS(lunes!D:D, lunes!A:A, A2, lunes!C:C, "VENTA") +
 SUMIFS(martes!D:D, martes!A:A, A2, martes!C:C, "VENTA") +
 SUMIFS(miercoles!D:D, miercoles!A:A, A2, miercoles!C:C, "VENTA") +
 SUMIFS(jueves!D:D, jueves!A:A, A2, jueves!C:C, "VENTA") +
 SUMIFS(viernes!D:D, viernes!A:A, A2, viernes!C:C, "VENTA") +
 SUMIFS(sabado!D:D, sabado!A:A, A2, sabado!C:C, "VENTA")</calculatedColumnFormula>
    </tableColumn>
    <tableColumn id="4" xr3:uid="{00000000-0010-0000-0D00-000004000000}" name="ENTRADAS ">
      <calculatedColumnFormula>SUMIFS(lunes!$D:$D, lunes!$A:$A, $A2, lunes!$C:$C, "ENTRADA") +
 SUMIFS(martes!$D:$D, martes!$A:$A, $A2, martes!$C:$C, "ENTRADA") +
 SUMIFS(miercoles!$D:$D, miercoles!$A:$A, $A2, miercoles!$C:$C, "ENTRADA") +
 SUMIFS(jueves!$D:$D, jueves!$A:$A, $A2, jueves!$C:$C, "ENTRADA") +
 SUMIFS(viernes!$D:$D, viernes!$A:$A, $A2, viernes!$C:$C, "ENTRADA") +
 SUMIFS(sabado!$D:$D, sabado!$A:$A, $A2, sabado!$C:$C, "ENTRADA")</calculatedColumnFormula>
    </tableColumn>
    <tableColumn id="5" xr3:uid="{00000000-0010-0000-0D00-000005000000}" name="SALIDAS">
      <calculatedColumnFormula>SUMIFS(lunes!$D:$D, lunes!$A:$A, $A2, lunes!$C:$C, "SALIDA") +
 SUMIFS(martes!$D:$D, martes!$A:$A, $A2, martes!$C:$C, "SALIDA") +
 SUMIFS(miercoles!$D:$D, miercoles!$A:$A, $A2, miercoles!$C:$C, "SALIDA") +
 SUMIFS(jueves!$D:$D, jueves!$A:$A, $A2, jueves!$C:$C, "SALIDA") +
 SUMIFS(viernes!$D:$D, viernes!$A:$A, $A2, viernes!$C:$C, "SALIDA") +
 SUMIFS(sabado!$D:$D, sabado!$A:$A, $A2, sabado!$C:$C, "SALIDA")</calculatedColumnFormula>
    </tableColumn>
    <tableColumn id="6" xr3:uid="{00000000-0010-0000-0D00-000006000000}" name="STOCK CALCULADO">
      <calculatedColumnFormula>B2-C2+D2-E2</calculatedColumnFormula>
    </tableColumn>
    <tableColumn id="7" xr3:uid="{00000000-0010-0000-0D00-000007000000}" name="STOCK FINAL">
      <calculatedColumnFormula>IFERROR(VLOOKUP(A2, sabado!A:I, 9, 0),
 IFERROR(VLOOKUP(A2, viernes!A:I, 9, 0),
 IFERROR(VLOOKUP(A2, jueves!A:I, 9, 0),
 IFERROR(VLOOKUP(A2, miercoles!A:I, 9, 0),
 IFERROR(VLOOKUP(A2, martes!A:I, 9, 0),
 IFERROR(VLOOKUP(A2, lunes!A:I, 9, 0),
 B2))))))</calculatedColumnFormula>
    </tableColumn>
    <tableColumn id="8" xr3:uid="{00000000-0010-0000-0D00-000008000000}" name="PRECIO VENTA">
      <calculatedColumnFormula>VLOOKUP(A2, Configuracion!A:C, 3, FALSE)</calculatedColumnFormula>
    </tableColumn>
    <tableColumn id="9" xr3:uid="{00000000-0010-0000-0D00-000009000000}" name="IMPORTE PRECIO ORIGINAL" totalsRowFunction="custom">
      <calculatedColumnFormula>C2*H2</calculatedColumnFormula>
      <totalsRowFormula>SUM(I2:I190)</totalsRowFormula>
    </tableColumn>
    <tableColumn id="10" xr3:uid="{00000000-0010-0000-0D00-00000A000000}" name="IMPORTE REAL" totalsRowFunction="custom">
      <calculatedColumnFormula>SUMIFS(lunes!$F:$F, lunes!$A:$A, $A2, lunes!$C:$C, "VENTA") +
 SUMIFS(martes!$F:$F, martes!$A:$A, $A2, martes!$C:$C, "VENTA") +
 SUMIFS(miercoles!$F:$F, miercoles!$A:$A, $A2, miercoles!$C:$C, "VENTA") +
 SUMIFS(jueves!$F:$F, jueves!$A:$A, $A2, jueves!$C:$C, "VENTA") +
 SUMIFS(viernes!$F:$F, viernes!$A:$A, $A2, viernes!$C:$C, "VENTA") +
 SUMIFS(sabado!$F:$F, sabado!$A:$A, $A2, sabado!$C:$C, "VENTA")</calculatedColumnFormula>
      <totalsRowFormula>SUM(J2:J190)</totalsRowFormula>
    </tableColumn>
    <tableColumn id="11" xr3:uid="{00000000-0010-0000-0D00-00000B000000}" name="DIFERENCIA DE IMPORTE">
      <calculatedColumnFormula>I2-J2</calculatedColumnFormula>
    </tableColumn>
  </tableColumns>
  <tableStyleInfo name="TableStyleDark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3"/>
  <sheetViews>
    <sheetView workbookViewId="0">
      <pane ySplit="1" topLeftCell="A2" activePane="bottomLeft" state="frozen"/>
      <selection pane="bottomLeft" activeCell="F4" sqref="F4"/>
    </sheetView>
  </sheetViews>
  <sheetFormatPr baseColWidth="10" defaultColWidth="8.88671875" defaultRowHeight="18" customHeight="1" x14ac:dyDescent="0.3"/>
  <cols>
    <col min="1" max="1" width="35.6640625" style="17" customWidth="1"/>
    <col min="2" max="2" width="15.109375" style="17" customWidth="1"/>
    <col min="3" max="3" width="15.33203125" style="17" customWidth="1"/>
    <col min="4" max="4" width="15" style="17" customWidth="1"/>
    <col min="5" max="5" width="14" customWidth="1"/>
    <col min="6" max="6" width="17.88671875" customWidth="1"/>
    <col min="7" max="7" width="16.33203125" customWidth="1"/>
  </cols>
  <sheetData>
    <row r="1" spans="1:7" ht="18" customHeight="1" x14ac:dyDescent="0.3">
      <c r="A1" s="18" t="s">
        <v>0</v>
      </c>
      <c r="B1" s="18" t="s">
        <v>3</v>
      </c>
      <c r="C1" s="18" t="s">
        <v>1</v>
      </c>
      <c r="D1" s="18" t="s">
        <v>2</v>
      </c>
    </row>
    <row r="2" spans="1:7" ht="18" customHeight="1" x14ac:dyDescent="0.3">
      <c r="A2" s="19" t="s">
        <v>11</v>
      </c>
      <c r="B2" s="21">
        <v>0</v>
      </c>
      <c r="C2" s="21">
        <v>2.86</v>
      </c>
      <c r="D2" s="21">
        <v>100</v>
      </c>
    </row>
    <row r="3" spans="1:7" ht="18" customHeight="1" x14ac:dyDescent="0.35">
      <c r="A3" s="19" t="s">
        <v>227</v>
      </c>
      <c r="B3" s="21">
        <v>3</v>
      </c>
      <c r="C3" s="21">
        <v>1100</v>
      </c>
      <c r="D3" s="21">
        <v>5000</v>
      </c>
      <c r="F3" s="12"/>
      <c r="G3" s="13"/>
    </row>
    <row r="4" spans="1:7" ht="18" customHeight="1" x14ac:dyDescent="0.35">
      <c r="A4" s="19" t="s">
        <v>228</v>
      </c>
      <c r="B4" s="21">
        <v>3</v>
      </c>
      <c r="C4" s="21">
        <v>1400</v>
      </c>
      <c r="D4" s="21">
        <v>5000</v>
      </c>
      <c r="F4" s="12"/>
      <c r="G4" s="13"/>
    </row>
    <row r="5" spans="1:7" ht="18" customHeight="1" x14ac:dyDescent="0.35">
      <c r="A5" s="19" t="s">
        <v>229</v>
      </c>
      <c r="B5" s="21">
        <v>2</v>
      </c>
      <c r="C5" s="21"/>
      <c r="D5" s="21">
        <v>5000</v>
      </c>
      <c r="F5" s="12"/>
      <c r="G5" s="13"/>
    </row>
    <row r="6" spans="1:7" ht="18" customHeight="1" x14ac:dyDescent="0.35">
      <c r="A6" s="19" t="s">
        <v>230</v>
      </c>
      <c r="B6" s="21">
        <v>2</v>
      </c>
      <c r="C6" s="21">
        <v>1300</v>
      </c>
      <c r="D6" s="21">
        <v>5000</v>
      </c>
      <c r="F6" s="12"/>
      <c r="G6" s="13"/>
    </row>
    <row r="7" spans="1:7" ht="18" customHeight="1" x14ac:dyDescent="0.35">
      <c r="A7" s="19" t="s">
        <v>12</v>
      </c>
      <c r="B7" s="21">
        <v>10</v>
      </c>
      <c r="C7" s="21">
        <v>100</v>
      </c>
      <c r="D7" s="21">
        <v>1000</v>
      </c>
      <c r="F7" s="12"/>
      <c r="G7" s="13"/>
    </row>
    <row r="8" spans="1:7" ht="18" customHeight="1" x14ac:dyDescent="0.35">
      <c r="A8" s="19" t="s">
        <v>13</v>
      </c>
      <c r="B8" s="21">
        <v>0</v>
      </c>
      <c r="C8" s="21">
        <v>50</v>
      </c>
      <c r="D8" s="21">
        <v>1000</v>
      </c>
      <c r="F8" s="12"/>
      <c r="G8" s="13"/>
    </row>
    <row r="9" spans="1:7" ht="18" customHeight="1" x14ac:dyDescent="0.35">
      <c r="A9" s="19" t="s">
        <v>231</v>
      </c>
      <c r="B9" s="21">
        <v>10</v>
      </c>
      <c r="C9" s="21">
        <v>20</v>
      </c>
      <c r="D9" s="21">
        <v>500</v>
      </c>
      <c r="F9" s="12"/>
      <c r="G9" s="13"/>
    </row>
    <row r="10" spans="1:7" ht="18" customHeight="1" x14ac:dyDescent="0.35">
      <c r="A10" s="19" t="s">
        <v>14</v>
      </c>
      <c r="B10" s="21">
        <v>8</v>
      </c>
      <c r="C10" s="21">
        <v>25</v>
      </c>
      <c r="D10" s="21">
        <v>500</v>
      </c>
      <c r="F10" s="12"/>
      <c r="G10" s="13"/>
    </row>
    <row r="11" spans="1:7" ht="18" customHeight="1" x14ac:dyDescent="0.35">
      <c r="A11" s="19" t="s">
        <v>15</v>
      </c>
      <c r="B11" s="21">
        <v>0</v>
      </c>
      <c r="C11" s="21">
        <v>2500</v>
      </c>
      <c r="D11" s="21">
        <v>5000</v>
      </c>
      <c r="F11" s="12"/>
      <c r="G11" s="13"/>
    </row>
    <row r="12" spans="1:7" ht="18" customHeight="1" x14ac:dyDescent="0.35">
      <c r="A12" s="19" t="s">
        <v>16</v>
      </c>
      <c r="B12" s="21">
        <v>1</v>
      </c>
      <c r="C12" s="21">
        <v>20</v>
      </c>
      <c r="D12" s="21"/>
      <c r="F12" s="12"/>
      <c r="G12" s="13"/>
    </row>
    <row r="13" spans="1:7" ht="18" customHeight="1" x14ac:dyDescent="0.35">
      <c r="A13" s="19" t="s">
        <v>232</v>
      </c>
      <c r="B13" s="21">
        <v>1</v>
      </c>
      <c r="C13" s="21">
        <v>2050</v>
      </c>
      <c r="D13" s="21">
        <v>5000</v>
      </c>
      <c r="F13" s="12"/>
      <c r="G13" s="13"/>
    </row>
    <row r="14" spans="1:7" ht="18" customHeight="1" x14ac:dyDescent="0.35">
      <c r="A14" s="19" t="s">
        <v>17</v>
      </c>
      <c r="B14" s="21">
        <v>0</v>
      </c>
      <c r="C14" s="21"/>
      <c r="D14" s="21"/>
      <c r="F14" s="12"/>
      <c r="G14" s="13"/>
    </row>
    <row r="15" spans="1:7" ht="18" customHeight="1" x14ac:dyDescent="0.35">
      <c r="A15" s="19" t="s">
        <v>18</v>
      </c>
      <c r="B15" s="21">
        <v>0</v>
      </c>
      <c r="C15" s="21"/>
      <c r="D15" s="21">
        <v>1000</v>
      </c>
      <c r="F15" s="12"/>
      <c r="G15" s="13"/>
    </row>
    <row r="16" spans="1:7" ht="18" customHeight="1" x14ac:dyDescent="0.35">
      <c r="A16" s="19" t="s">
        <v>19</v>
      </c>
      <c r="B16" s="21">
        <v>0</v>
      </c>
      <c r="C16" s="21">
        <v>35</v>
      </c>
      <c r="D16" s="21">
        <v>1000</v>
      </c>
      <c r="F16" s="14"/>
      <c r="G16" s="15"/>
    </row>
    <row r="17" spans="1:7" ht="18" customHeight="1" x14ac:dyDescent="0.35">
      <c r="A17" s="19" t="s">
        <v>20</v>
      </c>
      <c r="B17" s="21">
        <v>0</v>
      </c>
      <c r="C17" s="21">
        <v>85</v>
      </c>
      <c r="D17" s="21">
        <v>1000</v>
      </c>
      <c r="F17" s="14"/>
      <c r="G17" s="15"/>
    </row>
    <row r="18" spans="1:7" ht="18" customHeight="1" x14ac:dyDescent="0.35">
      <c r="A18" s="19" t="s">
        <v>21</v>
      </c>
      <c r="B18" s="21">
        <v>0</v>
      </c>
      <c r="C18" s="21">
        <v>190</v>
      </c>
      <c r="D18" s="21">
        <v>3000</v>
      </c>
      <c r="F18" s="14"/>
      <c r="G18" s="15"/>
    </row>
    <row r="19" spans="1:7" ht="18" customHeight="1" x14ac:dyDescent="0.35">
      <c r="A19" s="19" t="s">
        <v>22</v>
      </c>
      <c r="B19" s="21">
        <v>2</v>
      </c>
      <c r="C19" s="21">
        <v>60</v>
      </c>
      <c r="D19" s="21">
        <v>1000</v>
      </c>
      <c r="F19" s="12"/>
      <c r="G19" s="13"/>
    </row>
    <row r="20" spans="1:7" ht="18" customHeight="1" x14ac:dyDescent="0.35">
      <c r="A20" s="19" t="s">
        <v>23</v>
      </c>
      <c r="B20" s="21">
        <v>0</v>
      </c>
      <c r="C20" s="21">
        <v>40</v>
      </c>
      <c r="D20" s="21">
        <v>1000</v>
      </c>
      <c r="F20" s="12"/>
      <c r="G20" s="13"/>
    </row>
    <row r="21" spans="1:7" ht="18" customHeight="1" x14ac:dyDescent="0.35">
      <c r="A21" s="19" t="s">
        <v>24</v>
      </c>
      <c r="B21" s="21">
        <v>0</v>
      </c>
      <c r="C21" s="21">
        <v>130</v>
      </c>
      <c r="D21" s="21">
        <v>2000</v>
      </c>
      <c r="F21" s="12"/>
      <c r="G21" s="13"/>
    </row>
    <row r="22" spans="1:7" ht="18" customHeight="1" x14ac:dyDescent="0.35">
      <c r="A22" s="19" t="s">
        <v>25</v>
      </c>
      <c r="B22" s="21">
        <v>0</v>
      </c>
      <c r="C22" s="21">
        <v>180</v>
      </c>
      <c r="D22" s="21">
        <v>2000</v>
      </c>
      <c r="F22" s="12"/>
      <c r="G22" s="13"/>
    </row>
    <row r="23" spans="1:7" ht="18" customHeight="1" x14ac:dyDescent="0.35">
      <c r="A23" s="19" t="s">
        <v>26</v>
      </c>
      <c r="B23" s="21">
        <v>4</v>
      </c>
      <c r="C23" s="21"/>
      <c r="D23" s="21">
        <v>1000</v>
      </c>
      <c r="F23" s="12"/>
      <c r="G23" s="13"/>
    </row>
    <row r="24" spans="1:7" ht="18" customHeight="1" x14ac:dyDescent="0.35">
      <c r="A24" s="19" t="s">
        <v>27</v>
      </c>
      <c r="B24" s="21">
        <v>5</v>
      </c>
      <c r="C24" s="21">
        <v>40</v>
      </c>
      <c r="D24" s="21">
        <v>1000</v>
      </c>
      <c r="F24" s="12"/>
      <c r="G24" s="13"/>
    </row>
    <row r="25" spans="1:7" ht="18" customHeight="1" x14ac:dyDescent="0.35">
      <c r="A25" s="19" t="s">
        <v>28</v>
      </c>
      <c r="B25" s="21">
        <v>3</v>
      </c>
      <c r="C25" s="21"/>
      <c r="D25" s="21">
        <v>1000</v>
      </c>
      <c r="F25" s="12"/>
      <c r="G25" s="13"/>
    </row>
    <row r="26" spans="1:7" ht="18" customHeight="1" x14ac:dyDescent="0.35">
      <c r="A26" s="19" t="s">
        <v>29</v>
      </c>
      <c r="B26" s="21">
        <v>3</v>
      </c>
      <c r="C26" s="21">
        <v>160</v>
      </c>
      <c r="D26" s="21">
        <v>1500</v>
      </c>
      <c r="F26" s="12"/>
      <c r="G26" s="13"/>
    </row>
    <row r="27" spans="1:7" ht="18" customHeight="1" x14ac:dyDescent="0.35">
      <c r="A27" s="19" t="s">
        <v>30</v>
      </c>
      <c r="B27" s="21">
        <v>4</v>
      </c>
      <c r="C27" s="21">
        <v>180</v>
      </c>
      <c r="D27" s="21">
        <v>1500</v>
      </c>
      <c r="F27" s="12"/>
      <c r="G27" s="13"/>
    </row>
    <row r="28" spans="1:7" ht="18" customHeight="1" x14ac:dyDescent="0.35">
      <c r="A28" s="19" t="s">
        <v>31</v>
      </c>
      <c r="B28" s="21">
        <v>2</v>
      </c>
      <c r="C28" s="21">
        <v>36.409999999999997</v>
      </c>
      <c r="D28" s="21">
        <v>1250</v>
      </c>
      <c r="F28" s="12"/>
      <c r="G28" s="13"/>
    </row>
    <row r="29" spans="1:7" ht="18" customHeight="1" x14ac:dyDescent="0.35">
      <c r="A29" s="19" t="s">
        <v>32</v>
      </c>
      <c r="B29" s="21">
        <v>2</v>
      </c>
      <c r="C29" s="21">
        <v>12</v>
      </c>
      <c r="D29" s="21">
        <v>500</v>
      </c>
      <c r="F29" s="12"/>
      <c r="G29" s="13"/>
    </row>
    <row r="30" spans="1:7" ht="18" customHeight="1" x14ac:dyDescent="0.35">
      <c r="A30" s="19" t="s">
        <v>33</v>
      </c>
      <c r="B30" s="21">
        <v>0</v>
      </c>
      <c r="C30" s="21">
        <v>15</v>
      </c>
      <c r="D30" s="21">
        <v>500</v>
      </c>
      <c r="F30" s="12"/>
      <c r="G30" s="13"/>
    </row>
    <row r="31" spans="1:7" ht="18" customHeight="1" x14ac:dyDescent="0.35">
      <c r="A31" s="19" t="s">
        <v>34</v>
      </c>
      <c r="B31" s="21">
        <v>0</v>
      </c>
      <c r="C31" s="21">
        <v>40</v>
      </c>
      <c r="D31" s="21">
        <v>1000</v>
      </c>
      <c r="F31" s="12"/>
      <c r="G31" s="13"/>
    </row>
    <row r="32" spans="1:7" ht="18" customHeight="1" x14ac:dyDescent="0.35">
      <c r="A32" s="19" t="s">
        <v>35</v>
      </c>
      <c r="B32" s="21">
        <v>0</v>
      </c>
      <c r="C32" s="21">
        <v>210</v>
      </c>
      <c r="D32" s="21">
        <v>3000</v>
      </c>
      <c r="F32" s="12"/>
      <c r="G32" s="13"/>
    </row>
    <row r="33" spans="1:7" ht="18" customHeight="1" x14ac:dyDescent="0.35">
      <c r="A33" s="19" t="s">
        <v>36</v>
      </c>
      <c r="B33" s="21">
        <v>6</v>
      </c>
      <c r="C33" s="21">
        <v>180</v>
      </c>
      <c r="D33" s="21">
        <v>3000</v>
      </c>
      <c r="F33" s="12"/>
      <c r="G33" s="13"/>
    </row>
    <row r="34" spans="1:7" ht="18" customHeight="1" x14ac:dyDescent="0.35">
      <c r="A34" s="19" t="s">
        <v>37</v>
      </c>
      <c r="B34" s="21">
        <v>0</v>
      </c>
      <c r="C34" s="21">
        <v>160</v>
      </c>
      <c r="D34" s="21">
        <v>2000</v>
      </c>
      <c r="F34" s="12"/>
      <c r="G34" s="13"/>
    </row>
    <row r="35" spans="1:7" ht="18" customHeight="1" x14ac:dyDescent="0.35">
      <c r="A35" s="19" t="s">
        <v>38</v>
      </c>
      <c r="B35" s="21">
        <v>0</v>
      </c>
      <c r="C35" s="21">
        <v>760</v>
      </c>
      <c r="D35" s="21">
        <v>17800</v>
      </c>
      <c r="F35" s="12"/>
      <c r="G35" s="13"/>
    </row>
    <row r="36" spans="1:7" ht="18" customHeight="1" x14ac:dyDescent="0.35">
      <c r="A36" s="19" t="s">
        <v>39</v>
      </c>
      <c r="B36" s="21">
        <v>0</v>
      </c>
      <c r="C36" s="21">
        <v>1100</v>
      </c>
      <c r="D36" s="21">
        <v>5000</v>
      </c>
      <c r="F36" s="12"/>
      <c r="G36" s="13"/>
    </row>
    <row r="37" spans="1:7" ht="18" customHeight="1" x14ac:dyDescent="0.35">
      <c r="A37" s="19" t="s">
        <v>40</v>
      </c>
      <c r="B37" s="21">
        <v>1</v>
      </c>
      <c r="C37" s="21">
        <v>800</v>
      </c>
      <c r="D37" s="21">
        <v>5000</v>
      </c>
      <c r="F37" s="12"/>
      <c r="G37" s="13"/>
    </row>
    <row r="38" spans="1:7" ht="18" customHeight="1" x14ac:dyDescent="0.35">
      <c r="A38" s="19" t="s">
        <v>41</v>
      </c>
      <c r="B38" s="21">
        <v>2</v>
      </c>
      <c r="C38" s="21">
        <v>820</v>
      </c>
      <c r="D38" s="21">
        <v>5000</v>
      </c>
      <c r="F38" s="12"/>
      <c r="G38" s="13"/>
    </row>
    <row r="39" spans="1:7" ht="18" customHeight="1" x14ac:dyDescent="0.35">
      <c r="A39" s="19" t="s">
        <v>42</v>
      </c>
      <c r="B39" s="21">
        <v>0</v>
      </c>
      <c r="C39" s="21"/>
      <c r="D39" s="21"/>
      <c r="F39" s="12"/>
      <c r="G39" s="13"/>
    </row>
    <row r="40" spans="1:7" ht="18" customHeight="1" x14ac:dyDescent="0.35">
      <c r="A40" s="19" t="s">
        <v>233</v>
      </c>
      <c r="B40" s="21">
        <v>5</v>
      </c>
      <c r="C40" s="21">
        <v>1130</v>
      </c>
      <c r="D40" s="21">
        <v>3000</v>
      </c>
      <c r="F40" s="12"/>
      <c r="G40" s="13"/>
    </row>
    <row r="41" spans="1:7" ht="18" customHeight="1" x14ac:dyDescent="0.35">
      <c r="A41" s="19" t="s">
        <v>43</v>
      </c>
      <c r="B41" s="21">
        <v>2</v>
      </c>
      <c r="C41" s="21">
        <v>230</v>
      </c>
      <c r="D41" s="21">
        <v>2000</v>
      </c>
      <c r="F41" s="12"/>
      <c r="G41" s="13"/>
    </row>
    <row r="42" spans="1:7" ht="18" customHeight="1" x14ac:dyDescent="0.35">
      <c r="A42" s="19" t="s">
        <v>44</v>
      </c>
      <c r="B42" s="21">
        <v>0</v>
      </c>
      <c r="C42" s="21">
        <v>800</v>
      </c>
      <c r="D42" s="21">
        <v>5500</v>
      </c>
      <c r="F42" s="12"/>
      <c r="G42" s="13"/>
    </row>
    <row r="43" spans="1:7" ht="18" customHeight="1" x14ac:dyDescent="0.35">
      <c r="A43" s="19" t="s">
        <v>45</v>
      </c>
      <c r="B43" s="21">
        <v>0</v>
      </c>
      <c r="C43" s="21">
        <v>120</v>
      </c>
      <c r="D43" s="21"/>
      <c r="F43" s="12"/>
      <c r="G43" s="13"/>
    </row>
    <row r="44" spans="1:7" ht="18" customHeight="1" x14ac:dyDescent="0.35">
      <c r="A44" s="19" t="s">
        <v>46</v>
      </c>
      <c r="B44" s="21">
        <v>0</v>
      </c>
      <c r="C44" s="21">
        <v>650</v>
      </c>
      <c r="D44" s="21">
        <v>4000</v>
      </c>
      <c r="F44" s="12"/>
      <c r="G44" s="13"/>
    </row>
    <row r="45" spans="1:7" ht="18" customHeight="1" x14ac:dyDescent="0.35">
      <c r="A45" s="19" t="s">
        <v>47</v>
      </c>
      <c r="B45" s="21">
        <v>0</v>
      </c>
      <c r="C45" s="21">
        <v>600</v>
      </c>
      <c r="D45" s="21">
        <v>4000</v>
      </c>
      <c r="F45" s="12"/>
      <c r="G45" s="13"/>
    </row>
    <row r="46" spans="1:7" ht="18" customHeight="1" x14ac:dyDescent="0.3">
      <c r="A46" s="19" t="s">
        <v>48</v>
      </c>
      <c r="B46" s="21">
        <v>0</v>
      </c>
      <c r="C46" s="21">
        <v>630</v>
      </c>
      <c r="D46" s="21">
        <v>4000</v>
      </c>
    </row>
    <row r="47" spans="1:7" ht="18" customHeight="1" x14ac:dyDescent="0.3">
      <c r="A47" s="19" t="s">
        <v>49</v>
      </c>
      <c r="B47" s="21">
        <v>0</v>
      </c>
      <c r="C47" s="21">
        <v>1120</v>
      </c>
      <c r="D47" s="21">
        <v>5000</v>
      </c>
    </row>
    <row r="48" spans="1:7" ht="18" customHeight="1" x14ac:dyDescent="0.3">
      <c r="A48" s="19" t="s">
        <v>50</v>
      </c>
      <c r="B48" s="21">
        <v>2</v>
      </c>
      <c r="C48" s="21">
        <v>180</v>
      </c>
      <c r="D48" s="21">
        <v>1000</v>
      </c>
    </row>
    <row r="49" spans="1:4" ht="18" customHeight="1" x14ac:dyDescent="0.3">
      <c r="A49" s="19" t="s">
        <v>51</v>
      </c>
      <c r="B49" s="21">
        <v>5</v>
      </c>
      <c r="C49" s="21">
        <v>35</v>
      </c>
      <c r="D49" s="21">
        <v>500</v>
      </c>
    </row>
    <row r="50" spans="1:4" ht="18" customHeight="1" x14ac:dyDescent="0.3">
      <c r="A50" s="19" t="s">
        <v>52</v>
      </c>
      <c r="B50" s="21">
        <v>0</v>
      </c>
      <c r="C50" s="21">
        <v>45</v>
      </c>
      <c r="D50" s="21">
        <v>1000</v>
      </c>
    </row>
    <row r="51" spans="1:4" ht="18" customHeight="1" x14ac:dyDescent="0.3">
      <c r="A51" s="19" t="s">
        <v>53</v>
      </c>
      <c r="B51" s="21">
        <v>0</v>
      </c>
      <c r="C51" s="21">
        <v>20</v>
      </c>
      <c r="D51" s="21">
        <v>1000</v>
      </c>
    </row>
    <row r="52" spans="1:4" ht="18" customHeight="1" x14ac:dyDescent="0.3">
      <c r="A52" s="19" t="s">
        <v>54</v>
      </c>
      <c r="B52" s="21">
        <v>0</v>
      </c>
      <c r="C52" s="21">
        <v>40</v>
      </c>
      <c r="D52" s="21">
        <v>1000</v>
      </c>
    </row>
    <row r="53" spans="1:4" ht="18" customHeight="1" x14ac:dyDescent="0.3">
      <c r="A53" s="19" t="s">
        <v>55</v>
      </c>
      <c r="B53" s="21">
        <v>10</v>
      </c>
      <c r="C53" s="21">
        <v>35</v>
      </c>
      <c r="D53" s="21">
        <v>1000</v>
      </c>
    </row>
    <row r="54" spans="1:4" ht="18" customHeight="1" x14ac:dyDescent="0.3">
      <c r="A54" s="19" t="s">
        <v>56</v>
      </c>
      <c r="B54" s="21">
        <v>3</v>
      </c>
      <c r="C54" s="21">
        <v>50</v>
      </c>
      <c r="D54" s="21">
        <v>1000</v>
      </c>
    </row>
    <row r="55" spans="1:4" ht="18" customHeight="1" x14ac:dyDescent="0.3">
      <c r="A55" s="19" t="s">
        <v>57</v>
      </c>
      <c r="B55" s="21">
        <v>2</v>
      </c>
      <c r="C55" s="21">
        <v>45</v>
      </c>
      <c r="D55" s="21">
        <v>1000</v>
      </c>
    </row>
    <row r="56" spans="1:4" ht="18" customHeight="1" x14ac:dyDescent="0.3">
      <c r="A56" s="19" t="s">
        <v>234</v>
      </c>
      <c r="B56" s="21">
        <v>10</v>
      </c>
      <c r="C56" s="21"/>
      <c r="D56" s="21"/>
    </row>
    <row r="57" spans="1:4" ht="18" customHeight="1" x14ac:dyDescent="0.3">
      <c r="A57" s="19" t="s">
        <v>58</v>
      </c>
      <c r="B57" s="21">
        <v>5</v>
      </c>
      <c r="C57" s="21">
        <v>50</v>
      </c>
      <c r="D57" s="21">
        <v>1000</v>
      </c>
    </row>
    <row r="58" spans="1:4" ht="18" customHeight="1" x14ac:dyDescent="0.3">
      <c r="A58" s="19" t="s">
        <v>59</v>
      </c>
      <c r="B58" s="21">
        <v>10</v>
      </c>
      <c r="C58" s="21">
        <v>50</v>
      </c>
      <c r="D58" s="21">
        <v>1000</v>
      </c>
    </row>
    <row r="59" spans="1:4" ht="18" customHeight="1" x14ac:dyDescent="0.3">
      <c r="A59" s="19" t="s">
        <v>60</v>
      </c>
      <c r="B59" s="21">
        <v>3</v>
      </c>
      <c r="C59" s="21">
        <v>55</v>
      </c>
      <c r="D59" s="21">
        <v>1000</v>
      </c>
    </row>
    <row r="60" spans="1:4" ht="18" customHeight="1" x14ac:dyDescent="0.3">
      <c r="A60" s="19" t="s">
        <v>61</v>
      </c>
      <c r="B60" s="21">
        <v>0</v>
      </c>
      <c r="C60" s="21">
        <v>65</v>
      </c>
      <c r="D60" s="21">
        <v>1000</v>
      </c>
    </row>
    <row r="61" spans="1:4" ht="18" customHeight="1" x14ac:dyDescent="0.3">
      <c r="A61" s="19" t="s">
        <v>62</v>
      </c>
      <c r="B61" s="21">
        <v>1</v>
      </c>
      <c r="C61" s="21">
        <v>550</v>
      </c>
      <c r="D61" s="21">
        <v>5000</v>
      </c>
    </row>
    <row r="62" spans="1:4" ht="18" customHeight="1" x14ac:dyDescent="0.3">
      <c r="A62" s="19" t="s">
        <v>63</v>
      </c>
      <c r="B62" s="21">
        <v>1</v>
      </c>
      <c r="C62" s="21"/>
      <c r="D62" s="21"/>
    </row>
    <row r="63" spans="1:4" ht="18" customHeight="1" x14ac:dyDescent="0.3">
      <c r="A63" s="19" t="s">
        <v>64</v>
      </c>
      <c r="B63" s="21">
        <v>1</v>
      </c>
      <c r="C63" s="21">
        <v>2200</v>
      </c>
      <c r="D63" s="21">
        <v>5000</v>
      </c>
    </row>
    <row r="64" spans="1:4" ht="18" customHeight="1" x14ac:dyDescent="0.3">
      <c r="A64" s="19" t="s">
        <v>65</v>
      </c>
      <c r="B64" s="21">
        <v>7</v>
      </c>
      <c r="C64" s="21">
        <v>650</v>
      </c>
      <c r="D64" s="21">
        <v>15000</v>
      </c>
    </row>
    <row r="65" spans="1:4" ht="18" customHeight="1" x14ac:dyDescent="0.3">
      <c r="A65" s="19" t="s">
        <v>235</v>
      </c>
      <c r="B65" s="21">
        <v>2</v>
      </c>
      <c r="C65" s="21">
        <v>650</v>
      </c>
      <c r="D65" s="21">
        <v>5000</v>
      </c>
    </row>
    <row r="66" spans="1:4" ht="18" customHeight="1" x14ac:dyDescent="0.3">
      <c r="A66" s="19" t="s">
        <v>66</v>
      </c>
      <c r="B66" s="21">
        <v>4</v>
      </c>
      <c r="C66" s="21">
        <v>10</v>
      </c>
      <c r="D66" s="21">
        <v>500</v>
      </c>
    </row>
    <row r="67" spans="1:4" ht="18" customHeight="1" x14ac:dyDescent="0.3">
      <c r="A67" s="19" t="s">
        <v>67</v>
      </c>
      <c r="B67" s="21">
        <v>3</v>
      </c>
      <c r="C67" s="21">
        <v>130</v>
      </c>
      <c r="D67" s="21">
        <v>500</v>
      </c>
    </row>
    <row r="68" spans="1:4" ht="18" customHeight="1" x14ac:dyDescent="0.3">
      <c r="A68" s="19" t="s">
        <v>68</v>
      </c>
      <c r="B68" s="21">
        <v>3</v>
      </c>
      <c r="C68" s="21">
        <v>140</v>
      </c>
      <c r="D68" s="21">
        <v>500</v>
      </c>
    </row>
    <row r="69" spans="1:4" ht="18" customHeight="1" x14ac:dyDescent="0.3">
      <c r="A69" s="19" t="s">
        <v>69</v>
      </c>
      <c r="B69" s="21">
        <v>1</v>
      </c>
      <c r="C69" s="21">
        <v>45</v>
      </c>
      <c r="D69" s="21">
        <v>500</v>
      </c>
    </row>
    <row r="70" spans="1:4" ht="18" customHeight="1" x14ac:dyDescent="0.3">
      <c r="A70" s="19" t="s">
        <v>70</v>
      </c>
      <c r="B70" s="21">
        <v>0</v>
      </c>
      <c r="C70" s="21">
        <v>125</v>
      </c>
      <c r="D70" s="21">
        <v>500</v>
      </c>
    </row>
    <row r="71" spans="1:4" ht="18" customHeight="1" x14ac:dyDescent="0.3">
      <c r="A71" s="19" t="s">
        <v>71</v>
      </c>
      <c r="B71" s="21">
        <v>1</v>
      </c>
      <c r="C71" s="21">
        <v>120</v>
      </c>
      <c r="D71" s="21">
        <v>500</v>
      </c>
    </row>
    <row r="72" spans="1:4" ht="18" customHeight="1" x14ac:dyDescent="0.3">
      <c r="A72" s="19" t="s">
        <v>72</v>
      </c>
      <c r="B72" s="21">
        <v>1</v>
      </c>
      <c r="C72" s="21">
        <v>90</v>
      </c>
      <c r="D72" s="21">
        <v>500</v>
      </c>
    </row>
    <row r="73" spans="1:4" ht="18" customHeight="1" x14ac:dyDescent="0.3">
      <c r="A73" s="19" t="s">
        <v>73</v>
      </c>
      <c r="B73" s="21">
        <v>1</v>
      </c>
      <c r="C73" s="21">
        <v>95</v>
      </c>
      <c r="D73" s="21">
        <v>500</v>
      </c>
    </row>
    <row r="74" spans="1:4" ht="18" customHeight="1" x14ac:dyDescent="0.3">
      <c r="A74" s="19" t="s">
        <v>74</v>
      </c>
      <c r="B74" s="21">
        <v>0</v>
      </c>
      <c r="C74" s="21">
        <v>650</v>
      </c>
      <c r="D74" s="21">
        <v>3000</v>
      </c>
    </row>
    <row r="75" spans="1:4" ht="18" customHeight="1" x14ac:dyDescent="0.3">
      <c r="A75" s="19" t="s">
        <v>75</v>
      </c>
      <c r="B75" s="21">
        <v>1</v>
      </c>
      <c r="C75" s="21">
        <v>380</v>
      </c>
      <c r="D75" s="21">
        <v>3000</v>
      </c>
    </row>
    <row r="76" spans="1:4" ht="18" customHeight="1" x14ac:dyDescent="0.3">
      <c r="A76" s="19" t="s">
        <v>76</v>
      </c>
      <c r="B76" s="21">
        <v>0</v>
      </c>
      <c r="C76" s="21">
        <v>170</v>
      </c>
      <c r="D76" s="21">
        <v>3000</v>
      </c>
    </row>
    <row r="77" spans="1:4" ht="18" customHeight="1" x14ac:dyDescent="0.3">
      <c r="A77" s="19" t="s">
        <v>77</v>
      </c>
      <c r="B77" s="21">
        <v>12</v>
      </c>
      <c r="C77" s="21">
        <v>170</v>
      </c>
      <c r="D77" s="21">
        <v>3000</v>
      </c>
    </row>
    <row r="78" spans="1:4" ht="18" customHeight="1" x14ac:dyDescent="0.3">
      <c r="A78" s="19" t="s">
        <v>78</v>
      </c>
      <c r="B78" s="21">
        <v>3</v>
      </c>
      <c r="C78" s="21">
        <v>265</v>
      </c>
      <c r="D78" s="21">
        <v>3000</v>
      </c>
    </row>
    <row r="79" spans="1:4" ht="18" customHeight="1" x14ac:dyDescent="0.3">
      <c r="A79" s="19" t="s">
        <v>79</v>
      </c>
      <c r="B79" s="21">
        <v>6</v>
      </c>
      <c r="C79" s="21">
        <v>225</v>
      </c>
      <c r="D79" s="21">
        <v>3000</v>
      </c>
    </row>
    <row r="80" spans="1:4" ht="18" customHeight="1" x14ac:dyDescent="0.3">
      <c r="A80" s="19" t="s">
        <v>80</v>
      </c>
      <c r="B80" s="21">
        <v>0</v>
      </c>
      <c r="C80" s="21">
        <v>180</v>
      </c>
      <c r="D80" s="21">
        <v>3000</v>
      </c>
    </row>
    <row r="81" spans="1:4" ht="18" customHeight="1" x14ac:dyDescent="0.3">
      <c r="A81" s="19" t="s">
        <v>236</v>
      </c>
      <c r="B81" s="21">
        <v>6</v>
      </c>
      <c r="C81" s="21">
        <v>235</v>
      </c>
      <c r="D81" s="21">
        <v>3000</v>
      </c>
    </row>
    <row r="82" spans="1:4" ht="18" customHeight="1" x14ac:dyDescent="0.3">
      <c r="A82" s="19" t="s">
        <v>81</v>
      </c>
      <c r="B82" s="21">
        <v>6</v>
      </c>
      <c r="C82" s="21">
        <v>190</v>
      </c>
      <c r="D82" s="21">
        <v>3000</v>
      </c>
    </row>
    <row r="83" spans="1:4" ht="18" customHeight="1" x14ac:dyDescent="0.3">
      <c r="A83" s="19" t="s">
        <v>237</v>
      </c>
      <c r="B83" s="21">
        <v>2</v>
      </c>
      <c r="C83" s="21">
        <v>35</v>
      </c>
      <c r="D83" s="21">
        <v>1000</v>
      </c>
    </row>
    <row r="84" spans="1:4" ht="18" customHeight="1" x14ac:dyDescent="0.3">
      <c r="A84" s="19" t="s">
        <v>238</v>
      </c>
      <c r="B84" s="21">
        <v>3</v>
      </c>
      <c r="C84" s="21">
        <v>40</v>
      </c>
      <c r="D84" s="21">
        <v>1000</v>
      </c>
    </row>
    <row r="85" spans="1:4" ht="18" customHeight="1" x14ac:dyDescent="0.3">
      <c r="A85" s="19" t="s">
        <v>82</v>
      </c>
      <c r="B85" s="21">
        <v>3</v>
      </c>
      <c r="C85" s="21">
        <v>40</v>
      </c>
      <c r="D85" s="21">
        <v>1000</v>
      </c>
    </row>
    <row r="86" spans="1:4" ht="18" customHeight="1" x14ac:dyDescent="0.3">
      <c r="A86" s="19" t="s">
        <v>83</v>
      </c>
      <c r="B86" s="21">
        <v>10</v>
      </c>
      <c r="C86" s="21">
        <v>65</v>
      </c>
      <c r="D86" s="21">
        <v>500</v>
      </c>
    </row>
    <row r="87" spans="1:4" ht="18" customHeight="1" x14ac:dyDescent="0.3">
      <c r="A87" s="19" t="s">
        <v>84</v>
      </c>
      <c r="B87" s="21">
        <v>0</v>
      </c>
      <c r="C87" s="21">
        <v>80</v>
      </c>
      <c r="D87" s="21">
        <v>500</v>
      </c>
    </row>
    <row r="88" spans="1:4" ht="18" customHeight="1" x14ac:dyDescent="0.3">
      <c r="A88" s="19" t="s">
        <v>85</v>
      </c>
      <c r="B88" s="21">
        <v>0</v>
      </c>
      <c r="C88" s="21">
        <v>20</v>
      </c>
      <c r="D88" s="21">
        <v>500</v>
      </c>
    </row>
    <row r="89" spans="1:4" ht="18" customHeight="1" x14ac:dyDescent="0.3">
      <c r="A89" s="19" t="s">
        <v>86</v>
      </c>
      <c r="B89" s="21">
        <v>1</v>
      </c>
      <c r="C89" s="21">
        <v>95</v>
      </c>
      <c r="D89" s="21">
        <v>2000</v>
      </c>
    </row>
    <row r="90" spans="1:4" ht="18" customHeight="1" x14ac:dyDescent="0.3">
      <c r="A90" s="19" t="s">
        <v>87</v>
      </c>
      <c r="B90" s="21">
        <v>0</v>
      </c>
      <c r="C90" s="21">
        <v>160</v>
      </c>
      <c r="D90" s="21">
        <v>2000</v>
      </c>
    </row>
    <row r="91" spans="1:4" ht="18" customHeight="1" x14ac:dyDescent="0.3">
      <c r="A91" s="19" t="s">
        <v>88</v>
      </c>
      <c r="B91" s="21">
        <v>0</v>
      </c>
      <c r="C91" s="21">
        <v>120</v>
      </c>
      <c r="D91" s="21">
        <v>2000</v>
      </c>
    </row>
    <row r="92" spans="1:4" ht="18" customHeight="1" x14ac:dyDescent="0.3">
      <c r="A92" s="19" t="s">
        <v>89</v>
      </c>
      <c r="B92" s="21">
        <v>0</v>
      </c>
      <c r="C92" s="21">
        <v>200</v>
      </c>
      <c r="D92" s="21">
        <v>3000</v>
      </c>
    </row>
    <row r="93" spans="1:4" ht="18" customHeight="1" x14ac:dyDescent="0.3">
      <c r="A93" s="19" t="s">
        <v>90</v>
      </c>
      <c r="B93" s="21">
        <v>0</v>
      </c>
      <c r="C93" s="21">
        <v>100</v>
      </c>
      <c r="D93" s="21">
        <v>2000</v>
      </c>
    </row>
    <row r="94" spans="1:4" ht="18" customHeight="1" x14ac:dyDescent="0.3">
      <c r="A94" s="19" t="s">
        <v>91</v>
      </c>
      <c r="B94" s="21">
        <v>0</v>
      </c>
      <c r="C94" s="21">
        <v>70</v>
      </c>
      <c r="D94" s="21">
        <v>1000</v>
      </c>
    </row>
    <row r="95" spans="1:4" ht="18" customHeight="1" x14ac:dyDescent="0.3">
      <c r="A95" s="19" t="s">
        <v>92</v>
      </c>
      <c r="B95" s="21">
        <v>0</v>
      </c>
      <c r="C95" s="21">
        <v>175</v>
      </c>
      <c r="D95" s="21">
        <v>3000</v>
      </c>
    </row>
    <row r="96" spans="1:4" ht="18" customHeight="1" x14ac:dyDescent="0.3">
      <c r="A96" s="19" t="s">
        <v>93</v>
      </c>
      <c r="B96" s="21">
        <v>0</v>
      </c>
      <c r="C96" s="21">
        <v>210</v>
      </c>
      <c r="D96" s="21">
        <v>3000</v>
      </c>
    </row>
    <row r="97" spans="1:4" ht="18" customHeight="1" x14ac:dyDescent="0.3">
      <c r="A97" s="19" t="s">
        <v>94</v>
      </c>
      <c r="B97" s="21">
        <v>0</v>
      </c>
      <c r="C97" s="21">
        <v>270</v>
      </c>
      <c r="D97" s="21">
        <v>3000</v>
      </c>
    </row>
    <row r="98" spans="1:4" ht="18" customHeight="1" x14ac:dyDescent="0.3">
      <c r="A98" s="19" t="s">
        <v>95</v>
      </c>
      <c r="B98" s="21">
        <v>0</v>
      </c>
      <c r="C98" s="21">
        <v>370</v>
      </c>
      <c r="D98" s="21">
        <v>3000</v>
      </c>
    </row>
    <row r="99" spans="1:4" ht="18" customHeight="1" x14ac:dyDescent="0.3">
      <c r="A99" s="19" t="s">
        <v>96</v>
      </c>
      <c r="B99" s="21">
        <v>0</v>
      </c>
      <c r="C99" s="21">
        <v>370</v>
      </c>
      <c r="D99" s="21">
        <v>3000</v>
      </c>
    </row>
    <row r="100" spans="1:4" ht="18" customHeight="1" x14ac:dyDescent="0.3">
      <c r="A100" s="19" t="s">
        <v>97</v>
      </c>
      <c r="B100" s="21">
        <v>0</v>
      </c>
      <c r="C100" s="21">
        <v>230</v>
      </c>
      <c r="D100" s="21">
        <v>3000</v>
      </c>
    </row>
    <row r="101" spans="1:4" ht="18" customHeight="1" x14ac:dyDescent="0.3">
      <c r="A101" s="19" t="s">
        <v>98</v>
      </c>
      <c r="B101" s="21">
        <v>0</v>
      </c>
      <c r="C101" s="21">
        <v>210</v>
      </c>
      <c r="D101" s="21">
        <v>3000</v>
      </c>
    </row>
    <row r="102" spans="1:4" ht="18" customHeight="1" x14ac:dyDescent="0.3">
      <c r="A102" s="19" t="s">
        <v>99</v>
      </c>
      <c r="B102" s="21">
        <v>2</v>
      </c>
      <c r="C102" s="21">
        <v>320</v>
      </c>
      <c r="D102" s="21">
        <v>3000</v>
      </c>
    </row>
    <row r="103" spans="1:4" ht="18" customHeight="1" x14ac:dyDescent="0.3">
      <c r="A103" s="19" t="s">
        <v>100</v>
      </c>
      <c r="B103" s="21">
        <v>0</v>
      </c>
      <c r="C103" s="21">
        <v>190</v>
      </c>
      <c r="D103" s="21">
        <v>3000</v>
      </c>
    </row>
    <row r="104" spans="1:4" ht="18" customHeight="1" x14ac:dyDescent="0.3">
      <c r="A104" s="19" t="s">
        <v>101</v>
      </c>
      <c r="B104" s="21">
        <v>0</v>
      </c>
      <c r="C104" s="21">
        <v>255</v>
      </c>
      <c r="D104" s="21">
        <v>3000</v>
      </c>
    </row>
    <row r="105" spans="1:4" ht="18" customHeight="1" x14ac:dyDescent="0.3">
      <c r="A105" s="19" t="s">
        <v>102</v>
      </c>
      <c r="B105" s="21">
        <v>0</v>
      </c>
      <c r="C105" s="21">
        <v>640</v>
      </c>
      <c r="D105" s="21">
        <v>3000</v>
      </c>
    </row>
    <row r="106" spans="1:4" ht="18" customHeight="1" x14ac:dyDescent="0.3">
      <c r="A106" s="19" t="s">
        <v>103</v>
      </c>
      <c r="B106" s="21">
        <v>0</v>
      </c>
      <c r="C106" s="21">
        <v>670</v>
      </c>
      <c r="D106" s="21">
        <v>5000</v>
      </c>
    </row>
    <row r="107" spans="1:4" ht="18" customHeight="1" x14ac:dyDescent="0.3">
      <c r="A107" s="19" t="s">
        <v>104</v>
      </c>
      <c r="B107" s="21">
        <v>0</v>
      </c>
      <c r="C107" s="21">
        <v>760</v>
      </c>
      <c r="D107" s="21">
        <v>4000</v>
      </c>
    </row>
    <row r="108" spans="1:4" ht="18" customHeight="1" x14ac:dyDescent="0.3">
      <c r="A108" s="19" t="s">
        <v>105</v>
      </c>
      <c r="B108" s="21">
        <v>0</v>
      </c>
      <c r="C108" s="21">
        <v>40</v>
      </c>
      <c r="D108" s="21">
        <v>3000</v>
      </c>
    </row>
    <row r="109" spans="1:4" ht="18" customHeight="1" x14ac:dyDescent="0.3">
      <c r="A109" s="19" t="s">
        <v>106</v>
      </c>
      <c r="B109" s="21">
        <v>0</v>
      </c>
      <c r="C109" s="21">
        <v>150</v>
      </c>
      <c r="D109" s="21">
        <v>2000</v>
      </c>
    </row>
    <row r="110" spans="1:4" ht="18" customHeight="1" x14ac:dyDescent="0.3">
      <c r="A110" s="19" t="s">
        <v>107</v>
      </c>
      <c r="B110" s="21">
        <v>7</v>
      </c>
      <c r="C110" s="21">
        <v>45</v>
      </c>
      <c r="D110" s="21">
        <v>1000</v>
      </c>
    </row>
    <row r="111" spans="1:4" ht="18" customHeight="1" x14ac:dyDescent="0.3">
      <c r="A111" s="19" t="s">
        <v>108</v>
      </c>
      <c r="B111" s="21">
        <v>12</v>
      </c>
      <c r="C111" s="21">
        <v>40</v>
      </c>
      <c r="D111" s="21">
        <v>1000</v>
      </c>
    </row>
    <row r="112" spans="1:4" ht="18" customHeight="1" x14ac:dyDescent="0.3">
      <c r="A112" s="19" t="s">
        <v>109</v>
      </c>
      <c r="B112" s="21">
        <v>0</v>
      </c>
      <c r="C112" s="21">
        <v>45</v>
      </c>
      <c r="D112" s="21">
        <v>1000</v>
      </c>
    </row>
    <row r="113" spans="1:4" ht="18" customHeight="1" x14ac:dyDescent="0.3">
      <c r="A113" s="19" t="s">
        <v>110</v>
      </c>
      <c r="B113" s="21">
        <v>0</v>
      </c>
      <c r="C113" s="21">
        <v>40</v>
      </c>
      <c r="D113" s="21">
        <v>1000</v>
      </c>
    </row>
    <row r="114" spans="1:4" ht="18" customHeight="1" x14ac:dyDescent="0.3">
      <c r="A114" s="19" t="s">
        <v>111</v>
      </c>
      <c r="B114" s="21">
        <v>0</v>
      </c>
      <c r="C114" s="21">
        <v>30</v>
      </c>
      <c r="D114" s="21">
        <v>1000</v>
      </c>
    </row>
    <row r="115" spans="1:4" ht="18" customHeight="1" x14ac:dyDescent="0.3">
      <c r="A115" s="19" t="s">
        <v>112</v>
      </c>
      <c r="B115" s="21">
        <v>5</v>
      </c>
      <c r="C115" s="21">
        <v>40</v>
      </c>
      <c r="D115" s="21">
        <v>1000</v>
      </c>
    </row>
    <row r="116" spans="1:4" ht="18" customHeight="1" x14ac:dyDescent="0.3">
      <c r="A116" s="19" t="s">
        <v>113</v>
      </c>
      <c r="B116" s="21">
        <v>2</v>
      </c>
      <c r="C116" s="21">
        <v>45</v>
      </c>
      <c r="D116" s="21">
        <v>1000</v>
      </c>
    </row>
    <row r="117" spans="1:4" ht="18" customHeight="1" x14ac:dyDescent="0.3">
      <c r="A117" s="19" t="s">
        <v>114</v>
      </c>
      <c r="B117" s="21">
        <v>0</v>
      </c>
      <c r="C117" s="21">
        <v>60</v>
      </c>
      <c r="D117" s="21">
        <v>1000</v>
      </c>
    </row>
    <row r="118" spans="1:4" ht="18" customHeight="1" x14ac:dyDescent="0.3">
      <c r="A118" s="19" t="s">
        <v>115</v>
      </c>
      <c r="B118" s="21">
        <v>0</v>
      </c>
      <c r="C118" s="21">
        <v>65</v>
      </c>
      <c r="D118" s="21">
        <v>1000</v>
      </c>
    </row>
    <row r="119" spans="1:4" ht="18" customHeight="1" x14ac:dyDescent="0.3">
      <c r="A119" s="19" t="s">
        <v>116</v>
      </c>
      <c r="B119" s="21">
        <v>0</v>
      </c>
      <c r="C119" s="21">
        <v>65</v>
      </c>
      <c r="D119" s="21">
        <v>1000</v>
      </c>
    </row>
    <row r="120" spans="1:4" ht="18" customHeight="1" x14ac:dyDescent="0.3">
      <c r="A120" s="19" t="s">
        <v>117</v>
      </c>
      <c r="B120" s="21">
        <v>0</v>
      </c>
      <c r="C120" s="21">
        <v>60</v>
      </c>
      <c r="D120" s="21">
        <v>1000</v>
      </c>
    </row>
    <row r="121" spans="1:4" ht="18" customHeight="1" x14ac:dyDescent="0.3">
      <c r="A121" s="19" t="s">
        <v>118</v>
      </c>
      <c r="B121" s="21">
        <v>3</v>
      </c>
      <c r="C121" s="21">
        <v>65</v>
      </c>
      <c r="D121" s="21">
        <v>1000</v>
      </c>
    </row>
    <row r="122" spans="1:4" ht="18" customHeight="1" x14ac:dyDescent="0.3">
      <c r="A122" s="19" t="s">
        <v>119</v>
      </c>
      <c r="B122" s="21">
        <v>7</v>
      </c>
      <c r="C122" s="21">
        <v>50</v>
      </c>
      <c r="D122" s="21">
        <v>1000</v>
      </c>
    </row>
    <row r="123" spans="1:4" ht="18" customHeight="1" x14ac:dyDescent="0.3">
      <c r="A123" s="19" t="s">
        <v>120</v>
      </c>
      <c r="B123" s="21">
        <v>0</v>
      </c>
      <c r="C123" s="21">
        <v>280</v>
      </c>
      <c r="D123" s="21">
        <v>4000</v>
      </c>
    </row>
    <row r="124" spans="1:4" ht="18" customHeight="1" x14ac:dyDescent="0.3">
      <c r="A124" s="19" t="s">
        <v>121</v>
      </c>
      <c r="B124" s="21">
        <v>20</v>
      </c>
      <c r="C124" s="21">
        <v>30</v>
      </c>
      <c r="D124" s="21">
        <v>500</v>
      </c>
    </row>
    <row r="125" spans="1:4" ht="18" customHeight="1" x14ac:dyDescent="0.3">
      <c r="A125" s="19" t="s">
        <v>122</v>
      </c>
      <c r="B125" s="21">
        <v>0</v>
      </c>
      <c r="C125" s="21">
        <v>125</v>
      </c>
      <c r="D125" s="21">
        <v>2000</v>
      </c>
    </row>
    <row r="126" spans="1:4" ht="18" customHeight="1" x14ac:dyDescent="0.3">
      <c r="A126" s="19" t="s">
        <v>123</v>
      </c>
      <c r="B126" s="21">
        <v>1</v>
      </c>
      <c r="C126" s="21">
        <v>60</v>
      </c>
      <c r="D126" s="21">
        <v>1000</v>
      </c>
    </row>
    <row r="127" spans="1:4" ht="18" customHeight="1" x14ac:dyDescent="0.3">
      <c r="A127" s="19" t="s">
        <v>124</v>
      </c>
      <c r="B127" s="21">
        <v>2</v>
      </c>
      <c r="C127" s="21">
        <v>60</v>
      </c>
      <c r="D127" s="21">
        <v>1000</v>
      </c>
    </row>
    <row r="128" spans="1:4" ht="18" customHeight="1" x14ac:dyDescent="0.3">
      <c r="A128" s="19" t="s">
        <v>125</v>
      </c>
      <c r="B128" s="21">
        <v>0</v>
      </c>
      <c r="C128" s="21">
        <v>20</v>
      </c>
      <c r="D128" s="21">
        <v>1000</v>
      </c>
    </row>
    <row r="129" spans="1:4" ht="18" customHeight="1" x14ac:dyDescent="0.3">
      <c r="A129" s="19" t="s">
        <v>126</v>
      </c>
      <c r="B129" s="21">
        <v>11</v>
      </c>
      <c r="C129" s="21">
        <v>180</v>
      </c>
      <c r="D129" s="21">
        <v>1000</v>
      </c>
    </row>
    <row r="130" spans="1:4" ht="18" customHeight="1" x14ac:dyDescent="0.3">
      <c r="A130" s="19" t="s">
        <v>239</v>
      </c>
      <c r="B130" s="21">
        <v>87</v>
      </c>
      <c r="C130" s="21">
        <v>180</v>
      </c>
      <c r="D130" s="21">
        <v>1000</v>
      </c>
    </row>
    <row r="131" spans="1:4" ht="18" customHeight="1" x14ac:dyDescent="0.3">
      <c r="A131" s="19" t="s">
        <v>127</v>
      </c>
      <c r="B131" s="21">
        <v>0</v>
      </c>
      <c r="C131" s="21">
        <v>130</v>
      </c>
      <c r="D131" s="21">
        <v>1000</v>
      </c>
    </row>
    <row r="132" spans="1:4" ht="18" customHeight="1" x14ac:dyDescent="0.3">
      <c r="A132" s="19" t="s">
        <v>128</v>
      </c>
      <c r="B132" s="21">
        <v>3</v>
      </c>
      <c r="C132" s="21">
        <v>180</v>
      </c>
      <c r="D132" s="21">
        <v>1000</v>
      </c>
    </row>
    <row r="133" spans="1:4" ht="18" customHeight="1" x14ac:dyDescent="0.3">
      <c r="A133" s="19" t="s">
        <v>129</v>
      </c>
      <c r="B133" s="21">
        <v>2</v>
      </c>
      <c r="C133" s="21">
        <v>170</v>
      </c>
      <c r="D133" s="21">
        <v>1000</v>
      </c>
    </row>
    <row r="134" spans="1:4" ht="18" customHeight="1" x14ac:dyDescent="0.3">
      <c r="A134" s="19" t="s">
        <v>124</v>
      </c>
      <c r="B134" s="21">
        <v>0</v>
      </c>
      <c r="C134" s="21">
        <v>60</v>
      </c>
      <c r="D134" s="21">
        <v>1000</v>
      </c>
    </row>
    <row r="135" spans="1:4" ht="18" customHeight="1" x14ac:dyDescent="0.3">
      <c r="A135" s="19" t="s">
        <v>130</v>
      </c>
      <c r="B135" s="21">
        <v>0</v>
      </c>
      <c r="C135" s="21">
        <v>3</v>
      </c>
      <c r="D135" s="21">
        <v>66.67</v>
      </c>
    </row>
    <row r="136" spans="1:4" ht="18" customHeight="1" x14ac:dyDescent="0.3">
      <c r="A136" s="19" t="s">
        <v>131</v>
      </c>
      <c r="B136" s="21">
        <v>0</v>
      </c>
      <c r="C136" s="21">
        <v>2</v>
      </c>
      <c r="D136" s="21">
        <v>50</v>
      </c>
    </row>
    <row r="137" spans="1:4" ht="18" customHeight="1" x14ac:dyDescent="0.3">
      <c r="A137" s="19" t="s">
        <v>240</v>
      </c>
      <c r="B137" s="21">
        <v>9</v>
      </c>
      <c r="C137" s="21">
        <v>340</v>
      </c>
      <c r="D137" s="21">
        <v>4000</v>
      </c>
    </row>
    <row r="138" spans="1:4" ht="18" customHeight="1" x14ac:dyDescent="0.3">
      <c r="A138" s="19" t="s">
        <v>241</v>
      </c>
      <c r="B138" s="21">
        <v>5</v>
      </c>
      <c r="C138" s="21">
        <v>350</v>
      </c>
      <c r="D138" s="21">
        <v>4000</v>
      </c>
    </row>
    <row r="139" spans="1:4" ht="18" customHeight="1" x14ac:dyDescent="0.3">
      <c r="A139" s="19" t="s">
        <v>132</v>
      </c>
      <c r="B139" s="21">
        <v>0</v>
      </c>
      <c r="C139" s="21">
        <v>535</v>
      </c>
      <c r="D139" s="21">
        <v>4000</v>
      </c>
    </row>
    <row r="140" spans="1:4" ht="18" customHeight="1" x14ac:dyDescent="0.3">
      <c r="A140" s="26" t="s">
        <v>243</v>
      </c>
      <c r="B140" s="21">
        <v>1</v>
      </c>
      <c r="C140" s="21">
        <v>100</v>
      </c>
      <c r="D140" s="21">
        <v>3000</v>
      </c>
    </row>
    <row r="141" spans="1:4" ht="18" customHeight="1" x14ac:dyDescent="0.3">
      <c r="A141" s="19" t="s">
        <v>133</v>
      </c>
      <c r="B141" s="21">
        <v>1</v>
      </c>
      <c r="C141" s="21">
        <v>550</v>
      </c>
      <c r="D141" s="21">
        <v>4000</v>
      </c>
    </row>
    <row r="142" spans="1:4" ht="18" customHeight="1" x14ac:dyDescent="0.3">
      <c r="A142" s="19" t="s">
        <v>134</v>
      </c>
      <c r="B142" s="21">
        <v>0</v>
      </c>
      <c r="C142" s="21">
        <v>800</v>
      </c>
      <c r="D142" s="21">
        <v>4000</v>
      </c>
    </row>
    <row r="143" spans="1:4" ht="18" customHeight="1" x14ac:dyDescent="0.3">
      <c r="A143" s="19" t="s">
        <v>135</v>
      </c>
      <c r="B143" s="21">
        <v>0</v>
      </c>
      <c r="C143" s="21">
        <v>550</v>
      </c>
      <c r="D143" s="21">
        <v>4000</v>
      </c>
    </row>
    <row r="144" spans="1:4" ht="18" customHeight="1" x14ac:dyDescent="0.3">
      <c r="A144" s="19" t="s">
        <v>136</v>
      </c>
      <c r="B144" s="21">
        <v>0</v>
      </c>
      <c r="C144" s="21">
        <v>400</v>
      </c>
      <c r="D144" s="21">
        <v>4000</v>
      </c>
    </row>
    <row r="145" spans="1:4" ht="18" customHeight="1" x14ac:dyDescent="0.3">
      <c r="A145" s="19" t="s">
        <v>137</v>
      </c>
      <c r="B145" s="21">
        <v>0</v>
      </c>
      <c r="C145" s="21">
        <v>720</v>
      </c>
      <c r="D145" s="21">
        <v>4000</v>
      </c>
    </row>
    <row r="146" spans="1:4" ht="18" customHeight="1" x14ac:dyDescent="0.3">
      <c r="A146" s="19" t="s">
        <v>138</v>
      </c>
      <c r="B146" s="21">
        <v>0</v>
      </c>
      <c r="C146" s="21">
        <v>18</v>
      </c>
      <c r="D146" s="21">
        <v>500</v>
      </c>
    </row>
    <row r="147" spans="1:4" ht="18" customHeight="1" x14ac:dyDescent="0.3">
      <c r="A147" s="19" t="s">
        <v>139</v>
      </c>
      <c r="B147" s="21">
        <v>1</v>
      </c>
      <c r="C147" s="21">
        <v>3150</v>
      </c>
      <c r="D147" s="21">
        <v>8000</v>
      </c>
    </row>
    <row r="148" spans="1:4" ht="18" customHeight="1" x14ac:dyDescent="0.3">
      <c r="A148" s="19" t="s">
        <v>140</v>
      </c>
      <c r="B148" s="21">
        <v>1</v>
      </c>
      <c r="C148" s="21">
        <v>3150</v>
      </c>
      <c r="D148" s="21">
        <v>5000</v>
      </c>
    </row>
    <row r="149" spans="1:4" ht="18" customHeight="1" x14ac:dyDescent="0.3">
      <c r="A149" s="19" t="s">
        <v>141</v>
      </c>
      <c r="B149" s="21">
        <v>4</v>
      </c>
      <c r="C149" s="21">
        <v>35</v>
      </c>
      <c r="D149" s="21">
        <v>1000</v>
      </c>
    </row>
    <row r="150" spans="1:4" ht="18" customHeight="1" x14ac:dyDescent="0.3">
      <c r="A150" s="19" t="s">
        <v>142</v>
      </c>
      <c r="B150" s="21">
        <v>0</v>
      </c>
      <c r="C150" s="21">
        <v>300</v>
      </c>
      <c r="D150" s="21">
        <v>3000</v>
      </c>
    </row>
    <row r="151" spans="1:4" ht="18" customHeight="1" x14ac:dyDescent="0.3">
      <c r="A151" s="19" t="s">
        <v>143</v>
      </c>
      <c r="B151" s="21">
        <v>1</v>
      </c>
      <c r="C151" s="21">
        <v>530</v>
      </c>
      <c r="D151" s="21">
        <v>3000</v>
      </c>
    </row>
    <row r="152" spans="1:4" ht="18" customHeight="1" x14ac:dyDescent="0.3">
      <c r="A152" s="19" t="s">
        <v>144</v>
      </c>
      <c r="B152" s="21">
        <v>0</v>
      </c>
      <c r="C152" s="21"/>
      <c r="D152" s="21"/>
    </row>
    <row r="153" spans="1:4" ht="18" customHeight="1" x14ac:dyDescent="0.3">
      <c r="A153" s="19" t="s">
        <v>145</v>
      </c>
      <c r="B153" s="21">
        <v>0</v>
      </c>
      <c r="C153" s="21"/>
      <c r="D153" s="21">
        <v>3000</v>
      </c>
    </row>
    <row r="154" spans="1:4" ht="18" customHeight="1" x14ac:dyDescent="0.3">
      <c r="A154" s="19" t="s">
        <v>146</v>
      </c>
      <c r="B154" s="21">
        <v>0</v>
      </c>
      <c r="C154" s="21">
        <v>280</v>
      </c>
      <c r="D154" s="21">
        <v>3000</v>
      </c>
    </row>
    <row r="155" spans="1:4" ht="18" customHeight="1" x14ac:dyDescent="0.3">
      <c r="A155" s="19" t="s">
        <v>147</v>
      </c>
      <c r="B155" s="21">
        <v>2</v>
      </c>
      <c r="C155" s="21">
        <v>260</v>
      </c>
      <c r="D155" s="21">
        <v>3000</v>
      </c>
    </row>
    <row r="156" spans="1:4" ht="18" customHeight="1" x14ac:dyDescent="0.3">
      <c r="A156" s="19" t="s">
        <v>148</v>
      </c>
      <c r="B156" s="21">
        <v>0</v>
      </c>
      <c r="C156" s="21">
        <v>300</v>
      </c>
      <c r="D156" s="21">
        <v>3000</v>
      </c>
    </row>
    <row r="157" spans="1:4" ht="18" customHeight="1" x14ac:dyDescent="0.3">
      <c r="A157" s="19" t="s">
        <v>149</v>
      </c>
      <c r="B157" s="21">
        <v>0</v>
      </c>
      <c r="C157" s="21">
        <v>100</v>
      </c>
      <c r="D157" s="21">
        <v>1000</v>
      </c>
    </row>
    <row r="158" spans="1:4" ht="18" customHeight="1" x14ac:dyDescent="0.3">
      <c r="A158" s="19" t="s">
        <v>150</v>
      </c>
      <c r="B158" s="21">
        <v>0</v>
      </c>
      <c r="C158" s="21">
        <v>300</v>
      </c>
      <c r="D158" s="21">
        <v>3000</v>
      </c>
    </row>
    <row r="159" spans="1:4" ht="18" customHeight="1" x14ac:dyDescent="0.3">
      <c r="A159" s="19" t="s">
        <v>151</v>
      </c>
      <c r="B159" s="21">
        <v>0</v>
      </c>
      <c r="C159" s="21">
        <v>425</v>
      </c>
      <c r="D159" s="21">
        <v>3000</v>
      </c>
    </row>
    <row r="160" spans="1:4" ht="18" customHeight="1" x14ac:dyDescent="0.3">
      <c r="A160" s="19" t="s">
        <v>242</v>
      </c>
      <c r="B160" s="21">
        <v>6</v>
      </c>
      <c r="C160" s="21">
        <v>430</v>
      </c>
      <c r="D160" s="21">
        <v>3000</v>
      </c>
    </row>
    <row r="161" spans="1:4" ht="18" customHeight="1" x14ac:dyDescent="0.3">
      <c r="A161" s="19" t="s">
        <v>152</v>
      </c>
      <c r="B161" s="21">
        <v>1</v>
      </c>
      <c r="C161" s="21">
        <v>70</v>
      </c>
      <c r="D161" s="21">
        <v>3000</v>
      </c>
    </row>
    <row r="162" spans="1:4" ht="18" customHeight="1" x14ac:dyDescent="0.3">
      <c r="A162" s="19" t="s">
        <v>153</v>
      </c>
      <c r="B162" s="21">
        <v>3</v>
      </c>
      <c r="C162" s="21">
        <v>260</v>
      </c>
      <c r="D162" s="21">
        <v>3000</v>
      </c>
    </row>
    <row r="163" spans="1:4" ht="18" customHeight="1" x14ac:dyDescent="0.3">
      <c r="A163" s="19" t="s">
        <v>154</v>
      </c>
      <c r="B163" s="21">
        <v>1</v>
      </c>
      <c r="C163" s="21">
        <v>255</v>
      </c>
      <c r="D163" s="21">
        <v>3000</v>
      </c>
    </row>
    <row r="164" spans="1:4" ht="18" customHeight="1" x14ac:dyDescent="0.3">
      <c r="A164" s="19" t="s">
        <v>155</v>
      </c>
      <c r="B164" s="21">
        <v>3</v>
      </c>
      <c r="C164" s="21">
        <v>360</v>
      </c>
      <c r="D164" s="21">
        <v>3000</v>
      </c>
    </row>
    <row r="165" spans="1:4" ht="18" customHeight="1" x14ac:dyDescent="0.3">
      <c r="A165" s="19" t="s">
        <v>156</v>
      </c>
      <c r="B165" s="21">
        <v>3</v>
      </c>
      <c r="C165" s="21">
        <v>80</v>
      </c>
      <c r="D165" s="21">
        <v>1000</v>
      </c>
    </row>
    <row r="166" spans="1:4" ht="18" customHeight="1" x14ac:dyDescent="0.3">
      <c r="A166" s="19" t="s">
        <v>157</v>
      </c>
      <c r="B166" s="21">
        <v>1</v>
      </c>
      <c r="C166" s="21">
        <v>165</v>
      </c>
      <c r="D166" s="21">
        <v>3000</v>
      </c>
    </row>
    <row r="167" spans="1:4" ht="18" customHeight="1" x14ac:dyDescent="0.3">
      <c r="A167" s="19" t="s">
        <v>158</v>
      </c>
      <c r="B167" s="21">
        <v>1</v>
      </c>
      <c r="C167" s="21">
        <v>250</v>
      </c>
      <c r="D167" s="21">
        <v>3000</v>
      </c>
    </row>
    <row r="168" spans="1:4" ht="18" customHeight="1" x14ac:dyDescent="0.3">
      <c r="A168" s="19" t="s">
        <v>159</v>
      </c>
      <c r="B168" s="21">
        <v>0</v>
      </c>
      <c r="C168" s="21">
        <v>175</v>
      </c>
      <c r="D168" s="21">
        <v>3000</v>
      </c>
    </row>
    <row r="169" spans="1:4" ht="18" customHeight="1" x14ac:dyDescent="0.3">
      <c r="A169" s="19" t="s">
        <v>160</v>
      </c>
      <c r="B169" s="21">
        <v>17</v>
      </c>
      <c r="C169" s="21">
        <v>5</v>
      </c>
      <c r="D169" s="21">
        <v>500</v>
      </c>
    </row>
    <row r="170" spans="1:4" ht="18" customHeight="1" x14ac:dyDescent="0.3">
      <c r="A170" s="19" t="s">
        <v>161</v>
      </c>
      <c r="B170" s="21">
        <v>8</v>
      </c>
      <c r="C170" s="21">
        <v>20</v>
      </c>
      <c r="D170" s="21">
        <v>500</v>
      </c>
    </row>
    <row r="171" spans="1:4" ht="18" customHeight="1" x14ac:dyDescent="0.3">
      <c r="A171" s="19" t="s">
        <v>162</v>
      </c>
      <c r="B171" s="21">
        <v>1</v>
      </c>
      <c r="C171" s="21">
        <v>35</v>
      </c>
      <c r="D171" s="21">
        <v>1000</v>
      </c>
    </row>
    <row r="172" spans="1:4" ht="18" customHeight="1" x14ac:dyDescent="0.3">
      <c r="A172" s="19" t="s">
        <v>163</v>
      </c>
      <c r="B172" s="21">
        <v>0</v>
      </c>
      <c r="C172" s="21">
        <v>50</v>
      </c>
      <c r="D172" s="21">
        <v>1000</v>
      </c>
    </row>
    <row r="173" spans="1:4" ht="18" customHeight="1" x14ac:dyDescent="0.3">
      <c r="A173" s="19" t="s">
        <v>164</v>
      </c>
      <c r="B173" s="21">
        <v>0</v>
      </c>
      <c r="C173" s="21">
        <v>65</v>
      </c>
      <c r="D173" s="21">
        <v>1000</v>
      </c>
    </row>
    <row r="174" spans="1:4" ht="18" customHeight="1" x14ac:dyDescent="0.3">
      <c r="A174" s="19" t="s">
        <v>165</v>
      </c>
      <c r="B174" s="21">
        <v>2</v>
      </c>
      <c r="C174" s="21">
        <v>50</v>
      </c>
      <c r="D174" s="21">
        <v>1000</v>
      </c>
    </row>
    <row r="175" spans="1:4" ht="18" customHeight="1" x14ac:dyDescent="0.3">
      <c r="A175" s="19" t="s">
        <v>166</v>
      </c>
      <c r="B175" s="21">
        <v>0</v>
      </c>
      <c r="C175" s="21">
        <v>140</v>
      </c>
      <c r="D175" s="21">
        <v>3000</v>
      </c>
    </row>
    <row r="176" spans="1:4" ht="18" customHeight="1" x14ac:dyDescent="0.3">
      <c r="A176" s="19" t="s">
        <v>167</v>
      </c>
      <c r="B176" s="21">
        <v>0</v>
      </c>
      <c r="C176" s="21">
        <v>55</v>
      </c>
      <c r="D176" s="21">
        <v>1000</v>
      </c>
    </row>
    <row r="177" spans="1:4" ht="18" customHeight="1" x14ac:dyDescent="0.3">
      <c r="A177" s="19" t="s">
        <v>168</v>
      </c>
      <c r="B177" s="21">
        <v>0</v>
      </c>
      <c r="C177" s="21">
        <v>70</v>
      </c>
      <c r="D177" s="21">
        <v>1000</v>
      </c>
    </row>
    <row r="178" spans="1:4" ht="18" customHeight="1" x14ac:dyDescent="0.3">
      <c r="A178" s="19" t="s">
        <v>169</v>
      </c>
      <c r="B178" s="21">
        <v>0</v>
      </c>
      <c r="C178" s="21">
        <v>90</v>
      </c>
      <c r="D178" s="21">
        <v>1000</v>
      </c>
    </row>
    <row r="179" spans="1:4" ht="18" customHeight="1" x14ac:dyDescent="0.3">
      <c r="A179" s="19" t="s">
        <v>170</v>
      </c>
      <c r="B179" s="21">
        <v>0</v>
      </c>
      <c r="C179" s="21">
        <v>90</v>
      </c>
      <c r="D179" s="21">
        <v>1000</v>
      </c>
    </row>
    <row r="180" spans="1:4" ht="18" customHeight="1" x14ac:dyDescent="0.3">
      <c r="A180" s="19" t="s">
        <v>171</v>
      </c>
      <c r="B180" s="21">
        <v>3</v>
      </c>
      <c r="C180" s="21">
        <v>40</v>
      </c>
      <c r="D180" s="21">
        <v>1000</v>
      </c>
    </row>
    <row r="181" spans="1:4" ht="18" customHeight="1" x14ac:dyDescent="0.3">
      <c r="A181" s="19" t="s">
        <v>172</v>
      </c>
      <c r="B181" s="21">
        <v>4</v>
      </c>
      <c r="C181" s="21">
        <v>45</v>
      </c>
      <c r="D181" s="21">
        <v>1000</v>
      </c>
    </row>
    <row r="182" spans="1:4" ht="18" customHeight="1" x14ac:dyDescent="0.3">
      <c r="A182" s="19" t="s">
        <v>173</v>
      </c>
      <c r="B182" s="21">
        <v>0</v>
      </c>
      <c r="C182" s="21">
        <v>50</v>
      </c>
      <c r="D182" s="21">
        <v>2000</v>
      </c>
    </row>
    <row r="183" spans="1:4" ht="18" customHeight="1" x14ac:dyDescent="0.3">
      <c r="A183" s="19" t="s">
        <v>174</v>
      </c>
      <c r="B183" s="21">
        <v>1</v>
      </c>
      <c r="C183" s="21">
        <v>500</v>
      </c>
      <c r="D183" s="21">
        <v>4000</v>
      </c>
    </row>
    <row r="184" spans="1:4" ht="18" customHeight="1" x14ac:dyDescent="0.3">
      <c r="A184" s="19" t="s">
        <v>175</v>
      </c>
      <c r="B184" s="21">
        <v>19</v>
      </c>
      <c r="C184" s="21"/>
      <c r="D184" s="21"/>
    </row>
    <row r="185" spans="1:4" ht="18" customHeight="1" x14ac:dyDescent="0.3">
      <c r="A185" s="19" t="s">
        <v>176</v>
      </c>
      <c r="B185" s="21">
        <v>12</v>
      </c>
      <c r="C185" s="21"/>
      <c r="D185" s="21"/>
    </row>
    <row r="186" spans="1:4" ht="18" customHeight="1" x14ac:dyDescent="0.3">
      <c r="A186" s="19" t="s">
        <v>177</v>
      </c>
      <c r="B186" s="21">
        <v>200</v>
      </c>
      <c r="C186" s="21"/>
      <c r="D186" s="21"/>
    </row>
    <row r="187" spans="1:4" ht="18" customHeight="1" x14ac:dyDescent="0.3">
      <c r="A187" s="19" t="s">
        <v>178</v>
      </c>
      <c r="B187" s="21">
        <v>9</v>
      </c>
      <c r="C187" s="21"/>
      <c r="D187" s="21"/>
    </row>
    <row r="188" spans="1:4" ht="18" customHeight="1" x14ac:dyDescent="0.3">
      <c r="A188" s="19" t="s">
        <v>179</v>
      </c>
      <c r="B188" s="21">
        <v>36</v>
      </c>
      <c r="C188" s="21"/>
      <c r="D188" s="21"/>
    </row>
    <row r="189" spans="1:4" ht="18" customHeight="1" x14ac:dyDescent="0.3">
      <c r="A189" s="19" t="s">
        <v>180</v>
      </c>
      <c r="B189" s="21">
        <v>9</v>
      </c>
      <c r="C189" s="21"/>
      <c r="D189" s="21"/>
    </row>
    <row r="190" spans="1:4" ht="18" customHeight="1" x14ac:dyDescent="0.3">
      <c r="A190" s="19" t="s">
        <v>181</v>
      </c>
      <c r="B190" s="21">
        <v>57</v>
      </c>
      <c r="C190" s="21"/>
      <c r="D190" s="21"/>
    </row>
    <row r="191" spans="1:4" ht="18" customHeight="1" x14ac:dyDescent="0.3">
      <c r="A191" s="20" t="s">
        <v>182</v>
      </c>
      <c r="B191" s="22">
        <v>56</v>
      </c>
      <c r="C191" s="22"/>
      <c r="D191" s="22"/>
    </row>
    <row r="192" spans="1:4" ht="18" customHeight="1" x14ac:dyDescent="0.3">
      <c r="A192" s="26" t="s">
        <v>183</v>
      </c>
      <c r="B192" s="21">
        <v>38</v>
      </c>
      <c r="C192" s="21"/>
      <c r="D192" s="21"/>
    </row>
    <row r="193" spans="1:4" ht="18" customHeight="1" x14ac:dyDescent="0.3">
      <c r="A193" s="26"/>
      <c r="B193" s="21"/>
      <c r="C193" s="21"/>
      <c r="D193" s="21"/>
    </row>
  </sheetData>
  <sortState xmlns:xlrd2="http://schemas.microsoft.com/office/spreadsheetml/2017/richdata2" ref="A2:D190">
    <sortCondition ref="A2"/>
  </sortState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92"/>
  <sheetViews>
    <sheetView topLeftCell="F8" workbookViewId="0">
      <selection activeCell="P16" sqref="P16"/>
    </sheetView>
  </sheetViews>
  <sheetFormatPr baseColWidth="10" defaultRowHeight="14.4" x14ac:dyDescent="0.3"/>
  <cols>
    <col min="1" max="1" width="34.109375" customWidth="1"/>
    <col min="2" max="2" width="15.109375" customWidth="1"/>
    <col min="3" max="3" width="14.6640625" customWidth="1"/>
    <col min="4" max="4" width="11.6640625" style="17" customWidth="1"/>
    <col min="5" max="5" width="19.109375" customWidth="1"/>
    <col min="6" max="6" width="11.109375" bestFit="1" customWidth="1"/>
    <col min="7" max="7" width="22.33203125" customWidth="1"/>
    <col min="8" max="8" width="16.109375" customWidth="1"/>
    <col min="9" max="9" width="13.6640625" customWidth="1"/>
    <col min="10" max="10" width="12.44140625" customWidth="1"/>
    <col min="11" max="11" width="14.44140625" customWidth="1"/>
    <col min="12" max="12" width="12.6640625" customWidth="1"/>
    <col min="13" max="13" width="5.6640625" customWidth="1"/>
    <col min="14" max="14" width="17.88671875" customWidth="1"/>
    <col min="17" max="17" width="14.44140625" customWidth="1"/>
  </cols>
  <sheetData>
    <row r="1" spans="1:19" x14ac:dyDescent="0.3">
      <c r="A1" s="1" t="s">
        <v>7</v>
      </c>
      <c r="B1" s="1" t="s">
        <v>3</v>
      </c>
      <c r="C1" s="1" t="s">
        <v>8</v>
      </c>
      <c r="D1" s="16" t="s">
        <v>9</v>
      </c>
      <c r="E1" s="1" t="s">
        <v>220</v>
      </c>
      <c r="F1" s="1" t="s">
        <v>185</v>
      </c>
      <c r="G1" s="1" t="s">
        <v>189</v>
      </c>
      <c r="H1" s="1" t="s">
        <v>219</v>
      </c>
      <c r="I1" s="1" t="s">
        <v>6</v>
      </c>
      <c r="J1" s="1"/>
      <c r="K1" s="8" t="s">
        <v>200</v>
      </c>
      <c r="L1" s="9" t="s">
        <v>218</v>
      </c>
      <c r="M1" s="1"/>
      <c r="N1" s="1"/>
      <c r="O1" s="1" t="s">
        <v>9</v>
      </c>
      <c r="P1" s="1" t="s">
        <v>192</v>
      </c>
      <c r="Q1" s="1" t="s">
        <v>244</v>
      </c>
      <c r="R1" s="23" t="s">
        <v>192</v>
      </c>
      <c r="S1" s="23" t="s">
        <v>226</v>
      </c>
    </row>
    <row r="2" spans="1:19" x14ac:dyDescent="0.3">
      <c r="A2" t="s">
        <v>139</v>
      </c>
      <c r="B2">
        <f>IFERROR(VLOOKUP(A2, Configuracion!$A:$B, 2, FALSE), 0)</f>
        <v>1</v>
      </c>
      <c r="C2" t="s">
        <v>184</v>
      </c>
      <c r="D2" s="17">
        <v>1</v>
      </c>
      <c r="E2">
        <f>IF(C2="Venta", IFERROR(VLOOKUP(A2, Configuracion!$A:$D, 3, FALSE), 0), 0)</f>
        <v>3150</v>
      </c>
      <c r="F2">
        <f>E2*D2</f>
        <v>3150</v>
      </c>
      <c r="G2" t="s">
        <v>10</v>
      </c>
      <c r="H2">
        <f>IF(AND(G2="Gestor", A2&lt;&gt;""), VLOOKUP(A2, Configuracion!$A:$D, 4, FALSE), 0)*Tabla15[[#This Row],[CANTIDAD]]</f>
        <v>8000</v>
      </c>
      <c r="I2">
        <f t="shared" ref="I2:I19" si="0">IF(OR(A2="", D2=""), "", IF(C2="Entrada", B2+D2, IF(OR(C2="Venta", C2="Salida"), B2-D2, B2)))</f>
        <v>0</v>
      </c>
      <c r="K2" s="6" t="s">
        <v>205</v>
      </c>
      <c r="L2" s="7">
        <v>540</v>
      </c>
      <c r="N2" s="2" t="s">
        <v>191</v>
      </c>
      <c r="O2" s="2">
        <f>Tabla15[[#Totals],[IMPORTE]]</f>
        <v>9440</v>
      </c>
      <c r="P2" s="2">
        <f>O2</f>
        <v>9440</v>
      </c>
      <c r="Q2" s="1"/>
    </row>
    <row r="3" spans="1:19" x14ac:dyDescent="0.3">
      <c r="A3" t="s">
        <v>239</v>
      </c>
      <c r="B3">
        <f>IFERROR(VLOOKUP(A3, Configuracion!$A:$B, 2, FALSE), 0)</f>
        <v>87</v>
      </c>
      <c r="C3" t="s">
        <v>184</v>
      </c>
      <c r="D3" s="17">
        <v>18</v>
      </c>
      <c r="E3">
        <f>IF(C3="Venta", IFERROR(VLOOKUP(A3, Configuracion!$A:$D, 3, FALSE), 0), 0)</f>
        <v>180</v>
      </c>
      <c r="F3">
        <f>E3*D3</f>
        <v>3240</v>
      </c>
      <c r="G3" t="s">
        <v>10</v>
      </c>
      <c r="H3">
        <f>IF(AND(G3="Gestor", A3&lt;&gt;""), VLOOKUP(A3, Configuracion!$A:$D, 4, FALSE), 0)*Tabla15[[#This Row],[CANTIDAD]]</f>
        <v>18000</v>
      </c>
      <c r="I3">
        <f t="shared" si="0"/>
        <v>69</v>
      </c>
      <c r="K3" s="10" t="s">
        <v>206</v>
      </c>
      <c r="L3" s="11">
        <v>20</v>
      </c>
      <c r="N3" s="3" t="s">
        <v>194</v>
      </c>
      <c r="O3" s="3">
        <v>4710</v>
      </c>
      <c r="P3" s="3">
        <f>O3</f>
        <v>4710</v>
      </c>
    </row>
    <row r="4" spans="1:19" x14ac:dyDescent="0.3">
      <c r="A4" t="s">
        <v>99</v>
      </c>
      <c r="B4">
        <f>IFERROR(VLOOKUP(A4, Configuracion!$A:$B, 2, FALSE), 0)</f>
        <v>2</v>
      </c>
      <c r="C4" t="s">
        <v>184</v>
      </c>
      <c r="D4" s="17">
        <v>1</v>
      </c>
      <c r="E4">
        <f>IF(C4="Venta", IFERROR(VLOOKUP(A4, Configuracion!$A:$D, 3, FALSE), 0), 0)</f>
        <v>320</v>
      </c>
      <c r="F4">
        <f t="shared" ref="F4:F68" si="1">E4*D4</f>
        <v>320</v>
      </c>
      <c r="G4" t="s">
        <v>10</v>
      </c>
      <c r="H4">
        <f>IF(AND(G4="Gestor", A4&lt;&gt;""), VLOOKUP(A4, Configuracion!$A:$D, 4, FALSE), 0)*Tabla15[[#This Row],[CANTIDAD]]</f>
        <v>3000</v>
      </c>
      <c r="I4">
        <f t="shared" si="0"/>
        <v>1</v>
      </c>
      <c r="N4" s="3" t="s">
        <v>195</v>
      </c>
      <c r="O4" s="3">
        <v>360</v>
      </c>
      <c r="P4" s="3">
        <f>O4</f>
        <v>360</v>
      </c>
    </row>
    <row r="5" spans="1:19" x14ac:dyDescent="0.3">
      <c r="A5" t="s">
        <v>77</v>
      </c>
      <c r="B5">
        <f>IFERROR(VLOOKUP(A5, Configuracion!$A:$B, 2, FALSE), 0)</f>
        <v>12</v>
      </c>
      <c r="C5" t="s">
        <v>184</v>
      </c>
      <c r="D5" s="17">
        <v>2</v>
      </c>
      <c r="E5">
        <f>IF(C5="Venta", IFERROR(VLOOKUP(A5, Configuracion!$A:$D, 3, FALSE), 0), 0)</f>
        <v>170</v>
      </c>
      <c r="F5">
        <f t="shared" si="1"/>
        <v>340</v>
      </c>
      <c r="G5" t="s">
        <v>10</v>
      </c>
      <c r="H5">
        <f>IF(AND(G5="Gestor", A5&lt;&gt;""), VLOOKUP(A5, Configuracion!$A:$D, 4, FALSE), 0)*Tabla15[[#This Row],[CANTIDAD]]</f>
        <v>6000</v>
      </c>
      <c r="I5">
        <f t="shared" si="0"/>
        <v>10</v>
      </c>
      <c r="N5" s="3" t="s">
        <v>196</v>
      </c>
      <c r="O5" s="3"/>
      <c r="P5" s="3">
        <f>O5/L3</f>
        <v>0</v>
      </c>
    </row>
    <row r="6" spans="1:19" x14ac:dyDescent="0.3">
      <c r="A6" t="s">
        <v>232</v>
      </c>
      <c r="B6">
        <f>IFERROR(VLOOKUP(A6, Configuracion!$A:$B, 2, FALSE), 0)</f>
        <v>1</v>
      </c>
      <c r="C6" t="s">
        <v>184</v>
      </c>
      <c r="D6" s="17">
        <v>1</v>
      </c>
      <c r="E6">
        <f>IF(C6="Venta", IFERROR(VLOOKUP(A6, Configuracion!$A:$D, 3, FALSE), 0), 0)</f>
        <v>2050</v>
      </c>
      <c r="F6">
        <f t="shared" si="1"/>
        <v>2050</v>
      </c>
      <c r="G6" t="s">
        <v>188</v>
      </c>
      <c r="H6">
        <f>IF(AND(G6="Gestor", A6&lt;&gt;""), VLOOKUP(A6, Configuracion!$A:$D, 4, FALSE), 0)*Tabla15[[#This Row],[CANTIDAD]]</f>
        <v>0</v>
      </c>
      <c r="I6">
        <f t="shared" si="0"/>
        <v>0</v>
      </c>
      <c r="N6" s="3" t="s">
        <v>197</v>
      </c>
      <c r="O6" s="3">
        <v>1252800</v>
      </c>
      <c r="P6" s="3">
        <f>O6/L2</f>
        <v>2320</v>
      </c>
    </row>
    <row r="7" spans="1:19" x14ac:dyDescent="0.3">
      <c r="A7" t="s">
        <v>129</v>
      </c>
      <c r="B7">
        <f>IFERROR(VLOOKUP(A7, Configuracion!$A:$B, 2, FALSE), 0)</f>
        <v>2</v>
      </c>
      <c r="C7" t="s">
        <v>184</v>
      </c>
      <c r="D7" s="17">
        <v>1</v>
      </c>
      <c r="E7">
        <f>IF(C7="Venta", IFERROR(VLOOKUP(A7, Configuracion!$A:$D, 3, FALSE), 0), 0)</f>
        <v>170</v>
      </c>
      <c r="F7">
        <f t="shared" si="1"/>
        <v>170</v>
      </c>
      <c r="G7" t="s">
        <v>10</v>
      </c>
      <c r="H7">
        <f>IF(AND(G7="Gestor", A7&lt;&gt;""), VLOOKUP(A7, Configuracion!$A:$D, 4, FALSE), 0)*Tabla15[[#This Row],[CANTIDAD]]</f>
        <v>1000</v>
      </c>
      <c r="I7">
        <f t="shared" si="0"/>
        <v>1</v>
      </c>
      <c r="N7" s="3" t="s">
        <v>198</v>
      </c>
      <c r="O7" s="3"/>
      <c r="P7" s="3">
        <f>O7/L2</f>
        <v>0</v>
      </c>
    </row>
    <row r="8" spans="1:19" x14ac:dyDescent="0.3">
      <c r="A8" t="s">
        <v>126</v>
      </c>
      <c r="B8">
        <f>IFERROR(VLOOKUP(A8, Configuracion!$A:$B, 2, FALSE), 0)</f>
        <v>11</v>
      </c>
      <c r="C8" t="s">
        <v>184</v>
      </c>
      <c r="D8" s="17">
        <v>1</v>
      </c>
      <c r="E8">
        <v>170</v>
      </c>
      <c r="F8">
        <f t="shared" si="1"/>
        <v>170</v>
      </c>
      <c r="G8" t="s">
        <v>188</v>
      </c>
      <c r="H8">
        <f>IF(AND(G8="Gestor", A8&lt;&gt;""), VLOOKUP(A8, Configuracion!$A:$D, 4, FALSE), 0)*Tabla15[[#This Row],[CANTIDAD]]</f>
        <v>0</v>
      </c>
      <c r="I8">
        <f t="shared" si="0"/>
        <v>10</v>
      </c>
      <c r="N8" s="3" t="s">
        <v>199</v>
      </c>
      <c r="O8" s="3"/>
      <c r="P8" s="3">
        <f>O8</f>
        <v>0</v>
      </c>
    </row>
    <row r="9" spans="1:19" x14ac:dyDescent="0.3">
      <c r="B9">
        <f>IFERROR(VLOOKUP(A9, Configuracion!$A:$B, 2, FALSE), 0)</f>
        <v>0</v>
      </c>
      <c r="D9" s="17">
        <v>1</v>
      </c>
      <c r="E9">
        <f>IF(C9="Venta", IFERROR(VLOOKUP(A9, Configuracion!$A:$D, 3, FALSE), 0), 0)</f>
        <v>0</v>
      </c>
      <c r="F9">
        <f t="shared" si="1"/>
        <v>0</v>
      </c>
      <c r="H9">
        <f>IF(AND(G9="Gestor", A9&lt;&gt;""), VLOOKUP(A9, Configuracion!$A:$D, 4, FALSE), 0)*Tabla15[[#This Row],[CANTIDAD]]</f>
        <v>0</v>
      </c>
      <c r="I9" t="str">
        <f t="shared" si="0"/>
        <v/>
      </c>
      <c r="N9" s="2" t="s">
        <v>193</v>
      </c>
      <c r="O9" s="3"/>
      <c r="P9" s="32">
        <f>P3+P4+P5+P6+P7+P8</f>
        <v>7390</v>
      </c>
      <c r="Q9" s="27"/>
    </row>
    <row r="10" spans="1:19" x14ac:dyDescent="0.3">
      <c r="B10">
        <f>IFERROR(VLOOKUP(A10, Configuracion!$A:$B, 2, FALSE), 0)</f>
        <v>0</v>
      </c>
      <c r="E10">
        <f>IF(C10="Venta", IFERROR(VLOOKUP(A10, Configuracion!$A:$D, 3, FALSE), 0), 0)</f>
        <v>0</v>
      </c>
      <c r="F10">
        <f t="shared" si="1"/>
        <v>0</v>
      </c>
      <c r="H10">
        <f>IF(AND(G10="Gestor", A10&lt;&gt;""), VLOOKUP(A10, Configuracion!$A:$D, 4, FALSE), 0)*Tabla15[[#This Row],[CANTIDAD]]</f>
        <v>0</v>
      </c>
      <c r="I10" t="str">
        <f t="shared" si="0"/>
        <v/>
      </c>
      <c r="N10" s="2" t="s">
        <v>208</v>
      </c>
      <c r="O10" s="3"/>
      <c r="P10" s="3">
        <f>P12+P11</f>
        <v>0</v>
      </c>
    </row>
    <row r="11" spans="1:19" x14ac:dyDescent="0.3">
      <c r="B11">
        <f>IFERROR(VLOOKUP(A11, Configuracion!$A:$B, 2, FALSE), 0)</f>
        <v>0</v>
      </c>
      <c r="E11">
        <f>IF(C11="Venta", IFERROR(VLOOKUP(A11, Configuracion!$A:$D, 3, FALSE), 0), 0)</f>
        <v>0</v>
      </c>
      <c r="F11">
        <f t="shared" si="1"/>
        <v>0</v>
      </c>
      <c r="H11">
        <f>IF(AND(G11="Gestor", A11&lt;&gt;""), VLOOKUP(A11, Configuracion!$A:$D, 4, FALSE), 0)*Tabla15[[#This Row],[CANTIDAD]]</f>
        <v>0</v>
      </c>
      <c r="I11" t="str">
        <f t="shared" si="0"/>
        <v/>
      </c>
      <c r="N11" s="3" t="s">
        <v>212</v>
      </c>
      <c r="O11" s="3"/>
      <c r="P11" s="3">
        <f>O11/L2</f>
        <v>0</v>
      </c>
    </row>
    <row r="12" spans="1:19" x14ac:dyDescent="0.3">
      <c r="B12">
        <f>IFERROR(VLOOKUP(A12, Configuracion!$A:$B, 2, FALSE), 0)</f>
        <v>0</v>
      </c>
      <c r="E12">
        <f>IF(C12="Venta", IFERROR(VLOOKUP(A12, Configuracion!$A:$D, 3, FALSE), 0), 0)</f>
        <v>0</v>
      </c>
      <c r="F12">
        <f t="shared" si="1"/>
        <v>0</v>
      </c>
      <c r="H12">
        <f>IF(AND(G12="Gestor", A12&lt;&gt;""), VLOOKUP(A12, Configuracion!$A:$D, 4, FALSE), 0)*Tabla15[[#This Row],[CANTIDAD]]</f>
        <v>0</v>
      </c>
      <c r="I12" t="str">
        <f t="shared" si="0"/>
        <v/>
      </c>
      <c r="N12" s="3" t="s">
        <v>194</v>
      </c>
      <c r="O12" s="3"/>
      <c r="P12" s="3">
        <f>O12</f>
        <v>0</v>
      </c>
    </row>
    <row r="13" spans="1:19" x14ac:dyDescent="0.3">
      <c r="B13">
        <f>IFERROR(VLOOKUP(A13, Configuracion!$A:$B, 2, FALSE), 0)</f>
        <v>0</v>
      </c>
      <c r="E13">
        <f>IF(C13="Venta", IFERROR(VLOOKUP(A13, Configuracion!$A:$D, 3, FALSE), 0), 0)</f>
        <v>0</v>
      </c>
      <c r="F13">
        <f t="shared" si="1"/>
        <v>0</v>
      </c>
      <c r="H13">
        <f>IF(AND(G13="Gestor", A13&lt;&gt;""), VLOOKUP(A13, Configuracion!$A:$D, 4, FALSE), 0)*Tabla15[[#This Row],[CANTIDAD]]</f>
        <v>0</v>
      </c>
      <c r="I13" t="str">
        <f t="shared" si="0"/>
        <v/>
      </c>
      <c r="N13" s="2" t="s">
        <v>201</v>
      </c>
      <c r="O13" s="3"/>
      <c r="P13" s="2">
        <f>P15+P14</f>
        <v>2050</v>
      </c>
    </row>
    <row r="14" spans="1:19" x14ac:dyDescent="0.3">
      <c r="B14">
        <f>IFERROR(VLOOKUP(A14, Configuracion!$A:$B, 2, FALSE), 0)</f>
        <v>0</v>
      </c>
      <c r="E14">
        <f>IF(C14="Venta", IFERROR(VLOOKUP(A14, Configuracion!$A:$D, 3, FALSE), 0), 0)</f>
        <v>0</v>
      </c>
      <c r="F14">
        <f t="shared" si="1"/>
        <v>0</v>
      </c>
      <c r="H14">
        <f>IF(AND(G14="Gestor", A14&lt;&gt;""), VLOOKUP(A14, Configuracion!$A:$D, 4, FALSE), 0)*Tabla15[[#This Row],[CANTIDAD]]</f>
        <v>0</v>
      </c>
      <c r="I14" t="str">
        <f t="shared" si="0"/>
        <v/>
      </c>
      <c r="N14" s="3" t="s">
        <v>212</v>
      </c>
      <c r="O14" s="3"/>
      <c r="P14" s="3">
        <f>O14/L2</f>
        <v>0</v>
      </c>
    </row>
    <row r="15" spans="1:19" x14ac:dyDescent="0.3">
      <c r="B15">
        <f>IFERROR(VLOOKUP(A15, Configuracion!$A:$B, 2, FALSE), 0)</f>
        <v>0</v>
      </c>
      <c r="E15">
        <f>IF(C15="Venta", IFERROR(VLOOKUP(A15, Configuracion!$A:$D, 3, FALSE), 0), 0)</f>
        <v>0</v>
      </c>
      <c r="F15">
        <f t="shared" si="1"/>
        <v>0</v>
      </c>
      <c r="H15">
        <f>IF(AND(G15="Gestor", A15&lt;&gt;""), VLOOKUP(A15, Configuracion!$A:$D, 4, FALSE), 0)*Tabla15[[#This Row],[CANTIDAD]]</f>
        <v>0</v>
      </c>
      <c r="I15" t="str">
        <f t="shared" si="0"/>
        <v/>
      </c>
      <c r="N15" s="3" t="s">
        <v>194</v>
      </c>
      <c r="O15" s="3">
        <v>2050</v>
      </c>
      <c r="P15" s="3">
        <v>2050</v>
      </c>
    </row>
    <row r="16" spans="1:19" x14ac:dyDescent="0.3">
      <c r="B16">
        <f>IFERROR(VLOOKUP(A16, Configuracion!$A:$B, 2, FALSE), 0)</f>
        <v>0</v>
      </c>
      <c r="E16">
        <f>IF(C16="Venta", IFERROR(VLOOKUP(A16, Configuracion!$A:$D, 3, FALSE), 0), 0)</f>
        <v>0</v>
      </c>
      <c r="F16">
        <f t="shared" si="1"/>
        <v>0</v>
      </c>
      <c r="H16">
        <f>IF(AND(G16="Gestor", A16&lt;&gt;""), VLOOKUP(A16, Configuracion!$A:$D, 4, FALSE), 0)*Tabla15[[#This Row],[CANTIDAD]]</f>
        <v>0</v>
      </c>
      <c r="I16" t="str">
        <f t="shared" si="0"/>
        <v/>
      </c>
      <c r="N16" s="2" t="s">
        <v>211</v>
      </c>
      <c r="O16" s="3"/>
      <c r="P16" s="5">
        <f>P9+P13-P10</f>
        <v>9440</v>
      </c>
      <c r="Q16" s="27"/>
      <c r="R16" s="24">
        <f>P2-P16</f>
        <v>0</v>
      </c>
      <c r="S16" s="25">
        <f>R16*L2</f>
        <v>0</v>
      </c>
    </row>
    <row r="17" spans="2:17" x14ac:dyDescent="0.3">
      <c r="B17">
        <f>IFERROR(VLOOKUP(A17, Configuracion!$A:$B, 2, FALSE), 0)</f>
        <v>0</v>
      </c>
      <c r="E17">
        <f>IF(C17="Venta", IFERROR(VLOOKUP(A17, Configuracion!$A:$D, 3, FALSE), 0), 0)</f>
        <v>0</v>
      </c>
      <c r="F17">
        <f t="shared" si="1"/>
        <v>0</v>
      </c>
      <c r="H17">
        <f>IF(AND(G17="Gestor", A17&lt;&gt;""), VLOOKUP(A17, Configuracion!$A:$D, 4, FALSE), 0)*Tabla15[[#This Row],[CANTIDAD]]</f>
        <v>0</v>
      </c>
      <c r="I17" t="str">
        <f t="shared" si="0"/>
        <v/>
      </c>
      <c r="N17" s="4"/>
      <c r="O17" s="4"/>
      <c r="P17" s="4"/>
      <c r="Q17" s="28"/>
    </row>
    <row r="18" spans="2:17" x14ac:dyDescent="0.3">
      <c r="B18">
        <f>IFERROR(VLOOKUP(A18, Configuracion!$A:$B, 2, FALSE), 0)</f>
        <v>0</v>
      </c>
      <c r="E18">
        <f>IF(C18="Venta", IFERROR(VLOOKUP(A18, Configuracion!$A:$D, 3, FALSE), 0), 0)</f>
        <v>0</v>
      </c>
      <c r="F18">
        <f t="shared" si="1"/>
        <v>0</v>
      </c>
      <c r="H18">
        <f>IF(AND(G18="Gestor", A18&lt;&gt;""), VLOOKUP(A18, Configuracion!$A:$D, 4, FALSE), 0)*Tabla15[[#This Row],[CANTIDAD]]</f>
        <v>0</v>
      </c>
      <c r="I18" t="str">
        <f t="shared" si="0"/>
        <v/>
      </c>
      <c r="O18" t="s">
        <v>202</v>
      </c>
      <c r="P18" t="s">
        <v>192</v>
      </c>
    </row>
    <row r="19" spans="2:17" x14ac:dyDescent="0.3">
      <c r="B19">
        <f>IFERROR(VLOOKUP(A19, Configuracion!$A:$B, 2, FALSE), 0)</f>
        <v>0</v>
      </c>
      <c r="E19">
        <f>IF(C19="Venta", IFERROR(VLOOKUP(A19, Configuracion!$A:$D, 3, FALSE), 0), 0)</f>
        <v>0</v>
      </c>
      <c r="F19">
        <f t="shared" si="1"/>
        <v>0</v>
      </c>
      <c r="H19">
        <f>IF(AND(G19="Gestor", A19&lt;&gt;""), VLOOKUP(A19, Configuracion!$A:$D, 4, FALSE), 0)*Tabla15[[#This Row],[CANTIDAD]]</f>
        <v>0</v>
      </c>
      <c r="I19" t="str">
        <f t="shared" si="0"/>
        <v/>
      </c>
      <c r="N19" s="2" t="s">
        <v>207</v>
      </c>
      <c r="O19" s="3">
        <v>100000</v>
      </c>
      <c r="P19" s="3">
        <v>150</v>
      </c>
    </row>
    <row r="20" spans="2:17" x14ac:dyDescent="0.3">
      <c r="B20">
        <f>IFERROR(VLOOKUP(A20, Configuracion!$A:$B, 2, FALSE), 0)</f>
        <v>0</v>
      </c>
      <c r="H20">
        <f>IF(AND(G20="Gestor", A20&lt;&gt;""), VLOOKUP(A20, Configuracion!$A:$D, 4, FALSE), 0)*Tabla15[[#This Row],[CANTIDAD]]</f>
        <v>0</v>
      </c>
      <c r="N20" s="3" t="s">
        <v>221</v>
      </c>
      <c r="O20" s="3"/>
      <c r="P20" s="3"/>
    </row>
    <row r="21" spans="2:17" x14ac:dyDescent="0.3">
      <c r="B21">
        <f>IFERROR(VLOOKUP(A21, Configuracion!$A:$B, 2, FALSE), 0)</f>
        <v>0</v>
      </c>
      <c r="E21">
        <f>IF(C21="Venta", IFERROR(VLOOKUP(A21, Configuracion!$A:$D, 3, FALSE), 0), 0)</f>
        <v>0</v>
      </c>
      <c r="F21">
        <f t="shared" si="1"/>
        <v>0</v>
      </c>
      <c r="H21">
        <f>IF(AND(G21="Gestor", A21&lt;&gt;""), VLOOKUP(A21, Configuracion!$A:$D, 4, FALSE), 0)*Tabla15[[#This Row],[CANTIDAD]]</f>
        <v>0</v>
      </c>
      <c r="I21" t="str">
        <f t="shared" ref="I21:I52" si="2">IF(OR(A21="", D21=""), "", IF(C21="Entrada", B21+D21, IF(OR(C21="Venta", C21="Salida"), B21-D21, B21)))</f>
        <v/>
      </c>
      <c r="N21" s="3" t="s">
        <v>203</v>
      </c>
      <c r="O21" s="3">
        <v>11000</v>
      </c>
      <c r="P21" s="3"/>
    </row>
    <row r="22" spans="2:17" x14ac:dyDescent="0.3">
      <c r="B22">
        <f>IFERROR(VLOOKUP(A22, Configuracion!$A:$B, 2, FALSE), 0)</f>
        <v>0</v>
      </c>
      <c r="E22">
        <f>IF(C22="Venta", IFERROR(VLOOKUP(A22, Configuracion!$A:$D, 3, FALSE), 0), 0)</f>
        <v>0</v>
      </c>
      <c r="F22">
        <f t="shared" si="1"/>
        <v>0</v>
      </c>
      <c r="H22">
        <f>IF(AND(G22="Gestor", A22&lt;&gt;""), VLOOKUP(A22, Configuracion!$A:$D, 4, FALSE), 0)*Tabla15[[#This Row],[CANTIDAD]]</f>
        <v>0</v>
      </c>
      <c r="I22" t="str">
        <f t="shared" si="2"/>
        <v/>
      </c>
      <c r="N22" s="3" t="s">
        <v>204</v>
      </c>
      <c r="O22" s="3">
        <v>2000</v>
      </c>
      <c r="P22" s="3"/>
      <c r="Q22" t="s">
        <v>246</v>
      </c>
    </row>
    <row r="23" spans="2:17" x14ac:dyDescent="0.3">
      <c r="B23">
        <f>IFERROR(VLOOKUP(A23, Configuracion!$A:$B, 2, FALSE), 0)</f>
        <v>0</v>
      </c>
      <c r="E23">
        <f>IF(C23="Venta", IFERROR(VLOOKUP(A23, Configuracion!$A:$D, 3, FALSE), 0), 0)</f>
        <v>0</v>
      </c>
      <c r="F23">
        <f t="shared" si="1"/>
        <v>0</v>
      </c>
      <c r="H23">
        <f>IF(AND(G23="Gestor", A23&lt;&gt;""), VLOOKUP(A23, Configuracion!$A:$D, 4, FALSE), 0)*Tabla15[[#This Row],[CANTIDAD]]</f>
        <v>0</v>
      </c>
      <c r="I23" t="str">
        <f t="shared" si="2"/>
        <v/>
      </c>
      <c r="N23" s="3" t="s">
        <v>210</v>
      </c>
      <c r="O23" s="3">
        <v>42000</v>
      </c>
      <c r="P23" s="3"/>
    </row>
    <row r="24" spans="2:17" x14ac:dyDescent="0.3">
      <c r="B24">
        <f>IFERROR(VLOOKUP(A24, Configuracion!$A:$B, 2, FALSE), 0)</f>
        <v>0</v>
      </c>
      <c r="E24">
        <f>IF(C24="Venta", IFERROR(VLOOKUP(A24, Configuracion!$A:$D, 3, FALSE), 0), 0)</f>
        <v>0</v>
      </c>
      <c r="F24">
        <f t="shared" si="1"/>
        <v>0</v>
      </c>
      <c r="H24">
        <f>IF(AND(G24="Gestor", A24&lt;&gt;""), VLOOKUP(A24, Configuracion!$A:$D, 4, FALSE), 0)*Tabla15[[#This Row],[CANTIDAD]]</f>
        <v>0</v>
      </c>
      <c r="I24" t="str">
        <f t="shared" si="2"/>
        <v/>
      </c>
      <c r="N24" s="2" t="s">
        <v>209</v>
      </c>
      <c r="O24" s="3">
        <f>O19-O21-O22-O23-O20</f>
        <v>45000</v>
      </c>
      <c r="P24" s="3">
        <f>P19-P21-P22-P23-P20</f>
        <v>150</v>
      </c>
    </row>
    <row r="25" spans="2:17" x14ac:dyDescent="0.3">
      <c r="B25">
        <f>IFERROR(VLOOKUP(A25, Configuracion!$A:$B, 2, FALSE), 0)</f>
        <v>0</v>
      </c>
      <c r="E25">
        <f>IF(C25="Venta", IFERROR(VLOOKUP(A25, Configuracion!$A:$D, 3, FALSE), 0), 0)</f>
        <v>0</v>
      </c>
      <c r="F25">
        <f t="shared" si="1"/>
        <v>0</v>
      </c>
      <c r="H25">
        <f>IF(AND(G25="Gestor", A25&lt;&gt;""), VLOOKUP(A25, Configuracion!$A:$D, 4, FALSE), 0)*Tabla15[[#This Row],[CANTIDAD]]</f>
        <v>0</v>
      </c>
      <c r="I25" t="str">
        <f t="shared" si="2"/>
        <v/>
      </c>
    </row>
    <row r="26" spans="2:17" x14ac:dyDescent="0.3">
      <c r="B26">
        <f>IFERROR(VLOOKUP(A26, Configuracion!$A:$B, 2, FALSE), 0)</f>
        <v>0</v>
      </c>
      <c r="E26">
        <f>IF(C26="Venta", IFERROR(VLOOKUP(A26, Configuracion!$A:$D, 3, FALSE), 0), 0)</f>
        <v>0</v>
      </c>
      <c r="F26">
        <f t="shared" si="1"/>
        <v>0</v>
      </c>
      <c r="H26">
        <f>IF(AND(G26="Gestor", A26&lt;&gt;""), VLOOKUP(A26, Configuracion!$A:$D, 4, FALSE), 0)*Tabla15[[#This Row],[CANTIDAD]]</f>
        <v>0</v>
      </c>
      <c r="I26" t="str">
        <f t="shared" si="2"/>
        <v/>
      </c>
    </row>
    <row r="27" spans="2:17" x14ac:dyDescent="0.3">
      <c r="B27">
        <f>IFERROR(VLOOKUP(A27, Configuracion!$A:$B, 2, FALSE), 0)</f>
        <v>0</v>
      </c>
      <c r="E27">
        <f>IF(C27="Venta", IFERROR(VLOOKUP(A27, Configuracion!$A:$D, 3, FALSE), 0), 0)</f>
        <v>0</v>
      </c>
      <c r="F27">
        <f t="shared" si="1"/>
        <v>0</v>
      </c>
      <c r="H27">
        <f>IF(AND(G27="Gestor", A27&lt;&gt;""), VLOOKUP(A27, Configuracion!$A:$D, 4, FALSE), 0)*Tabla15[[#This Row],[CANTIDAD]]</f>
        <v>0</v>
      </c>
      <c r="I27" t="str">
        <f t="shared" si="2"/>
        <v/>
      </c>
    </row>
    <row r="28" spans="2:17" x14ac:dyDescent="0.3">
      <c r="B28">
        <f>IFERROR(VLOOKUP(A28, Configuracion!$A:$B, 2, FALSE), 0)</f>
        <v>0</v>
      </c>
      <c r="E28">
        <f>IF(C28="Venta", IFERROR(VLOOKUP(A28, Configuracion!$A:$D, 3, FALSE), 0), 0)</f>
        <v>0</v>
      </c>
      <c r="F28">
        <f t="shared" si="1"/>
        <v>0</v>
      </c>
      <c r="H28">
        <f>IF(AND(G28="Gestor", A28&lt;&gt;""), VLOOKUP(A28, Configuracion!$A:$D, 4, FALSE), 0)*Tabla15[[#This Row],[CANTIDAD]]</f>
        <v>0</v>
      </c>
      <c r="I28" t="str">
        <f t="shared" si="2"/>
        <v/>
      </c>
    </row>
    <row r="29" spans="2:17" x14ac:dyDescent="0.3">
      <c r="B29">
        <f>IFERROR(VLOOKUP(A29, Configuracion!$A:$B, 2, FALSE), 0)</f>
        <v>0</v>
      </c>
      <c r="E29">
        <f>IF(C29="Venta", IFERROR(VLOOKUP(A29, Configuracion!$A:$D, 3, FALSE), 0), 0)</f>
        <v>0</v>
      </c>
      <c r="F29">
        <f t="shared" si="1"/>
        <v>0</v>
      </c>
      <c r="H29">
        <f>IF(AND(G29="Gestor", A29&lt;&gt;""), VLOOKUP(A29, Configuracion!$A:$D, 4, FALSE), 0)*Tabla15[[#This Row],[CANTIDAD]]</f>
        <v>0</v>
      </c>
      <c r="I29" t="str">
        <f t="shared" si="2"/>
        <v/>
      </c>
      <c r="N29" s="1"/>
      <c r="O29" s="1"/>
      <c r="P29" s="1"/>
      <c r="Q29" s="1"/>
    </row>
    <row r="30" spans="2:17" x14ac:dyDescent="0.3">
      <c r="B30">
        <f>IFERROR(VLOOKUP(A30, Configuracion!$A:$B, 2, FALSE), 0)</f>
        <v>0</v>
      </c>
      <c r="E30">
        <f>IF(C30="Venta", IFERROR(VLOOKUP(A30, Configuracion!$A:$D, 3, FALSE), 0), 0)</f>
        <v>0</v>
      </c>
      <c r="F30">
        <f t="shared" si="1"/>
        <v>0</v>
      </c>
      <c r="H30">
        <f>IF(AND(G30="Gestor", A30&lt;&gt;""), VLOOKUP(A30, Configuracion!$A:$D, 4, FALSE), 0)*Tabla15[[#This Row],[CANTIDAD]]</f>
        <v>0</v>
      </c>
      <c r="I30" t="str">
        <f t="shared" si="2"/>
        <v/>
      </c>
    </row>
    <row r="31" spans="2:17" x14ac:dyDescent="0.3">
      <c r="B31">
        <f>IFERROR(VLOOKUP(A31, Configuracion!$A:$B, 2, FALSE), 0)</f>
        <v>0</v>
      </c>
      <c r="E31">
        <f>IF(C31="Venta", IFERROR(VLOOKUP(A31, Configuracion!$A:$D, 3, FALSE), 0), 0)</f>
        <v>0</v>
      </c>
      <c r="F31">
        <f t="shared" si="1"/>
        <v>0</v>
      </c>
      <c r="H31">
        <f>IF(AND(G31="Gestor", A31&lt;&gt;""), VLOOKUP(A31, Configuracion!$A:$D, 4, FALSE), 0)*Tabla15[[#This Row],[CANTIDAD]]</f>
        <v>0</v>
      </c>
      <c r="I31" t="str">
        <f t="shared" si="2"/>
        <v/>
      </c>
    </row>
    <row r="32" spans="2:17" x14ac:dyDescent="0.3">
      <c r="B32">
        <f>IFERROR(VLOOKUP(A32, Configuracion!$A:$B, 2, FALSE), 0)</f>
        <v>0</v>
      </c>
      <c r="E32">
        <f>IF(C32="Venta", IFERROR(VLOOKUP(A32, Configuracion!$A:$D, 3, FALSE), 0), 0)</f>
        <v>0</v>
      </c>
      <c r="F32">
        <f t="shared" si="1"/>
        <v>0</v>
      </c>
      <c r="H32">
        <f>IF(AND(G32="Gestor", A32&lt;&gt;""), VLOOKUP(A32, Configuracion!$A:$D, 4, FALSE), 0)*Tabla15[[#This Row],[CANTIDAD]]</f>
        <v>0</v>
      </c>
      <c r="I32" t="str">
        <f t="shared" si="2"/>
        <v/>
      </c>
    </row>
    <row r="33" spans="2:14" x14ac:dyDescent="0.3">
      <c r="B33">
        <f>IFERROR(VLOOKUP(A33, Configuracion!$A:$B, 2, FALSE), 0)</f>
        <v>0</v>
      </c>
      <c r="E33">
        <f>IF(C33="Venta", IFERROR(VLOOKUP(A33, Configuracion!$A:$D, 3, FALSE), 0), 0)</f>
        <v>0</v>
      </c>
      <c r="F33">
        <f t="shared" si="1"/>
        <v>0</v>
      </c>
      <c r="H33">
        <f>IF(AND(G33="Gestor", A33&lt;&gt;""), VLOOKUP(A33, Configuracion!$A:$D, 4, FALSE), 0)*Tabla15[[#This Row],[CANTIDAD]]</f>
        <v>0</v>
      </c>
      <c r="I33" t="str">
        <f t="shared" si="2"/>
        <v/>
      </c>
    </row>
    <row r="34" spans="2:14" x14ac:dyDescent="0.3">
      <c r="B34">
        <f>IFERROR(VLOOKUP(A34, Configuracion!$A:$B, 2, FALSE), 0)</f>
        <v>0</v>
      </c>
      <c r="E34">
        <f>IF(C34="Venta", IFERROR(VLOOKUP(A34, Configuracion!$A:$D, 3, FALSE), 0), 0)</f>
        <v>0</v>
      </c>
      <c r="F34">
        <f t="shared" si="1"/>
        <v>0</v>
      </c>
      <c r="H34">
        <f>IF(AND(G34="Gestor", A34&lt;&gt;""), VLOOKUP(A34, Configuracion!$A:$D, 4, FALSE), 0)*Tabla15[[#This Row],[CANTIDAD]]</f>
        <v>0</v>
      </c>
      <c r="I34" t="str">
        <f t="shared" si="2"/>
        <v/>
      </c>
    </row>
    <row r="35" spans="2:14" x14ac:dyDescent="0.3">
      <c r="B35">
        <f>IFERROR(VLOOKUP(A35, Configuracion!$A:$B, 2, FALSE), 0)</f>
        <v>0</v>
      </c>
      <c r="E35">
        <f>IF(C35="Venta", IFERROR(VLOOKUP(A35, Configuracion!$A:$D, 3, FALSE), 0), 0)</f>
        <v>0</v>
      </c>
      <c r="F35">
        <f t="shared" si="1"/>
        <v>0</v>
      </c>
      <c r="H35">
        <f>IF(AND(G35="Gestor", A35&lt;&gt;""), VLOOKUP(A35, Configuracion!$A:$D, 4, FALSE), 0)*Tabla15[[#This Row],[CANTIDAD]]</f>
        <v>0</v>
      </c>
      <c r="I35" t="str">
        <f t="shared" si="2"/>
        <v/>
      </c>
    </row>
    <row r="36" spans="2:14" x14ac:dyDescent="0.3">
      <c r="B36">
        <f>IFERROR(VLOOKUP(A36, Configuracion!$A:$B, 2, FALSE), 0)</f>
        <v>0</v>
      </c>
      <c r="E36">
        <f>IF(C36="Venta", IFERROR(VLOOKUP(A36, Configuracion!$A:$D, 3, FALSE), 0), 0)</f>
        <v>0</v>
      </c>
      <c r="F36">
        <f t="shared" si="1"/>
        <v>0</v>
      </c>
      <c r="H36">
        <f>IF(AND(G36="Gestor", A36&lt;&gt;""), VLOOKUP(A36, Configuracion!$A:$D, 4, FALSE), 0)*Tabla15[[#This Row],[CANTIDAD]]</f>
        <v>0</v>
      </c>
      <c r="I36" t="str">
        <f t="shared" si="2"/>
        <v/>
      </c>
      <c r="N36" s="1"/>
    </row>
    <row r="37" spans="2:14" x14ac:dyDescent="0.3">
      <c r="B37">
        <f>IFERROR(VLOOKUP(A37, Configuracion!$A:$B, 2, FALSE), 0)</f>
        <v>0</v>
      </c>
      <c r="E37">
        <f>IF(C37="Venta", IFERROR(VLOOKUP(A37, Configuracion!$A:$D, 3, FALSE), 0), 0)</f>
        <v>0</v>
      </c>
      <c r="F37">
        <f t="shared" si="1"/>
        <v>0</v>
      </c>
      <c r="H37">
        <f>IF(AND(G37="Gestor", A37&lt;&gt;""), VLOOKUP(A37, Configuracion!$A:$D, 4, FALSE), 0)*Tabla15[[#This Row],[CANTIDAD]]</f>
        <v>0</v>
      </c>
      <c r="I37" t="str">
        <f t="shared" si="2"/>
        <v/>
      </c>
      <c r="N37" s="1"/>
    </row>
    <row r="38" spans="2:14" x14ac:dyDescent="0.3">
      <c r="B38">
        <f>IFERROR(VLOOKUP(A38, Configuracion!$A:$B, 2, FALSE), 0)</f>
        <v>0</v>
      </c>
      <c r="E38">
        <f>IF(C38="Venta", IFERROR(VLOOKUP(A38, Configuracion!$A:$D, 3, FALSE), 0), 0)</f>
        <v>0</v>
      </c>
      <c r="F38">
        <f t="shared" si="1"/>
        <v>0</v>
      </c>
      <c r="H38">
        <f>IF(AND(G38="Gestor", A38&lt;&gt;""), VLOOKUP(A38, Configuracion!$A:$D, 4, FALSE), 0)*Tabla15[[#This Row],[CANTIDAD]]</f>
        <v>0</v>
      </c>
      <c r="I38" t="str">
        <f t="shared" si="2"/>
        <v/>
      </c>
      <c r="N38" s="1"/>
    </row>
    <row r="39" spans="2:14" x14ac:dyDescent="0.3">
      <c r="B39">
        <f>IFERROR(VLOOKUP(A39, Configuracion!$A:$B, 2, FALSE), 0)</f>
        <v>0</v>
      </c>
      <c r="E39">
        <f>IF(C39="Venta", IFERROR(VLOOKUP(A39, Configuracion!$A:$D, 3, FALSE), 0), 0)</f>
        <v>0</v>
      </c>
      <c r="F39">
        <f t="shared" si="1"/>
        <v>0</v>
      </c>
      <c r="H39">
        <f>IF(AND(G39="Gestor", A39&lt;&gt;""), VLOOKUP(A39, Configuracion!$A:$D, 4, FALSE), 0)*Tabla15[[#This Row],[CANTIDAD]]</f>
        <v>0</v>
      </c>
      <c r="I39" t="str">
        <f t="shared" si="2"/>
        <v/>
      </c>
      <c r="N39" s="1"/>
    </row>
    <row r="40" spans="2:14" x14ac:dyDescent="0.3">
      <c r="B40">
        <f>IFERROR(VLOOKUP(A40, Configuracion!$A:$B, 2, FALSE), 0)</f>
        <v>0</v>
      </c>
      <c r="E40">
        <f>IF(C40="Venta", IFERROR(VLOOKUP(A40, Configuracion!$A:$D, 3, FALSE), 0), 0)</f>
        <v>0</v>
      </c>
      <c r="F40">
        <f t="shared" si="1"/>
        <v>0</v>
      </c>
      <c r="H40">
        <f>IF(AND(G40="Gestor", A40&lt;&gt;""), VLOOKUP(A40, Configuracion!$A:$D, 4, FALSE), 0)*Tabla15[[#This Row],[CANTIDAD]]</f>
        <v>0</v>
      </c>
      <c r="I40" t="str">
        <f t="shared" si="2"/>
        <v/>
      </c>
      <c r="N40" s="1"/>
    </row>
    <row r="41" spans="2:14" x14ac:dyDescent="0.3">
      <c r="B41">
        <f>IFERROR(VLOOKUP(A41, Configuracion!$A:$B, 2, FALSE), 0)</f>
        <v>0</v>
      </c>
      <c r="E41">
        <f>IF(C41="Venta", IFERROR(VLOOKUP(A41, Configuracion!$A:$D, 3, FALSE), 0), 0)</f>
        <v>0</v>
      </c>
      <c r="F41">
        <f t="shared" si="1"/>
        <v>0</v>
      </c>
      <c r="H41">
        <f>IF(AND(G41="Gestor", A41&lt;&gt;""), VLOOKUP(A41, Configuracion!$A:$D, 4, FALSE), 0)*Tabla15[[#This Row],[CANTIDAD]]</f>
        <v>0</v>
      </c>
      <c r="I41" t="str">
        <f t="shared" si="2"/>
        <v/>
      </c>
      <c r="N41" s="1"/>
    </row>
    <row r="42" spans="2:14" x14ac:dyDescent="0.3">
      <c r="B42">
        <f>IFERROR(VLOOKUP(A42, Configuracion!$A:$B, 2, FALSE), 0)</f>
        <v>0</v>
      </c>
      <c r="E42">
        <f>IF(C42="Venta", IFERROR(VLOOKUP(A42, Configuracion!$A:$D, 3, FALSE), 0), 0)</f>
        <v>0</v>
      </c>
      <c r="F42">
        <f t="shared" si="1"/>
        <v>0</v>
      </c>
      <c r="H42">
        <f>IF(AND(G42="Gestor", A42&lt;&gt;""), VLOOKUP(A42, Configuracion!$A:$D, 4, FALSE), 0)*Tabla15[[#This Row],[CANTIDAD]]</f>
        <v>0</v>
      </c>
      <c r="I42" t="str">
        <f t="shared" si="2"/>
        <v/>
      </c>
    </row>
    <row r="43" spans="2:14" x14ac:dyDescent="0.3">
      <c r="B43">
        <f>IFERROR(VLOOKUP(A43, Configuracion!$A:$B, 2, FALSE), 0)</f>
        <v>0</v>
      </c>
      <c r="E43">
        <f>IF(C43="Venta", IFERROR(VLOOKUP(A43, Configuracion!$A:$D, 3, FALSE), 0), 0)</f>
        <v>0</v>
      </c>
      <c r="F43">
        <f t="shared" si="1"/>
        <v>0</v>
      </c>
      <c r="H43">
        <f>IF(AND(G43="Gestor", A43&lt;&gt;""), VLOOKUP(A43, Configuracion!$A:$D, 4, FALSE), 0)*Tabla15[[#This Row],[CANTIDAD]]</f>
        <v>0</v>
      </c>
      <c r="I43" t="str">
        <f t="shared" si="2"/>
        <v/>
      </c>
    </row>
    <row r="44" spans="2:14" x14ac:dyDescent="0.3">
      <c r="B44">
        <f>IFERROR(VLOOKUP(A44, Configuracion!$A:$B, 2, FALSE), 0)</f>
        <v>0</v>
      </c>
      <c r="E44">
        <f>IF(C44="Venta", IFERROR(VLOOKUP(A44, Configuracion!$A:$D, 3, FALSE), 0), 0)</f>
        <v>0</v>
      </c>
      <c r="F44">
        <f t="shared" si="1"/>
        <v>0</v>
      </c>
      <c r="H44">
        <f>IF(AND(G44="Gestor", A44&lt;&gt;""), VLOOKUP(A44, Configuracion!$A:$D, 4, FALSE), 0)*Tabla15[[#This Row],[CANTIDAD]]</f>
        <v>0</v>
      </c>
      <c r="I44" t="str">
        <f t="shared" si="2"/>
        <v/>
      </c>
    </row>
    <row r="45" spans="2:14" x14ac:dyDescent="0.3">
      <c r="B45">
        <f>IFERROR(VLOOKUP(A45, Configuracion!$A:$B, 2, FALSE), 0)</f>
        <v>0</v>
      </c>
      <c r="E45">
        <f>IF(C45="Venta", IFERROR(VLOOKUP(A45, Configuracion!$A:$D, 3, FALSE), 0), 0)</f>
        <v>0</v>
      </c>
      <c r="F45">
        <f t="shared" si="1"/>
        <v>0</v>
      </c>
      <c r="H45">
        <f>IF(AND(G45="Gestor", A45&lt;&gt;""), VLOOKUP(A45, Configuracion!$A:$D, 4, FALSE), 0)*Tabla15[[#This Row],[CANTIDAD]]</f>
        <v>0</v>
      </c>
      <c r="I45" t="str">
        <f t="shared" si="2"/>
        <v/>
      </c>
      <c r="N45" s="1"/>
    </row>
    <row r="46" spans="2:14" x14ac:dyDescent="0.3">
      <c r="B46">
        <f>IFERROR(VLOOKUP(A46, Configuracion!$A:$B, 2, FALSE), 0)</f>
        <v>0</v>
      </c>
      <c r="E46">
        <f>IF(C46="Venta", IFERROR(VLOOKUP(A46, Configuracion!$A:$D, 3, FALSE), 0), 0)</f>
        <v>0</v>
      </c>
      <c r="F46">
        <f t="shared" si="1"/>
        <v>0</v>
      </c>
      <c r="H46">
        <f>IF(AND(G46="Gestor", A46&lt;&gt;""), VLOOKUP(A46, Configuracion!$A:$D, 4, FALSE), 0)*Tabla15[[#This Row],[CANTIDAD]]</f>
        <v>0</v>
      </c>
      <c r="I46" t="str">
        <f t="shared" si="2"/>
        <v/>
      </c>
    </row>
    <row r="47" spans="2:14" x14ac:dyDescent="0.3">
      <c r="B47">
        <f>IFERROR(VLOOKUP(A47, Configuracion!$A:$B, 2, FALSE), 0)</f>
        <v>0</v>
      </c>
      <c r="E47">
        <f>IF(C47="Venta", IFERROR(VLOOKUP(A47, Configuracion!$A:$D, 3, FALSE), 0), 0)</f>
        <v>0</v>
      </c>
      <c r="F47">
        <f t="shared" si="1"/>
        <v>0</v>
      </c>
      <c r="H47">
        <f>IF(AND(G47="Gestor", A47&lt;&gt;""), VLOOKUP(A47, Configuracion!$A:$D, 4, FALSE), 0)*Tabla15[[#This Row],[CANTIDAD]]</f>
        <v>0</v>
      </c>
      <c r="I47" t="str">
        <f t="shared" si="2"/>
        <v/>
      </c>
    </row>
    <row r="48" spans="2:14" x14ac:dyDescent="0.3">
      <c r="B48">
        <f>IFERROR(VLOOKUP(A48, Configuracion!$A:$B, 2, FALSE), 0)</f>
        <v>0</v>
      </c>
      <c r="E48">
        <f>IF(C48="Venta", IFERROR(VLOOKUP(A48, Configuracion!$A:$D, 3, FALSE), 0), 0)</f>
        <v>0</v>
      </c>
      <c r="F48">
        <f t="shared" si="1"/>
        <v>0</v>
      </c>
      <c r="H48">
        <f>IF(AND(G48="Gestor", A48&lt;&gt;""), VLOOKUP(A48, Configuracion!$A:$D, 4, FALSE), 0)*Tabla15[[#This Row],[CANTIDAD]]</f>
        <v>0</v>
      </c>
      <c r="I48" t="str">
        <f t="shared" si="2"/>
        <v/>
      </c>
    </row>
    <row r="49" spans="2:9" x14ac:dyDescent="0.3">
      <c r="B49">
        <f>IFERROR(VLOOKUP(A49, Configuracion!$A:$B, 2, FALSE), 0)</f>
        <v>0</v>
      </c>
      <c r="E49">
        <f>IF(C49="Venta", IFERROR(VLOOKUP(A49, Configuracion!$A:$D, 3, FALSE), 0), 0)</f>
        <v>0</v>
      </c>
      <c r="F49">
        <f t="shared" si="1"/>
        <v>0</v>
      </c>
      <c r="H49">
        <f>IF(AND(G49="Gestor", A49&lt;&gt;""), VLOOKUP(A49, Configuracion!$A:$D, 4, FALSE), 0)*Tabla15[[#This Row],[CANTIDAD]]</f>
        <v>0</v>
      </c>
      <c r="I49" t="str">
        <f t="shared" si="2"/>
        <v/>
      </c>
    </row>
    <row r="50" spans="2:9" x14ac:dyDescent="0.3">
      <c r="B50">
        <f>IFERROR(VLOOKUP(A50, Configuracion!$A:$B, 2, FALSE), 0)</f>
        <v>0</v>
      </c>
      <c r="E50">
        <f>IF(C50="Venta", IFERROR(VLOOKUP(A50, Configuracion!$A:$D, 3, FALSE), 0), 0)</f>
        <v>0</v>
      </c>
      <c r="F50">
        <f t="shared" si="1"/>
        <v>0</v>
      </c>
      <c r="H50">
        <f>IF(AND(G50="Gestor", A50&lt;&gt;""), VLOOKUP(A50, Configuracion!$A:$D, 4, FALSE), 0)*Tabla15[[#This Row],[CANTIDAD]]</f>
        <v>0</v>
      </c>
      <c r="I50" t="str">
        <f t="shared" si="2"/>
        <v/>
      </c>
    </row>
    <row r="51" spans="2:9" x14ac:dyDescent="0.3">
      <c r="B51">
        <f>IFERROR(VLOOKUP(A51, Configuracion!$A:$B, 2, FALSE), 0)</f>
        <v>0</v>
      </c>
      <c r="E51">
        <f>IF(C51="Venta", IFERROR(VLOOKUP(A51, Configuracion!$A:$D, 3, FALSE), 0), 0)</f>
        <v>0</v>
      </c>
      <c r="F51">
        <f t="shared" si="1"/>
        <v>0</v>
      </c>
      <c r="H51">
        <f>IF(AND(G51="Gestor", A51&lt;&gt;""), VLOOKUP(A51, Configuracion!$A:$D, 4, FALSE), 0)*Tabla15[[#This Row],[CANTIDAD]]</f>
        <v>0</v>
      </c>
      <c r="I51" t="str">
        <f t="shared" si="2"/>
        <v/>
      </c>
    </row>
    <row r="52" spans="2:9" x14ac:dyDescent="0.3">
      <c r="B52">
        <f>IFERROR(VLOOKUP(A52, Configuracion!$A:$B, 2, FALSE), 0)</f>
        <v>0</v>
      </c>
      <c r="E52">
        <f>IF(C52="Venta", IFERROR(VLOOKUP(A52, Configuracion!$A:$D, 3, FALSE), 0), 0)</f>
        <v>0</v>
      </c>
      <c r="F52">
        <f t="shared" si="1"/>
        <v>0</v>
      </c>
      <c r="H52">
        <f>IF(AND(G52="Gestor", A52&lt;&gt;""), VLOOKUP(A52, Configuracion!$A:$D, 4, FALSE), 0)*Tabla15[[#This Row],[CANTIDAD]]</f>
        <v>0</v>
      </c>
      <c r="I52" t="str">
        <f t="shared" si="2"/>
        <v/>
      </c>
    </row>
    <row r="53" spans="2:9" x14ac:dyDescent="0.3">
      <c r="B53">
        <f>IFERROR(VLOOKUP(A53, Configuracion!$A:$B, 2, FALSE), 0)</f>
        <v>0</v>
      </c>
      <c r="E53">
        <f>IF(C53="Venta", IFERROR(VLOOKUP(A53, Configuracion!$A:$D, 3, FALSE), 0), 0)</f>
        <v>0</v>
      </c>
      <c r="F53">
        <f t="shared" si="1"/>
        <v>0</v>
      </c>
      <c r="H53">
        <f>IF(AND(G53="Gestor", A53&lt;&gt;""), VLOOKUP(A53, Configuracion!$A:$D, 4, FALSE), 0)*Tabla15[[#This Row],[CANTIDAD]]</f>
        <v>0</v>
      </c>
      <c r="I53" t="str">
        <f t="shared" ref="I53:I84" si="3">IF(OR(A53="", D53=""), "", IF(C53="Entrada", B53+D53, IF(OR(C53="Venta", C53="Salida"), B53-D53, B53)))</f>
        <v/>
      </c>
    </row>
    <row r="54" spans="2:9" x14ac:dyDescent="0.3">
      <c r="B54">
        <f>IFERROR(VLOOKUP(A54, Configuracion!$A:$B, 2, FALSE), 0)</f>
        <v>0</v>
      </c>
      <c r="E54">
        <f>IF(C54="Venta", IFERROR(VLOOKUP(A54, Configuracion!$A:$D, 3, FALSE), 0), 0)</f>
        <v>0</v>
      </c>
      <c r="F54">
        <f t="shared" si="1"/>
        <v>0</v>
      </c>
      <c r="H54">
        <f>IF(AND(G54="Gestor", A54&lt;&gt;""), VLOOKUP(A54, Configuracion!$A:$D, 4, FALSE), 0)*Tabla15[[#This Row],[CANTIDAD]]</f>
        <v>0</v>
      </c>
      <c r="I54" t="str">
        <f t="shared" si="3"/>
        <v/>
      </c>
    </row>
    <row r="55" spans="2:9" x14ac:dyDescent="0.3">
      <c r="B55">
        <f>IFERROR(VLOOKUP(A55, Configuracion!$A:$B, 2, FALSE), 0)</f>
        <v>0</v>
      </c>
      <c r="E55">
        <f>IF(C55="Venta", IFERROR(VLOOKUP(A55, Configuracion!$A:$D, 3, FALSE), 0), 0)</f>
        <v>0</v>
      </c>
      <c r="F55">
        <f t="shared" si="1"/>
        <v>0</v>
      </c>
      <c r="H55">
        <f>IF(AND(G55="Gestor", A55&lt;&gt;""), VLOOKUP(A55, Configuracion!$A:$D, 4, FALSE), 0)*Tabla15[[#This Row],[CANTIDAD]]</f>
        <v>0</v>
      </c>
      <c r="I55" t="str">
        <f t="shared" si="3"/>
        <v/>
      </c>
    </row>
    <row r="56" spans="2:9" x14ac:dyDescent="0.3">
      <c r="B56">
        <f>IFERROR(VLOOKUP(A56, Configuracion!$A:$B, 2, FALSE), 0)</f>
        <v>0</v>
      </c>
      <c r="E56">
        <f>IF(C56="Venta", IFERROR(VLOOKUP(A56, Configuracion!$A:$D, 3, FALSE), 0), 0)</f>
        <v>0</v>
      </c>
      <c r="F56">
        <f t="shared" si="1"/>
        <v>0</v>
      </c>
      <c r="H56">
        <f>IF(AND(G56="Gestor", A56&lt;&gt;""), VLOOKUP(A56, Configuracion!$A:$D, 4, FALSE), 0)*Tabla15[[#This Row],[CANTIDAD]]</f>
        <v>0</v>
      </c>
      <c r="I56" t="str">
        <f t="shared" si="3"/>
        <v/>
      </c>
    </row>
    <row r="57" spans="2:9" x14ac:dyDescent="0.3">
      <c r="B57">
        <f>IFERROR(VLOOKUP(A57, Configuracion!$A:$B, 2, FALSE), 0)</f>
        <v>0</v>
      </c>
      <c r="E57">
        <f>IF(C57="Venta", IFERROR(VLOOKUP(A57, Configuracion!$A:$D, 3, FALSE), 0), 0)</f>
        <v>0</v>
      </c>
      <c r="F57">
        <f t="shared" si="1"/>
        <v>0</v>
      </c>
      <c r="H57">
        <f>IF(AND(G57="Gestor", A57&lt;&gt;""), VLOOKUP(A57, Configuracion!$A:$D, 4, FALSE), 0)*Tabla15[[#This Row],[CANTIDAD]]</f>
        <v>0</v>
      </c>
      <c r="I57" t="str">
        <f t="shared" si="3"/>
        <v/>
      </c>
    </row>
    <row r="58" spans="2:9" x14ac:dyDescent="0.3">
      <c r="B58">
        <f>IFERROR(VLOOKUP(A58, Configuracion!$A:$B, 2, FALSE), 0)</f>
        <v>0</v>
      </c>
      <c r="E58">
        <f>IF(C58="Venta", IFERROR(VLOOKUP(A58, Configuracion!$A:$D, 3, FALSE), 0), 0)</f>
        <v>0</v>
      </c>
      <c r="F58">
        <f t="shared" si="1"/>
        <v>0</v>
      </c>
      <c r="H58">
        <f>IF(AND(G58="Gestor", A58&lt;&gt;""), VLOOKUP(A58, Configuracion!$A:$D, 4, FALSE), 0)*Tabla15[[#This Row],[CANTIDAD]]</f>
        <v>0</v>
      </c>
      <c r="I58" t="str">
        <f t="shared" si="3"/>
        <v/>
      </c>
    </row>
    <row r="59" spans="2:9" x14ac:dyDescent="0.3">
      <c r="B59">
        <f>IFERROR(VLOOKUP(A59, Configuracion!$A:$B, 2, FALSE), 0)</f>
        <v>0</v>
      </c>
      <c r="E59">
        <f>IF(C59="Venta", IFERROR(VLOOKUP(A59, Configuracion!$A:$D, 3, FALSE), 0), 0)</f>
        <v>0</v>
      </c>
      <c r="F59">
        <f t="shared" si="1"/>
        <v>0</v>
      </c>
      <c r="H59">
        <f>IF(AND(G59="Gestor", A59&lt;&gt;""), VLOOKUP(A59, Configuracion!$A:$D, 4, FALSE), 0)*Tabla15[[#This Row],[CANTIDAD]]</f>
        <v>0</v>
      </c>
      <c r="I59" t="str">
        <f t="shared" si="3"/>
        <v/>
      </c>
    </row>
    <row r="60" spans="2:9" x14ac:dyDescent="0.3">
      <c r="B60">
        <f>IFERROR(VLOOKUP(A60, Configuracion!$A:$B, 2, FALSE), 0)</f>
        <v>0</v>
      </c>
      <c r="E60">
        <f>IF(C60="Venta", IFERROR(VLOOKUP(A60, Configuracion!$A:$D, 3, FALSE), 0), 0)</f>
        <v>0</v>
      </c>
      <c r="F60">
        <f t="shared" si="1"/>
        <v>0</v>
      </c>
      <c r="H60">
        <f>IF(AND(G60="Gestor", A60&lt;&gt;""), VLOOKUP(A60, Configuracion!$A:$D, 4, FALSE), 0)*Tabla15[[#This Row],[CANTIDAD]]</f>
        <v>0</v>
      </c>
      <c r="I60" t="str">
        <f t="shared" si="3"/>
        <v/>
      </c>
    </row>
    <row r="61" spans="2:9" x14ac:dyDescent="0.3">
      <c r="B61">
        <f>IFERROR(VLOOKUP(A61, Configuracion!$A:$B, 2, FALSE), 0)</f>
        <v>0</v>
      </c>
      <c r="E61">
        <f>IF(C61="Venta", IFERROR(VLOOKUP(A61, Configuracion!$A:$D, 3, FALSE), 0), 0)</f>
        <v>0</v>
      </c>
      <c r="F61">
        <f t="shared" si="1"/>
        <v>0</v>
      </c>
      <c r="H61">
        <f>IF(AND(G61="Gestor", A61&lt;&gt;""), VLOOKUP(A61, Configuracion!$A:$D, 4, FALSE), 0)*Tabla15[[#This Row],[CANTIDAD]]</f>
        <v>0</v>
      </c>
      <c r="I61" t="str">
        <f t="shared" si="3"/>
        <v/>
      </c>
    </row>
    <row r="62" spans="2:9" x14ac:dyDescent="0.3">
      <c r="B62">
        <f>IFERROR(VLOOKUP(A62, Configuracion!$A:$B, 2, FALSE), 0)</f>
        <v>0</v>
      </c>
      <c r="E62">
        <f>IF(C62="Venta", IFERROR(VLOOKUP(A62, Configuracion!$A:$D, 3, FALSE), 0), 0)</f>
        <v>0</v>
      </c>
      <c r="F62">
        <f t="shared" si="1"/>
        <v>0</v>
      </c>
      <c r="H62">
        <f>IF(AND(G62="Gestor", A62&lt;&gt;""), VLOOKUP(A62, Configuracion!$A:$D, 4, FALSE), 0)*Tabla15[[#This Row],[CANTIDAD]]</f>
        <v>0</v>
      </c>
      <c r="I62" t="str">
        <f t="shared" si="3"/>
        <v/>
      </c>
    </row>
    <row r="63" spans="2:9" x14ac:dyDescent="0.3">
      <c r="B63">
        <f>IFERROR(VLOOKUP(A63, Configuracion!$A:$B, 2, FALSE), 0)</f>
        <v>0</v>
      </c>
      <c r="E63">
        <f>IF(C63="Venta", IFERROR(VLOOKUP(A63, Configuracion!$A:$D, 3, FALSE), 0), 0)</f>
        <v>0</v>
      </c>
      <c r="F63">
        <f t="shared" si="1"/>
        <v>0</v>
      </c>
      <c r="H63">
        <f>IF(AND(G63="Gestor", A63&lt;&gt;""), VLOOKUP(A63, Configuracion!$A:$D, 4, FALSE), 0)*Tabla15[[#This Row],[CANTIDAD]]</f>
        <v>0</v>
      </c>
      <c r="I63" t="str">
        <f t="shared" si="3"/>
        <v/>
      </c>
    </row>
    <row r="64" spans="2:9" x14ac:dyDescent="0.3">
      <c r="B64">
        <f>IFERROR(VLOOKUP(A64, Configuracion!$A:$B, 2, FALSE), 0)</f>
        <v>0</v>
      </c>
      <c r="E64">
        <f>IF(C64="Venta", IFERROR(VLOOKUP(A64, Configuracion!$A:$D, 3, FALSE), 0), 0)</f>
        <v>0</v>
      </c>
      <c r="F64">
        <f t="shared" si="1"/>
        <v>0</v>
      </c>
      <c r="H64">
        <f>IF(AND(G64="Gestor", A64&lt;&gt;""), VLOOKUP(A64, Configuracion!$A:$D, 4, FALSE), 0)*Tabla15[[#This Row],[CANTIDAD]]</f>
        <v>0</v>
      </c>
      <c r="I64" t="str">
        <f t="shared" si="3"/>
        <v/>
      </c>
    </row>
    <row r="65" spans="2:9" x14ac:dyDescent="0.3">
      <c r="B65">
        <f>IFERROR(VLOOKUP(A65, Configuracion!$A:$B, 2, FALSE), 0)</f>
        <v>0</v>
      </c>
      <c r="E65">
        <f>IF(C65="Venta", IFERROR(VLOOKUP(A65, Configuracion!$A:$D, 3, FALSE), 0), 0)</f>
        <v>0</v>
      </c>
      <c r="F65">
        <f t="shared" si="1"/>
        <v>0</v>
      </c>
      <c r="H65">
        <f>IF(AND(G65="Gestor", A65&lt;&gt;""), VLOOKUP(A65, Configuracion!$A:$D, 4, FALSE), 0)*Tabla15[[#This Row],[CANTIDAD]]</f>
        <v>0</v>
      </c>
      <c r="I65" t="str">
        <f t="shared" si="3"/>
        <v/>
      </c>
    </row>
    <row r="66" spans="2:9" x14ac:dyDescent="0.3">
      <c r="B66">
        <f>IFERROR(VLOOKUP(A66, Configuracion!$A:$B, 2, FALSE), 0)</f>
        <v>0</v>
      </c>
      <c r="E66">
        <f>IF(C66="Venta", IFERROR(VLOOKUP(A66, Configuracion!$A:$D, 3, FALSE), 0), 0)</f>
        <v>0</v>
      </c>
      <c r="F66">
        <f t="shared" si="1"/>
        <v>0</v>
      </c>
      <c r="H66">
        <f>IF(AND(G66="Gestor", A66&lt;&gt;""), VLOOKUP(A66, Configuracion!$A:$D, 4, FALSE), 0)*Tabla15[[#This Row],[CANTIDAD]]</f>
        <v>0</v>
      </c>
      <c r="I66" t="str">
        <f t="shared" si="3"/>
        <v/>
      </c>
    </row>
    <row r="67" spans="2:9" x14ac:dyDescent="0.3">
      <c r="B67">
        <f>IFERROR(VLOOKUP(A67, Configuracion!$A:$B, 2, FALSE), 0)</f>
        <v>0</v>
      </c>
      <c r="E67">
        <f>IF(C67="Venta", IFERROR(VLOOKUP(A67, Configuracion!$A:$D, 3, FALSE), 0), 0)</f>
        <v>0</v>
      </c>
      <c r="F67">
        <f t="shared" si="1"/>
        <v>0</v>
      </c>
      <c r="H67">
        <f>IF(AND(G67="Gestor", A67&lt;&gt;""), VLOOKUP(A67, Configuracion!$A:$D, 4, FALSE), 0)*Tabla15[[#This Row],[CANTIDAD]]</f>
        <v>0</v>
      </c>
      <c r="I67" t="str">
        <f t="shared" si="3"/>
        <v/>
      </c>
    </row>
    <row r="68" spans="2:9" x14ac:dyDescent="0.3">
      <c r="B68">
        <f>IFERROR(VLOOKUP(A68, Configuracion!$A:$B, 2, FALSE), 0)</f>
        <v>0</v>
      </c>
      <c r="E68">
        <f>IF(C68="Venta", IFERROR(VLOOKUP(A68, Configuracion!$A:$D, 3, FALSE), 0), 0)</f>
        <v>0</v>
      </c>
      <c r="F68">
        <f t="shared" si="1"/>
        <v>0</v>
      </c>
      <c r="H68">
        <f>IF(AND(G68="Gestor", A68&lt;&gt;""), VLOOKUP(A68, Configuracion!$A:$D, 4, FALSE), 0)*Tabla15[[#This Row],[CANTIDAD]]</f>
        <v>0</v>
      </c>
      <c r="I68" t="str">
        <f t="shared" si="3"/>
        <v/>
      </c>
    </row>
    <row r="69" spans="2:9" x14ac:dyDescent="0.3">
      <c r="B69">
        <f>IFERROR(VLOOKUP(A69, Configuracion!$A:$B, 2, FALSE), 0)</f>
        <v>0</v>
      </c>
      <c r="E69">
        <f>IF(C69="Venta", IFERROR(VLOOKUP(A69, Configuracion!$A:$D, 3, FALSE), 0), 0)</f>
        <v>0</v>
      </c>
      <c r="F69">
        <f t="shared" ref="F69:F132" si="4">E69*D69</f>
        <v>0</v>
      </c>
      <c r="H69">
        <f>IF(AND(G69="Gestor", A69&lt;&gt;""), VLOOKUP(A69, Configuracion!$A:$D, 4, FALSE), 0)*Tabla15[[#This Row],[CANTIDAD]]</f>
        <v>0</v>
      </c>
      <c r="I69" t="str">
        <f t="shared" si="3"/>
        <v/>
      </c>
    </row>
    <row r="70" spans="2:9" x14ac:dyDescent="0.3">
      <c r="B70">
        <f>IFERROR(VLOOKUP(A70, Configuracion!$A:$B, 2, FALSE), 0)</f>
        <v>0</v>
      </c>
      <c r="E70">
        <f>IF(C70="Venta", IFERROR(VLOOKUP(A70, Configuracion!$A:$D, 3, FALSE), 0), 0)</f>
        <v>0</v>
      </c>
      <c r="F70">
        <f t="shared" si="4"/>
        <v>0</v>
      </c>
      <c r="H70">
        <f>IF(AND(G70="Gestor", A70&lt;&gt;""), VLOOKUP(A70, Configuracion!$A:$D, 4, FALSE), 0)*Tabla15[[#This Row],[CANTIDAD]]</f>
        <v>0</v>
      </c>
      <c r="I70" t="str">
        <f t="shared" si="3"/>
        <v/>
      </c>
    </row>
    <row r="71" spans="2:9" x14ac:dyDescent="0.3">
      <c r="B71">
        <f>IFERROR(VLOOKUP(A71, Configuracion!$A:$B, 2, FALSE), 0)</f>
        <v>0</v>
      </c>
      <c r="E71">
        <f>IF(C71="Venta", IFERROR(VLOOKUP(A71, Configuracion!$A:$D, 3, FALSE), 0), 0)</f>
        <v>0</v>
      </c>
      <c r="F71">
        <f t="shared" si="4"/>
        <v>0</v>
      </c>
      <c r="H71">
        <f>IF(AND(G71="Gestor", A71&lt;&gt;""), VLOOKUP(A71, Configuracion!$A:$D, 4, FALSE), 0)*Tabla15[[#This Row],[CANTIDAD]]</f>
        <v>0</v>
      </c>
      <c r="I71" t="str">
        <f t="shared" si="3"/>
        <v/>
      </c>
    </row>
    <row r="72" spans="2:9" x14ac:dyDescent="0.3">
      <c r="B72">
        <f>IFERROR(VLOOKUP(A72, Configuracion!$A:$B, 2, FALSE), 0)</f>
        <v>0</v>
      </c>
      <c r="E72">
        <f>IF(C72="Venta", IFERROR(VLOOKUP(A72, Configuracion!$A:$D, 3, FALSE), 0), 0)</f>
        <v>0</v>
      </c>
      <c r="F72">
        <f t="shared" si="4"/>
        <v>0</v>
      </c>
      <c r="H72">
        <f>IF(AND(G72="Gestor", A72&lt;&gt;""), VLOOKUP(A72, Configuracion!$A:$D, 4, FALSE), 0)*Tabla15[[#This Row],[CANTIDAD]]</f>
        <v>0</v>
      </c>
      <c r="I72" t="str">
        <f t="shared" si="3"/>
        <v/>
      </c>
    </row>
    <row r="73" spans="2:9" x14ac:dyDescent="0.3">
      <c r="B73">
        <f>IFERROR(VLOOKUP(A73, Configuracion!$A:$B, 2, FALSE), 0)</f>
        <v>0</v>
      </c>
      <c r="E73">
        <f>IF(C73="Venta", IFERROR(VLOOKUP(A73, Configuracion!$A:$D, 3, FALSE), 0), 0)</f>
        <v>0</v>
      </c>
      <c r="F73">
        <f t="shared" si="4"/>
        <v>0</v>
      </c>
      <c r="H73">
        <f>IF(AND(G73="Gestor", A73&lt;&gt;""), VLOOKUP(A73, Configuracion!$A:$D, 4, FALSE), 0)*Tabla15[[#This Row],[CANTIDAD]]</f>
        <v>0</v>
      </c>
      <c r="I73" t="str">
        <f t="shared" si="3"/>
        <v/>
      </c>
    </row>
    <row r="74" spans="2:9" x14ac:dyDescent="0.3">
      <c r="B74">
        <f>IFERROR(VLOOKUP(A74, Configuracion!$A:$B, 2, FALSE), 0)</f>
        <v>0</v>
      </c>
      <c r="E74">
        <f>IF(C74="Venta", IFERROR(VLOOKUP(A74, Configuracion!$A:$D, 3, FALSE), 0), 0)</f>
        <v>0</v>
      </c>
      <c r="F74">
        <f t="shared" si="4"/>
        <v>0</v>
      </c>
      <c r="H74">
        <f>IF(AND(G74="Gestor", A74&lt;&gt;""), VLOOKUP(A74, Configuracion!$A:$D, 4, FALSE), 0)*Tabla15[[#This Row],[CANTIDAD]]</f>
        <v>0</v>
      </c>
      <c r="I74" t="str">
        <f t="shared" si="3"/>
        <v/>
      </c>
    </row>
    <row r="75" spans="2:9" x14ac:dyDescent="0.3">
      <c r="B75">
        <f>IFERROR(VLOOKUP(A75, Configuracion!$A:$B, 2, FALSE), 0)</f>
        <v>0</v>
      </c>
      <c r="E75">
        <f>IF(C75="Venta", IFERROR(VLOOKUP(A75, Configuracion!$A:$D, 3, FALSE), 0), 0)</f>
        <v>0</v>
      </c>
      <c r="F75">
        <f t="shared" si="4"/>
        <v>0</v>
      </c>
      <c r="H75">
        <f>IF(AND(G75="Gestor", A75&lt;&gt;""), VLOOKUP(A75, Configuracion!$A:$D, 4, FALSE), 0)*Tabla15[[#This Row],[CANTIDAD]]</f>
        <v>0</v>
      </c>
      <c r="I75" t="str">
        <f t="shared" si="3"/>
        <v/>
      </c>
    </row>
    <row r="76" spans="2:9" x14ac:dyDescent="0.3">
      <c r="B76">
        <f>IFERROR(VLOOKUP(A76, Configuracion!$A:$B, 2, FALSE), 0)</f>
        <v>0</v>
      </c>
      <c r="E76">
        <f>IF(C76="Venta", IFERROR(VLOOKUP(A76, Configuracion!$A:$D, 3, FALSE), 0), 0)</f>
        <v>0</v>
      </c>
      <c r="F76">
        <f t="shared" si="4"/>
        <v>0</v>
      </c>
      <c r="H76">
        <f>IF(AND(G76="Gestor", A76&lt;&gt;""), VLOOKUP(A76, Configuracion!$A:$D, 4, FALSE), 0)*Tabla15[[#This Row],[CANTIDAD]]</f>
        <v>0</v>
      </c>
      <c r="I76" t="str">
        <f t="shared" si="3"/>
        <v/>
      </c>
    </row>
    <row r="77" spans="2:9" x14ac:dyDescent="0.3">
      <c r="B77">
        <f>IFERROR(VLOOKUP(A77, Configuracion!$A:$B, 2, FALSE), 0)</f>
        <v>0</v>
      </c>
      <c r="E77">
        <f>IF(C77="Venta", IFERROR(VLOOKUP(A77, Configuracion!$A:$D, 3, FALSE), 0), 0)</f>
        <v>0</v>
      </c>
      <c r="F77">
        <f t="shared" si="4"/>
        <v>0</v>
      </c>
      <c r="H77">
        <f>IF(AND(G77="Gestor", A77&lt;&gt;""), VLOOKUP(A77, Configuracion!$A:$D, 4, FALSE), 0)*Tabla15[[#This Row],[CANTIDAD]]</f>
        <v>0</v>
      </c>
      <c r="I77" t="str">
        <f t="shared" si="3"/>
        <v/>
      </c>
    </row>
    <row r="78" spans="2:9" x14ac:dyDescent="0.3">
      <c r="B78">
        <f>IFERROR(VLOOKUP(A78, Configuracion!$A:$B, 2, FALSE), 0)</f>
        <v>0</v>
      </c>
      <c r="E78">
        <f>IF(C78="Venta", IFERROR(VLOOKUP(A78, Configuracion!$A:$D, 3, FALSE), 0), 0)</f>
        <v>0</v>
      </c>
      <c r="F78">
        <f t="shared" si="4"/>
        <v>0</v>
      </c>
      <c r="H78">
        <f>IF(AND(G78="Gestor", A78&lt;&gt;""), VLOOKUP(A78, Configuracion!$A:$D, 4, FALSE), 0)*Tabla15[[#This Row],[CANTIDAD]]</f>
        <v>0</v>
      </c>
      <c r="I78" t="str">
        <f t="shared" si="3"/>
        <v/>
      </c>
    </row>
    <row r="79" spans="2:9" x14ac:dyDescent="0.3">
      <c r="B79">
        <f>IFERROR(VLOOKUP(A79, Configuracion!$A:$B, 2, FALSE), 0)</f>
        <v>0</v>
      </c>
      <c r="E79">
        <f>IF(C79="Venta", IFERROR(VLOOKUP(A79, Configuracion!$A:$D, 3, FALSE), 0), 0)</f>
        <v>0</v>
      </c>
      <c r="F79">
        <f t="shared" si="4"/>
        <v>0</v>
      </c>
      <c r="H79">
        <f>IF(AND(G79="Gestor", A79&lt;&gt;""), VLOOKUP(A79, Configuracion!$A:$D, 4, FALSE), 0)*Tabla15[[#This Row],[CANTIDAD]]</f>
        <v>0</v>
      </c>
      <c r="I79" t="str">
        <f t="shared" si="3"/>
        <v/>
      </c>
    </row>
    <row r="80" spans="2:9" x14ac:dyDescent="0.3">
      <c r="B80">
        <f>IFERROR(VLOOKUP(A80, Configuracion!$A:$B, 2, FALSE), 0)</f>
        <v>0</v>
      </c>
      <c r="E80">
        <f>IF(C80="Venta", IFERROR(VLOOKUP(A80, Configuracion!$A:$D, 3, FALSE), 0), 0)</f>
        <v>0</v>
      </c>
      <c r="F80">
        <f t="shared" si="4"/>
        <v>0</v>
      </c>
      <c r="H80">
        <f>IF(AND(G80="Gestor", A80&lt;&gt;""), VLOOKUP(A80, Configuracion!$A:$D, 4, FALSE), 0)*Tabla15[[#This Row],[CANTIDAD]]</f>
        <v>0</v>
      </c>
      <c r="I80" t="str">
        <f t="shared" si="3"/>
        <v/>
      </c>
    </row>
    <row r="81" spans="2:9" x14ac:dyDescent="0.3">
      <c r="B81">
        <f>IFERROR(VLOOKUP(A81, Configuracion!$A:$B, 2, FALSE), 0)</f>
        <v>0</v>
      </c>
      <c r="E81">
        <f>IF(C81="Venta", IFERROR(VLOOKUP(A81, Configuracion!$A:$D, 3, FALSE), 0), 0)</f>
        <v>0</v>
      </c>
      <c r="F81">
        <f t="shared" si="4"/>
        <v>0</v>
      </c>
      <c r="H81">
        <f>IF(AND(G81="Gestor", A81&lt;&gt;""), VLOOKUP(A81, Configuracion!$A:$D, 4, FALSE), 0)*Tabla15[[#This Row],[CANTIDAD]]</f>
        <v>0</v>
      </c>
      <c r="I81" t="str">
        <f t="shared" si="3"/>
        <v/>
      </c>
    </row>
    <row r="82" spans="2:9" x14ac:dyDescent="0.3">
      <c r="B82">
        <f>IFERROR(VLOOKUP(A82, Configuracion!$A:$B, 2, FALSE), 0)</f>
        <v>0</v>
      </c>
      <c r="E82">
        <f>IF(C82="Venta", IFERROR(VLOOKUP(A82, Configuracion!$A:$D, 3, FALSE), 0), 0)</f>
        <v>0</v>
      </c>
      <c r="F82">
        <f t="shared" si="4"/>
        <v>0</v>
      </c>
      <c r="H82">
        <f>IF(AND(G82="Gestor", A82&lt;&gt;""), VLOOKUP(A82, Configuracion!$A:$D, 4, FALSE), 0)*Tabla15[[#This Row],[CANTIDAD]]</f>
        <v>0</v>
      </c>
      <c r="I82" t="str">
        <f t="shared" si="3"/>
        <v/>
      </c>
    </row>
    <row r="83" spans="2:9" x14ac:dyDescent="0.3">
      <c r="B83">
        <f>IFERROR(VLOOKUP(A83, Configuracion!$A:$B, 2, FALSE), 0)</f>
        <v>0</v>
      </c>
      <c r="E83">
        <f>IF(C83="Venta", IFERROR(VLOOKUP(A83, Configuracion!$A:$D, 3, FALSE), 0), 0)</f>
        <v>0</v>
      </c>
      <c r="F83">
        <f t="shared" si="4"/>
        <v>0</v>
      </c>
      <c r="H83">
        <f>IF(AND(G83="Gestor", A83&lt;&gt;""), VLOOKUP(A83, Configuracion!$A:$D, 4, FALSE), 0)*Tabla15[[#This Row],[CANTIDAD]]</f>
        <v>0</v>
      </c>
      <c r="I83" t="str">
        <f t="shared" si="3"/>
        <v/>
      </c>
    </row>
    <row r="84" spans="2:9" x14ac:dyDescent="0.3">
      <c r="B84">
        <f>IFERROR(VLOOKUP(A84, Configuracion!$A:$B, 2, FALSE), 0)</f>
        <v>0</v>
      </c>
      <c r="E84">
        <f>IF(C84="Venta", IFERROR(VLOOKUP(A84, Configuracion!$A:$D, 3, FALSE), 0), 0)</f>
        <v>0</v>
      </c>
      <c r="F84">
        <f t="shared" si="4"/>
        <v>0</v>
      </c>
      <c r="H84">
        <f>IF(AND(G84="Gestor", A84&lt;&gt;""), VLOOKUP(A84, Configuracion!$A:$D, 4, FALSE), 0)*Tabla15[[#This Row],[CANTIDAD]]</f>
        <v>0</v>
      </c>
      <c r="I84" t="str">
        <f t="shared" si="3"/>
        <v/>
      </c>
    </row>
    <row r="85" spans="2:9" x14ac:dyDescent="0.3">
      <c r="B85">
        <f>IFERROR(VLOOKUP(A85, Configuracion!$A:$B, 2, FALSE), 0)</f>
        <v>0</v>
      </c>
      <c r="E85">
        <f>IF(C85="Venta", IFERROR(VLOOKUP(A85, Configuracion!$A:$D, 3, FALSE), 0), 0)</f>
        <v>0</v>
      </c>
      <c r="F85">
        <f t="shared" si="4"/>
        <v>0</v>
      </c>
      <c r="H85">
        <f>IF(AND(G85="Gestor", A85&lt;&gt;""), VLOOKUP(A85, Configuracion!$A:$D, 4, FALSE), 0)*Tabla15[[#This Row],[CANTIDAD]]</f>
        <v>0</v>
      </c>
      <c r="I85" t="str">
        <f t="shared" ref="I85:I116" si="5">IF(OR(A85="", D85=""), "", IF(C85="Entrada", B85+D85, IF(OR(C85="Venta", C85="Salida"), B85-D85, B85)))</f>
        <v/>
      </c>
    </row>
    <row r="86" spans="2:9" x14ac:dyDescent="0.3">
      <c r="B86">
        <f>IFERROR(VLOOKUP(A86, Configuracion!$A:$B, 2, FALSE), 0)</f>
        <v>0</v>
      </c>
      <c r="E86">
        <f>IF(C86="Venta", IFERROR(VLOOKUP(A86, Configuracion!$A:$D, 3, FALSE), 0), 0)</f>
        <v>0</v>
      </c>
      <c r="F86">
        <f t="shared" si="4"/>
        <v>0</v>
      </c>
      <c r="H86">
        <f>IF(AND(G86="Gestor", A86&lt;&gt;""), VLOOKUP(A86, Configuracion!$A:$D, 4, FALSE), 0)*Tabla15[[#This Row],[CANTIDAD]]</f>
        <v>0</v>
      </c>
      <c r="I86" t="str">
        <f t="shared" si="5"/>
        <v/>
      </c>
    </row>
    <row r="87" spans="2:9" x14ac:dyDescent="0.3">
      <c r="B87">
        <f>IFERROR(VLOOKUP(A87, Configuracion!$A:$B, 2, FALSE), 0)</f>
        <v>0</v>
      </c>
      <c r="E87">
        <f>IF(C87="Venta", IFERROR(VLOOKUP(A87, Configuracion!$A:$D, 3, FALSE), 0), 0)</f>
        <v>0</v>
      </c>
      <c r="F87">
        <f t="shared" si="4"/>
        <v>0</v>
      </c>
      <c r="H87">
        <f>IF(AND(G87="Gestor", A87&lt;&gt;""), VLOOKUP(A87, Configuracion!$A:$D, 4, FALSE), 0)*Tabla15[[#This Row],[CANTIDAD]]</f>
        <v>0</v>
      </c>
      <c r="I87" t="str">
        <f t="shared" si="5"/>
        <v/>
      </c>
    </row>
    <row r="88" spans="2:9" x14ac:dyDescent="0.3">
      <c r="B88">
        <f>IFERROR(VLOOKUP(A88, Configuracion!$A:$B, 2, FALSE), 0)</f>
        <v>0</v>
      </c>
      <c r="E88">
        <f>IF(C88="Venta", IFERROR(VLOOKUP(A88, Configuracion!$A:$D, 3, FALSE), 0), 0)</f>
        <v>0</v>
      </c>
      <c r="F88">
        <f t="shared" si="4"/>
        <v>0</v>
      </c>
      <c r="H88">
        <f>IF(AND(G88="Gestor", A88&lt;&gt;""), VLOOKUP(A88, Configuracion!$A:$D, 4, FALSE), 0)*Tabla15[[#This Row],[CANTIDAD]]</f>
        <v>0</v>
      </c>
      <c r="I88" t="str">
        <f t="shared" si="5"/>
        <v/>
      </c>
    </row>
    <row r="89" spans="2:9" x14ac:dyDescent="0.3">
      <c r="B89">
        <f>IFERROR(VLOOKUP(A89, Configuracion!$A:$B, 2, FALSE), 0)</f>
        <v>0</v>
      </c>
      <c r="E89">
        <f>IF(C89="Venta", IFERROR(VLOOKUP(A89, Configuracion!$A:$D, 3, FALSE), 0), 0)</f>
        <v>0</v>
      </c>
      <c r="F89">
        <f t="shared" si="4"/>
        <v>0</v>
      </c>
      <c r="H89">
        <f>IF(AND(G89="Gestor", A89&lt;&gt;""), VLOOKUP(A89, Configuracion!$A:$D, 4, FALSE), 0)*Tabla15[[#This Row],[CANTIDAD]]</f>
        <v>0</v>
      </c>
      <c r="I89" t="str">
        <f t="shared" si="5"/>
        <v/>
      </c>
    </row>
    <row r="90" spans="2:9" x14ac:dyDescent="0.3">
      <c r="B90">
        <f>IFERROR(VLOOKUP(A90, Configuracion!$A:$B, 2, FALSE), 0)</f>
        <v>0</v>
      </c>
      <c r="E90">
        <f>IF(C90="Venta", IFERROR(VLOOKUP(A90, Configuracion!$A:$D, 3, FALSE), 0), 0)</f>
        <v>0</v>
      </c>
      <c r="F90">
        <f t="shared" si="4"/>
        <v>0</v>
      </c>
      <c r="H90">
        <f>IF(AND(G90="Gestor", A90&lt;&gt;""), VLOOKUP(A90, Configuracion!$A:$D, 4, FALSE), 0)*Tabla15[[#This Row],[CANTIDAD]]</f>
        <v>0</v>
      </c>
      <c r="I90" t="str">
        <f t="shared" si="5"/>
        <v/>
      </c>
    </row>
    <row r="91" spans="2:9" x14ac:dyDescent="0.3">
      <c r="B91">
        <f>IFERROR(VLOOKUP(A91, Configuracion!$A:$B, 2, FALSE), 0)</f>
        <v>0</v>
      </c>
      <c r="E91">
        <f>IF(C91="Venta", IFERROR(VLOOKUP(A91, Configuracion!$A:$D, 3, FALSE), 0), 0)</f>
        <v>0</v>
      </c>
      <c r="F91">
        <f t="shared" si="4"/>
        <v>0</v>
      </c>
      <c r="H91">
        <f>IF(AND(G91="Gestor", A91&lt;&gt;""), VLOOKUP(A91, Configuracion!$A:$D, 4, FALSE), 0)*Tabla15[[#This Row],[CANTIDAD]]</f>
        <v>0</v>
      </c>
      <c r="I91" t="str">
        <f t="shared" si="5"/>
        <v/>
      </c>
    </row>
    <row r="92" spans="2:9" x14ac:dyDescent="0.3">
      <c r="B92">
        <f>IFERROR(VLOOKUP(A92, Configuracion!$A:$B, 2, FALSE), 0)</f>
        <v>0</v>
      </c>
      <c r="E92">
        <f>IF(C92="Venta", IFERROR(VLOOKUP(A92, Configuracion!$A:$D, 3, FALSE), 0), 0)</f>
        <v>0</v>
      </c>
      <c r="F92">
        <f t="shared" si="4"/>
        <v>0</v>
      </c>
      <c r="H92">
        <f>IF(AND(G92="Gestor", A92&lt;&gt;""), VLOOKUP(A92, Configuracion!$A:$D, 4, FALSE), 0)*Tabla15[[#This Row],[CANTIDAD]]</f>
        <v>0</v>
      </c>
      <c r="I92" t="str">
        <f t="shared" si="5"/>
        <v/>
      </c>
    </row>
    <row r="93" spans="2:9" x14ac:dyDescent="0.3">
      <c r="B93">
        <f>IFERROR(VLOOKUP(A93, Configuracion!$A:$B, 2, FALSE), 0)</f>
        <v>0</v>
      </c>
      <c r="E93">
        <f>IF(C93="Venta", IFERROR(VLOOKUP(A93, Configuracion!$A:$D, 3, FALSE), 0), 0)</f>
        <v>0</v>
      </c>
      <c r="F93">
        <f t="shared" si="4"/>
        <v>0</v>
      </c>
      <c r="H93">
        <f>IF(AND(G93="Gestor", A93&lt;&gt;""), VLOOKUP(A93, Configuracion!$A:$D, 4, FALSE), 0)*Tabla15[[#This Row],[CANTIDAD]]</f>
        <v>0</v>
      </c>
      <c r="I93" t="str">
        <f t="shared" si="5"/>
        <v/>
      </c>
    </row>
    <row r="94" spans="2:9" x14ac:dyDescent="0.3">
      <c r="B94">
        <f>IFERROR(VLOOKUP(A94, Configuracion!$A:$B, 2, FALSE), 0)</f>
        <v>0</v>
      </c>
      <c r="E94">
        <f>IF(C94="Venta", IFERROR(VLOOKUP(A94, Configuracion!$A:$D, 3, FALSE), 0), 0)</f>
        <v>0</v>
      </c>
      <c r="F94">
        <f t="shared" si="4"/>
        <v>0</v>
      </c>
      <c r="H94">
        <f>IF(AND(G94="Gestor", A94&lt;&gt;""), VLOOKUP(A94, Configuracion!$A:$D, 4, FALSE), 0)*Tabla15[[#This Row],[CANTIDAD]]</f>
        <v>0</v>
      </c>
      <c r="I94" t="str">
        <f t="shared" si="5"/>
        <v/>
      </c>
    </row>
    <row r="95" spans="2:9" x14ac:dyDescent="0.3">
      <c r="B95">
        <f>IFERROR(VLOOKUP(A95, Configuracion!$A:$B, 2, FALSE), 0)</f>
        <v>0</v>
      </c>
      <c r="E95">
        <f>IF(C95="Venta", IFERROR(VLOOKUP(A95, Configuracion!$A:$D, 3, FALSE), 0), 0)</f>
        <v>0</v>
      </c>
      <c r="F95">
        <f t="shared" si="4"/>
        <v>0</v>
      </c>
      <c r="H95">
        <f>IF(AND(G95="Gestor", A95&lt;&gt;""), VLOOKUP(A95, Configuracion!$A:$D, 4, FALSE), 0)*Tabla15[[#This Row],[CANTIDAD]]</f>
        <v>0</v>
      </c>
      <c r="I95" t="str">
        <f t="shared" si="5"/>
        <v/>
      </c>
    </row>
    <row r="96" spans="2:9" x14ac:dyDescent="0.3">
      <c r="B96">
        <f>IFERROR(VLOOKUP(A96, Configuracion!$A:$B, 2, FALSE), 0)</f>
        <v>0</v>
      </c>
      <c r="E96">
        <f>IF(C96="Venta", IFERROR(VLOOKUP(A96, Configuracion!$A:$D, 3, FALSE), 0), 0)</f>
        <v>0</v>
      </c>
      <c r="F96">
        <f t="shared" si="4"/>
        <v>0</v>
      </c>
      <c r="H96">
        <f>IF(AND(G96="Gestor", A96&lt;&gt;""), VLOOKUP(A96, Configuracion!$A:$D, 4, FALSE), 0)*Tabla15[[#This Row],[CANTIDAD]]</f>
        <v>0</v>
      </c>
      <c r="I96" t="str">
        <f t="shared" si="5"/>
        <v/>
      </c>
    </row>
    <row r="97" spans="2:9" x14ac:dyDescent="0.3">
      <c r="B97">
        <f>IFERROR(VLOOKUP(A97, Configuracion!$A:$B, 2, FALSE), 0)</f>
        <v>0</v>
      </c>
      <c r="E97">
        <f>IF(C97="Venta", IFERROR(VLOOKUP(A97, Configuracion!$A:$D, 3, FALSE), 0), 0)</f>
        <v>0</v>
      </c>
      <c r="F97">
        <f t="shared" si="4"/>
        <v>0</v>
      </c>
      <c r="H97">
        <f>IF(AND(G97="Gestor", A97&lt;&gt;""), VLOOKUP(A97, Configuracion!$A:$D, 4, FALSE), 0)*Tabla15[[#This Row],[CANTIDAD]]</f>
        <v>0</v>
      </c>
      <c r="I97" t="str">
        <f t="shared" si="5"/>
        <v/>
      </c>
    </row>
    <row r="98" spans="2:9" x14ac:dyDescent="0.3">
      <c r="B98">
        <f>IFERROR(VLOOKUP(A98, Configuracion!$A:$B, 2, FALSE), 0)</f>
        <v>0</v>
      </c>
      <c r="E98">
        <f>IF(C98="Venta", IFERROR(VLOOKUP(A98, Configuracion!$A:$D, 3, FALSE), 0), 0)</f>
        <v>0</v>
      </c>
      <c r="F98">
        <f t="shared" si="4"/>
        <v>0</v>
      </c>
      <c r="H98">
        <f>IF(AND(G98="Gestor", A98&lt;&gt;""), VLOOKUP(A98, Configuracion!$A:$D, 4, FALSE), 0)*Tabla15[[#This Row],[CANTIDAD]]</f>
        <v>0</v>
      </c>
      <c r="I98" t="str">
        <f t="shared" si="5"/>
        <v/>
      </c>
    </row>
    <row r="99" spans="2:9" x14ac:dyDescent="0.3">
      <c r="B99">
        <f>IFERROR(VLOOKUP(A99, Configuracion!$A:$B, 2, FALSE), 0)</f>
        <v>0</v>
      </c>
      <c r="E99">
        <f>IF(C99="Venta", IFERROR(VLOOKUP(A99, Configuracion!$A:$D, 3, FALSE), 0), 0)</f>
        <v>0</v>
      </c>
      <c r="F99">
        <f t="shared" si="4"/>
        <v>0</v>
      </c>
      <c r="H99">
        <f>IF(AND(G99="Gestor", A99&lt;&gt;""), VLOOKUP(A99, Configuracion!$A:$D, 4, FALSE), 0)*Tabla15[[#This Row],[CANTIDAD]]</f>
        <v>0</v>
      </c>
      <c r="I99" t="str">
        <f t="shared" si="5"/>
        <v/>
      </c>
    </row>
    <row r="100" spans="2:9" x14ac:dyDescent="0.3">
      <c r="B100">
        <f>IFERROR(VLOOKUP(A100, Configuracion!$A:$B, 2, FALSE), 0)</f>
        <v>0</v>
      </c>
      <c r="E100">
        <f>IF(C100="Venta", IFERROR(VLOOKUP(A100, Configuracion!$A:$D, 3, FALSE), 0), 0)</f>
        <v>0</v>
      </c>
      <c r="F100">
        <f t="shared" si="4"/>
        <v>0</v>
      </c>
      <c r="H100">
        <f>IF(AND(G100="Gestor", A100&lt;&gt;""), VLOOKUP(A100, Configuracion!$A:$D, 4, FALSE), 0)*Tabla15[[#This Row],[CANTIDAD]]</f>
        <v>0</v>
      </c>
      <c r="I100" t="str">
        <f t="shared" si="5"/>
        <v/>
      </c>
    </row>
    <row r="101" spans="2:9" x14ac:dyDescent="0.3">
      <c r="B101">
        <f>IFERROR(VLOOKUP(A101, Configuracion!$A:$B, 2, FALSE), 0)</f>
        <v>0</v>
      </c>
      <c r="E101">
        <f>IF(C101="Venta", IFERROR(VLOOKUP(A101, Configuracion!$A:$D, 3, FALSE), 0), 0)</f>
        <v>0</v>
      </c>
      <c r="F101">
        <f t="shared" si="4"/>
        <v>0</v>
      </c>
      <c r="H101">
        <f>IF(AND(G101="Gestor", A101&lt;&gt;""), VLOOKUP(A101, Configuracion!$A:$D, 4, FALSE), 0)*Tabla15[[#This Row],[CANTIDAD]]</f>
        <v>0</v>
      </c>
      <c r="I101" t="str">
        <f t="shared" si="5"/>
        <v/>
      </c>
    </row>
    <row r="102" spans="2:9" x14ac:dyDescent="0.3">
      <c r="B102">
        <f>IFERROR(VLOOKUP(A102, Configuracion!$A:$B, 2, FALSE), 0)</f>
        <v>0</v>
      </c>
      <c r="E102">
        <f>IF(C102="Venta", IFERROR(VLOOKUP(A102, Configuracion!$A:$D, 3, FALSE), 0), 0)</f>
        <v>0</v>
      </c>
      <c r="F102">
        <f t="shared" si="4"/>
        <v>0</v>
      </c>
      <c r="H102">
        <f>IF(AND(G102="Gestor", A102&lt;&gt;""), VLOOKUP(A102, Configuracion!$A:$D, 4, FALSE), 0)*Tabla15[[#This Row],[CANTIDAD]]</f>
        <v>0</v>
      </c>
      <c r="I102" t="str">
        <f t="shared" si="5"/>
        <v/>
      </c>
    </row>
    <row r="103" spans="2:9" x14ac:dyDescent="0.3">
      <c r="B103">
        <f>IFERROR(VLOOKUP(A103, Configuracion!$A:$B, 2, FALSE), 0)</f>
        <v>0</v>
      </c>
      <c r="E103">
        <f>IF(C103="Venta", IFERROR(VLOOKUP(A103, Configuracion!$A:$D, 3, FALSE), 0), 0)</f>
        <v>0</v>
      </c>
      <c r="F103">
        <f t="shared" si="4"/>
        <v>0</v>
      </c>
      <c r="H103">
        <f>IF(AND(G103="Gestor", A103&lt;&gt;""), VLOOKUP(A103, Configuracion!$A:$D, 4, FALSE), 0)*Tabla15[[#This Row],[CANTIDAD]]</f>
        <v>0</v>
      </c>
      <c r="I103" t="str">
        <f t="shared" si="5"/>
        <v/>
      </c>
    </row>
    <row r="104" spans="2:9" x14ac:dyDescent="0.3">
      <c r="B104">
        <f>IFERROR(VLOOKUP(A104, Configuracion!$A:$B, 2, FALSE), 0)</f>
        <v>0</v>
      </c>
      <c r="E104">
        <f>IF(C104="Venta", IFERROR(VLOOKUP(A104, Configuracion!$A:$D, 3, FALSE), 0), 0)</f>
        <v>0</v>
      </c>
      <c r="F104">
        <f t="shared" si="4"/>
        <v>0</v>
      </c>
      <c r="H104">
        <f>IF(AND(G104="Gestor", A104&lt;&gt;""), VLOOKUP(A104, Configuracion!$A:$D, 4, FALSE), 0)*Tabla15[[#This Row],[CANTIDAD]]</f>
        <v>0</v>
      </c>
      <c r="I104" t="str">
        <f t="shared" si="5"/>
        <v/>
      </c>
    </row>
    <row r="105" spans="2:9" x14ac:dyDescent="0.3">
      <c r="B105">
        <f>IFERROR(VLOOKUP(A105, Configuracion!$A:$B, 2, FALSE), 0)</f>
        <v>0</v>
      </c>
      <c r="E105">
        <f>IF(C105="Venta", IFERROR(VLOOKUP(A105, Configuracion!$A:$D, 3, FALSE), 0), 0)</f>
        <v>0</v>
      </c>
      <c r="F105">
        <f t="shared" si="4"/>
        <v>0</v>
      </c>
      <c r="H105">
        <f>IF(AND(G105="Gestor", A105&lt;&gt;""), VLOOKUP(A105, Configuracion!$A:$D, 4, FALSE), 0)*Tabla15[[#This Row],[CANTIDAD]]</f>
        <v>0</v>
      </c>
      <c r="I105" t="str">
        <f t="shared" si="5"/>
        <v/>
      </c>
    </row>
    <row r="106" spans="2:9" x14ac:dyDescent="0.3">
      <c r="B106">
        <f>IFERROR(VLOOKUP(A106, Configuracion!$A:$B, 2, FALSE), 0)</f>
        <v>0</v>
      </c>
      <c r="E106">
        <f>IF(C106="Venta", IFERROR(VLOOKUP(A106, Configuracion!$A:$D, 3, FALSE), 0), 0)</f>
        <v>0</v>
      </c>
      <c r="F106">
        <f t="shared" si="4"/>
        <v>0</v>
      </c>
      <c r="H106">
        <f>IF(AND(G106="Gestor", A106&lt;&gt;""), VLOOKUP(A106, Configuracion!$A:$D, 4, FALSE), 0)*Tabla15[[#This Row],[CANTIDAD]]</f>
        <v>0</v>
      </c>
      <c r="I106" t="str">
        <f t="shared" si="5"/>
        <v/>
      </c>
    </row>
    <row r="107" spans="2:9" x14ac:dyDescent="0.3">
      <c r="B107">
        <f>IFERROR(VLOOKUP(A107, Configuracion!$A:$B, 2, FALSE), 0)</f>
        <v>0</v>
      </c>
      <c r="E107">
        <f>IF(C107="Venta", IFERROR(VLOOKUP(A107, Configuracion!$A:$D, 3, FALSE), 0), 0)</f>
        <v>0</v>
      </c>
      <c r="F107">
        <f t="shared" si="4"/>
        <v>0</v>
      </c>
      <c r="H107">
        <f>IF(AND(G107="Gestor", A107&lt;&gt;""), VLOOKUP(A107, Configuracion!$A:$D, 4, FALSE), 0)*Tabla15[[#This Row],[CANTIDAD]]</f>
        <v>0</v>
      </c>
      <c r="I107" t="str">
        <f t="shared" si="5"/>
        <v/>
      </c>
    </row>
    <row r="108" spans="2:9" x14ac:dyDescent="0.3">
      <c r="B108">
        <f>IFERROR(VLOOKUP(A108, Configuracion!$A:$B, 2, FALSE), 0)</f>
        <v>0</v>
      </c>
      <c r="E108">
        <f>IF(C108="Venta", IFERROR(VLOOKUP(A108, Configuracion!$A:$D, 3, FALSE), 0), 0)</f>
        <v>0</v>
      </c>
      <c r="F108">
        <f t="shared" si="4"/>
        <v>0</v>
      </c>
      <c r="H108">
        <f>IF(AND(G108="Gestor", A108&lt;&gt;""), VLOOKUP(A108, Configuracion!$A:$D, 4, FALSE), 0)*Tabla15[[#This Row],[CANTIDAD]]</f>
        <v>0</v>
      </c>
      <c r="I108" t="str">
        <f t="shared" si="5"/>
        <v/>
      </c>
    </row>
    <row r="109" spans="2:9" x14ac:dyDescent="0.3">
      <c r="B109">
        <f>IFERROR(VLOOKUP(A109, Configuracion!$A:$B, 2, FALSE), 0)</f>
        <v>0</v>
      </c>
      <c r="E109">
        <f>IF(C109="Venta", IFERROR(VLOOKUP(A109, Configuracion!$A:$D, 3, FALSE), 0), 0)</f>
        <v>0</v>
      </c>
      <c r="F109">
        <f t="shared" si="4"/>
        <v>0</v>
      </c>
      <c r="H109">
        <f>IF(AND(G109="Gestor", A109&lt;&gt;""), VLOOKUP(A109, Configuracion!$A:$D, 4, FALSE), 0)*Tabla15[[#This Row],[CANTIDAD]]</f>
        <v>0</v>
      </c>
      <c r="I109" t="str">
        <f t="shared" si="5"/>
        <v/>
      </c>
    </row>
    <row r="110" spans="2:9" x14ac:dyDescent="0.3">
      <c r="B110">
        <f>IFERROR(VLOOKUP(A110, Configuracion!$A:$B, 2, FALSE), 0)</f>
        <v>0</v>
      </c>
      <c r="E110">
        <f>IF(C110="Venta", IFERROR(VLOOKUP(A110, Configuracion!$A:$D, 3, FALSE), 0), 0)</f>
        <v>0</v>
      </c>
      <c r="F110">
        <f t="shared" si="4"/>
        <v>0</v>
      </c>
      <c r="H110">
        <f>IF(AND(G110="Gestor", A110&lt;&gt;""), VLOOKUP(A110, Configuracion!$A:$D, 4, FALSE), 0)*Tabla15[[#This Row],[CANTIDAD]]</f>
        <v>0</v>
      </c>
      <c r="I110" t="str">
        <f t="shared" si="5"/>
        <v/>
      </c>
    </row>
    <row r="111" spans="2:9" x14ac:dyDescent="0.3">
      <c r="B111">
        <f>IFERROR(VLOOKUP(A111, Configuracion!$A:$B, 2, FALSE), 0)</f>
        <v>0</v>
      </c>
      <c r="E111">
        <f>IF(C111="Venta", IFERROR(VLOOKUP(A111, Configuracion!$A:$D, 3, FALSE), 0), 0)</f>
        <v>0</v>
      </c>
      <c r="F111">
        <f t="shared" si="4"/>
        <v>0</v>
      </c>
      <c r="H111">
        <f>IF(AND(G111="Gestor", A111&lt;&gt;""), VLOOKUP(A111, Configuracion!$A:$D, 4, FALSE), 0)*Tabla15[[#This Row],[CANTIDAD]]</f>
        <v>0</v>
      </c>
      <c r="I111" t="str">
        <f t="shared" si="5"/>
        <v/>
      </c>
    </row>
    <row r="112" spans="2:9" x14ac:dyDescent="0.3">
      <c r="B112">
        <f>IFERROR(VLOOKUP(A112, Configuracion!$A:$B, 2, FALSE), 0)</f>
        <v>0</v>
      </c>
      <c r="E112">
        <f>IF(C112="Venta", IFERROR(VLOOKUP(A112, Configuracion!$A:$D, 3, FALSE), 0), 0)</f>
        <v>0</v>
      </c>
      <c r="F112">
        <f t="shared" si="4"/>
        <v>0</v>
      </c>
      <c r="H112">
        <f>IF(AND(G112="Gestor", A112&lt;&gt;""), VLOOKUP(A112, Configuracion!$A:$D, 4, FALSE), 0)*Tabla15[[#This Row],[CANTIDAD]]</f>
        <v>0</v>
      </c>
      <c r="I112" t="str">
        <f t="shared" si="5"/>
        <v/>
      </c>
    </row>
    <row r="113" spans="2:9" x14ac:dyDescent="0.3">
      <c r="B113">
        <f>IFERROR(VLOOKUP(A113, Configuracion!$A:$B, 2, FALSE), 0)</f>
        <v>0</v>
      </c>
      <c r="E113">
        <f>IF(C113="Venta", IFERROR(VLOOKUP(A113, Configuracion!$A:$D, 3, FALSE), 0), 0)</f>
        <v>0</v>
      </c>
      <c r="F113">
        <f t="shared" si="4"/>
        <v>0</v>
      </c>
      <c r="H113">
        <f>IF(AND(G113="Gestor", A113&lt;&gt;""), VLOOKUP(A113, Configuracion!$A:$D, 4, FALSE), 0)*Tabla15[[#This Row],[CANTIDAD]]</f>
        <v>0</v>
      </c>
      <c r="I113" t="str">
        <f t="shared" si="5"/>
        <v/>
      </c>
    </row>
    <row r="114" spans="2:9" x14ac:dyDescent="0.3">
      <c r="B114">
        <f>IFERROR(VLOOKUP(A114, Configuracion!$A:$B, 2, FALSE), 0)</f>
        <v>0</v>
      </c>
      <c r="E114">
        <f>IF(C114="Venta", IFERROR(VLOOKUP(A114, Configuracion!$A:$D, 3, FALSE), 0), 0)</f>
        <v>0</v>
      </c>
      <c r="F114">
        <f t="shared" si="4"/>
        <v>0</v>
      </c>
      <c r="H114">
        <f>IF(AND(G114="Gestor", A114&lt;&gt;""), VLOOKUP(A114, Configuracion!$A:$D, 4, FALSE), 0)*Tabla15[[#This Row],[CANTIDAD]]</f>
        <v>0</v>
      </c>
      <c r="I114" t="str">
        <f t="shared" si="5"/>
        <v/>
      </c>
    </row>
    <row r="115" spans="2:9" x14ac:dyDescent="0.3">
      <c r="B115">
        <f>IFERROR(VLOOKUP(A115, Configuracion!$A:$B, 2, FALSE), 0)</f>
        <v>0</v>
      </c>
      <c r="E115">
        <f>IF(C115="Venta", IFERROR(VLOOKUP(A115, Configuracion!$A:$D, 3, FALSE), 0), 0)</f>
        <v>0</v>
      </c>
      <c r="F115">
        <f t="shared" si="4"/>
        <v>0</v>
      </c>
      <c r="H115">
        <f>IF(AND(G115="Gestor", A115&lt;&gt;""), VLOOKUP(A115, Configuracion!$A:$D, 4, FALSE), 0)*Tabla15[[#This Row],[CANTIDAD]]</f>
        <v>0</v>
      </c>
      <c r="I115" t="str">
        <f t="shared" si="5"/>
        <v/>
      </c>
    </row>
    <row r="116" spans="2:9" x14ac:dyDescent="0.3">
      <c r="B116">
        <f>IFERROR(VLOOKUP(A116, Configuracion!$A:$B, 2, FALSE), 0)</f>
        <v>0</v>
      </c>
      <c r="E116">
        <f>IF(C116="Venta", IFERROR(VLOOKUP(A116, Configuracion!$A:$D, 3, FALSE), 0), 0)</f>
        <v>0</v>
      </c>
      <c r="F116">
        <f t="shared" si="4"/>
        <v>0</v>
      </c>
      <c r="H116">
        <f>IF(AND(G116="Gestor", A116&lt;&gt;""), VLOOKUP(A116, Configuracion!$A:$D, 4, FALSE), 0)*Tabla15[[#This Row],[CANTIDAD]]</f>
        <v>0</v>
      </c>
      <c r="I116" t="str">
        <f t="shared" si="5"/>
        <v/>
      </c>
    </row>
    <row r="117" spans="2:9" x14ac:dyDescent="0.3">
      <c r="B117">
        <f>IFERROR(VLOOKUP(A117, Configuracion!$A:$B, 2, FALSE), 0)</f>
        <v>0</v>
      </c>
      <c r="E117">
        <f>IF(C117="Venta", IFERROR(VLOOKUP(A117, Configuracion!$A:$D, 3, FALSE), 0), 0)</f>
        <v>0</v>
      </c>
      <c r="F117">
        <f t="shared" si="4"/>
        <v>0</v>
      </c>
      <c r="H117">
        <f>IF(AND(G117="Gestor", A117&lt;&gt;""), VLOOKUP(A117, Configuracion!$A:$D, 4, FALSE), 0)*Tabla15[[#This Row],[CANTIDAD]]</f>
        <v>0</v>
      </c>
      <c r="I117" t="str">
        <f t="shared" ref="I117:I148" si="6">IF(OR(A117="", D117=""), "", IF(C117="Entrada", B117+D117, IF(OR(C117="Venta", C117="Salida"), B117-D117, B117)))</f>
        <v/>
      </c>
    </row>
    <row r="118" spans="2:9" x14ac:dyDescent="0.3">
      <c r="B118">
        <f>IFERROR(VLOOKUP(A118, Configuracion!$A:$B, 2, FALSE), 0)</f>
        <v>0</v>
      </c>
      <c r="E118">
        <f>IF(C118="Venta", IFERROR(VLOOKUP(A118, Configuracion!$A:$D, 3, FALSE), 0), 0)</f>
        <v>0</v>
      </c>
      <c r="F118">
        <f t="shared" si="4"/>
        <v>0</v>
      </c>
      <c r="H118">
        <f>IF(AND(G118="Gestor", A118&lt;&gt;""), VLOOKUP(A118, Configuracion!$A:$D, 4, FALSE), 0)*Tabla15[[#This Row],[CANTIDAD]]</f>
        <v>0</v>
      </c>
      <c r="I118" t="str">
        <f t="shared" si="6"/>
        <v/>
      </c>
    </row>
    <row r="119" spans="2:9" x14ac:dyDescent="0.3">
      <c r="B119">
        <f>IFERROR(VLOOKUP(A119, Configuracion!$A:$B, 2, FALSE), 0)</f>
        <v>0</v>
      </c>
      <c r="E119">
        <f>IF(C119="Venta", IFERROR(VLOOKUP(A119, Configuracion!$A:$D, 3, FALSE), 0), 0)</f>
        <v>0</v>
      </c>
      <c r="F119">
        <f t="shared" si="4"/>
        <v>0</v>
      </c>
      <c r="H119">
        <f>IF(AND(G119="Gestor", A119&lt;&gt;""), VLOOKUP(A119, Configuracion!$A:$D, 4, FALSE), 0)*Tabla15[[#This Row],[CANTIDAD]]</f>
        <v>0</v>
      </c>
      <c r="I119" t="str">
        <f t="shared" si="6"/>
        <v/>
      </c>
    </row>
    <row r="120" spans="2:9" x14ac:dyDescent="0.3">
      <c r="B120">
        <f>IFERROR(VLOOKUP(A120, Configuracion!$A:$B, 2, FALSE), 0)</f>
        <v>0</v>
      </c>
      <c r="E120">
        <f>IF(C120="Venta", IFERROR(VLOOKUP(A120, Configuracion!$A:$D, 3, FALSE), 0), 0)</f>
        <v>0</v>
      </c>
      <c r="F120">
        <f t="shared" si="4"/>
        <v>0</v>
      </c>
      <c r="H120">
        <f>IF(AND(G120="Gestor", A120&lt;&gt;""), VLOOKUP(A120, Configuracion!$A:$D, 4, FALSE), 0)*Tabla15[[#This Row],[CANTIDAD]]</f>
        <v>0</v>
      </c>
      <c r="I120" t="str">
        <f t="shared" si="6"/>
        <v/>
      </c>
    </row>
    <row r="121" spans="2:9" x14ac:dyDescent="0.3">
      <c r="B121">
        <f>IFERROR(VLOOKUP(A121, Configuracion!$A:$B, 2, FALSE), 0)</f>
        <v>0</v>
      </c>
      <c r="E121">
        <f>IF(C121="Venta", IFERROR(VLOOKUP(A121, Configuracion!$A:$D, 3, FALSE), 0), 0)</f>
        <v>0</v>
      </c>
      <c r="F121">
        <f t="shared" si="4"/>
        <v>0</v>
      </c>
      <c r="H121">
        <f>IF(AND(G121="Gestor", A121&lt;&gt;""), VLOOKUP(A121, Configuracion!$A:$D, 4, FALSE), 0)*Tabla15[[#This Row],[CANTIDAD]]</f>
        <v>0</v>
      </c>
      <c r="I121" t="str">
        <f t="shared" si="6"/>
        <v/>
      </c>
    </row>
    <row r="122" spans="2:9" x14ac:dyDescent="0.3">
      <c r="B122">
        <f>IFERROR(VLOOKUP(A122, Configuracion!$A:$B, 2, FALSE), 0)</f>
        <v>0</v>
      </c>
      <c r="E122">
        <f>IF(C122="Venta", IFERROR(VLOOKUP(A122, Configuracion!$A:$D, 3, FALSE), 0), 0)</f>
        <v>0</v>
      </c>
      <c r="F122">
        <f t="shared" si="4"/>
        <v>0</v>
      </c>
      <c r="H122">
        <f>IF(AND(G122="Gestor", A122&lt;&gt;""), VLOOKUP(A122, Configuracion!$A:$D, 4, FALSE), 0)*Tabla15[[#This Row],[CANTIDAD]]</f>
        <v>0</v>
      </c>
      <c r="I122" t="str">
        <f t="shared" si="6"/>
        <v/>
      </c>
    </row>
    <row r="123" spans="2:9" x14ac:dyDescent="0.3">
      <c r="B123">
        <f>IFERROR(VLOOKUP(A123, Configuracion!$A:$B, 2, FALSE), 0)</f>
        <v>0</v>
      </c>
      <c r="E123">
        <f>IF(C123="Venta", IFERROR(VLOOKUP(A123, Configuracion!$A:$D, 3, FALSE), 0), 0)</f>
        <v>0</v>
      </c>
      <c r="F123">
        <f t="shared" si="4"/>
        <v>0</v>
      </c>
      <c r="H123">
        <f>IF(AND(G123="Gestor", A123&lt;&gt;""), VLOOKUP(A123, Configuracion!$A:$D, 4, FALSE), 0)*Tabla15[[#This Row],[CANTIDAD]]</f>
        <v>0</v>
      </c>
      <c r="I123" t="str">
        <f t="shared" si="6"/>
        <v/>
      </c>
    </row>
    <row r="124" spans="2:9" x14ac:dyDescent="0.3">
      <c r="B124">
        <f>IFERROR(VLOOKUP(A124, Configuracion!$A:$B, 2, FALSE), 0)</f>
        <v>0</v>
      </c>
      <c r="E124">
        <f>IF(C124="Venta", IFERROR(VLOOKUP(A124, Configuracion!$A:$D, 3, FALSE), 0), 0)</f>
        <v>0</v>
      </c>
      <c r="F124">
        <f t="shared" si="4"/>
        <v>0</v>
      </c>
      <c r="H124">
        <f>IF(AND(G124="Gestor", A124&lt;&gt;""), VLOOKUP(A124, Configuracion!$A:$D, 4, FALSE), 0)*Tabla15[[#This Row],[CANTIDAD]]</f>
        <v>0</v>
      </c>
      <c r="I124" t="str">
        <f t="shared" si="6"/>
        <v/>
      </c>
    </row>
    <row r="125" spans="2:9" x14ac:dyDescent="0.3">
      <c r="B125">
        <f>IFERROR(VLOOKUP(A125, Configuracion!$A:$B, 2, FALSE), 0)</f>
        <v>0</v>
      </c>
      <c r="E125">
        <f>IF(C125="Venta", IFERROR(VLOOKUP(A125, Configuracion!$A:$D, 3, FALSE), 0), 0)</f>
        <v>0</v>
      </c>
      <c r="F125">
        <f t="shared" si="4"/>
        <v>0</v>
      </c>
      <c r="H125">
        <f>IF(AND(G125="Gestor", A125&lt;&gt;""), VLOOKUP(A125, Configuracion!$A:$D, 4, FALSE), 0)*Tabla15[[#This Row],[CANTIDAD]]</f>
        <v>0</v>
      </c>
      <c r="I125" t="str">
        <f t="shared" si="6"/>
        <v/>
      </c>
    </row>
    <row r="126" spans="2:9" x14ac:dyDescent="0.3">
      <c r="B126">
        <f>IFERROR(VLOOKUP(A126, Configuracion!$A:$B, 2, FALSE), 0)</f>
        <v>0</v>
      </c>
      <c r="E126">
        <f>IF(C126="Venta", IFERROR(VLOOKUP(A126, Configuracion!$A:$D, 3, FALSE), 0), 0)</f>
        <v>0</v>
      </c>
      <c r="F126">
        <f t="shared" si="4"/>
        <v>0</v>
      </c>
      <c r="H126">
        <f>IF(AND(G126="Gestor", A126&lt;&gt;""), VLOOKUP(A126, Configuracion!$A:$D, 4, FALSE), 0)*Tabla15[[#This Row],[CANTIDAD]]</f>
        <v>0</v>
      </c>
      <c r="I126" t="str">
        <f t="shared" si="6"/>
        <v/>
      </c>
    </row>
    <row r="127" spans="2:9" x14ac:dyDescent="0.3">
      <c r="B127">
        <f>IFERROR(VLOOKUP(A127, Configuracion!$A:$B, 2, FALSE), 0)</f>
        <v>0</v>
      </c>
      <c r="E127">
        <f>IF(C127="Venta", IFERROR(VLOOKUP(A127, Configuracion!$A:$D, 3, FALSE), 0), 0)</f>
        <v>0</v>
      </c>
      <c r="F127">
        <f t="shared" si="4"/>
        <v>0</v>
      </c>
      <c r="H127">
        <f>IF(AND(G127="Gestor", A127&lt;&gt;""), VLOOKUP(A127, Configuracion!$A:$D, 4, FALSE), 0)*Tabla15[[#This Row],[CANTIDAD]]</f>
        <v>0</v>
      </c>
      <c r="I127" t="str">
        <f t="shared" si="6"/>
        <v/>
      </c>
    </row>
    <row r="128" spans="2:9" x14ac:dyDescent="0.3">
      <c r="B128">
        <f>IFERROR(VLOOKUP(A128, Configuracion!$A:$B, 2, FALSE), 0)</f>
        <v>0</v>
      </c>
      <c r="E128">
        <f>IF(C128="Venta", IFERROR(VLOOKUP(A128, Configuracion!$A:$D, 3, FALSE), 0), 0)</f>
        <v>0</v>
      </c>
      <c r="F128">
        <f t="shared" si="4"/>
        <v>0</v>
      </c>
      <c r="H128">
        <f>IF(AND(G128="Gestor", A128&lt;&gt;""), VLOOKUP(A128, Configuracion!$A:$D, 4, FALSE), 0)*Tabla15[[#This Row],[CANTIDAD]]</f>
        <v>0</v>
      </c>
      <c r="I128" t="str">
        <f t="shared" si="6"/>
        <v/>
      </c>
    </row>
    <row r="129" spans="2:9" x14ac:dyDescent="0.3">
      <c r="B129">
        <f>IFERROR(VLOOKUP(A129, Configuracion!$A:$B, 2, FALSE), 0)</f>
        <v>0</v>
      </c>
      <c r="E129">
        <f>IF(C129="Venta", IFERROR(VLOOKUP(A129, Configuracion!$A:$D, 3, FALSE), 0), 0)</f>
        <v>0</v>
      </c>
      <c r="F129">
        <f t="shared" si="4"/>
        <v>0</v>
      </c>
      <c r="H129">
        <f>IF(AND(G129="Gestor", A129&lt;&gt;""), VLOOKUP(A129, Configuracion!$A:$D, 4, FALSE), 0)*Tabla15[[#This Row],[CANTIDAD]]</f>
        <v>0</v>
      </c>
      <c r="I129" t="str">
        <f t="shared" si="6"/>
        <v/>
      </c>
    </row>
    <row r="130" spans="2:9" x14ac:dyDescent="0.3">
      <c r="B130">
        <f>IFERROR(VLOOKUP(A130, Configuracion!$A:$B, 2, FALSE), 0)</f>
        <v>0</v>
      </c>
      <c r="E130">
        <f>IF(C130="Venta", IFERROR(VLOOKUP(A130, Configuracion!$A:$D, 3, FALSE), 0), 0)</f>
        <v>0</v>
      </c>
      <c r="F130">
        <f t="shared" si="4"/>
        <v>0</v>
      </c>
      <c r="H130">
        <f>IF(AND(G130="Gestor", A130&lt;&gt;""), VLOOKUP(A130, Configuracion!$A:$D, 4, FALSE), 0)*Tabla15[[#This Row],[CANTIDAD]]</f>
        <v>0</v>
      </c>
      <c r="I130" t="str">
        <f t="shared" si="6"/>
        <v/>
      </c>
    </row>
    <row r="131" spans="2:9" x14ac:dyDescent="0.3">
      <c r="B131">
        <f>IFERROR(VLOOKUP(A131, Configuracion!$A:$B, 2, FALSE), 0)</f>
        <v>0</v>
      </c>
      <c r="E131">
        <f>IF(C131="Venta", IFERROR(VLOOKUP(A131, Configuracion!$A:$D, 3, FALSE), 0), 0)</f>
        <v>0</v>
      </c>
      <c r="F131">
        <f t="shared" si="4"/>
        <v>0</v>
      </c>
      <c r="H131">
        <f>IF(AND(G131="Gestor", A131&lt;&gt;""), VLOOKUP(A131, Configuracion!$A:$D, 4, FALSE), 0)*Tabla15[[#This Row],[CANTIDAD]]</f>
        <v>0</v>
      </c>
      <c r="I131" t="str">
        <f t="shared" si="6"/>
        <v/>
      </c>
    </row>
    <row r="132" spans="2:9" x14ac:dyDescent="0.3">
      <c r="B132">
        <f>IFERROR(VLOOKUP(A132, Configuracion!$A:$B, 2, FALSE), 0)</f>
        <v>0</v>
      </c>
      <c r="E132">
        <f>IF(C132="Venta", IFERROR(VLOOKUP(A132, Configuracion!$A:$D, 3, FALSE), 0), 0)</f>
        <v>0</v>
      </c>
      <c r="F132">
        <f t="shared" si="4"/>
        <v>0</v>
      </c>
      <c r="H132">
        <f>IF(AND(G132="Gestor", A132&lt;&gt;""), VLOOKUP(A132, Configuracion!$A:$D, 4, FALSE), 0)*Tabla15[[#This Row],[CANTIDAD]]</f>
        <v>0</v>
      </c>
      <c r="I132" t="str">
        <f t="shared" si="6"/>
        <v/>
      </c>
    </row>
    <row r="133" spans="2:9" x14ac:dyDescent="0.3">
      <c r="B133">
        <f>IFERROR(VLOOKUP(A133, Configuracion!$A:$B, 2, FALSE), 0)</f>
        <v>0</v>
      </c>
      <c r="E133">
        <f>IF(C133="Venta", IFERROR(VLOOKUP(A133, Configuracion!$A:$D, 3, FALSE), 0), 0)</f>
        <v>0</v>
      </c>
      <c r="F133">
        <f t="shared" ref="F133:F191" si="7">E133*D133</f>
        <v>0</v>
      </c>
      <c r="H133">
        <f>IF(AND(G133="Gestor", A133&lt;&gt;""), VLOOKUP(A133, Configuracion!$A:$D, 4, FALSE), 0)*Tabla15[[#This Row],[CANTIDAD]]</f>
        <v>0</v>
      </c>
      <c r="I133" t="str">
        <f t="shared" si="6"/>
        <v/>
      </c>
    </row>
    <row r="134" spans="2:9" x14ac:dyDescent="0.3">
      <c r="B134">
        <f>IFERROR(VLOOKUP(A134, Configuracion!$A:$B, 2, FALSE), 0)</f>
        <v>0</v>
      </c>
      <c r="E134">
        <f>IF(C134="Venta", IFERROR(VLOOKUP(A134, Configuracion!$A:$D, 3, FALSE), 0), 0)</f>
        <v>0</v>
      </c>
      <c r="F134">
        <f t="shared" si="7"/>
        <v>0</v>
      </c>
      <c r="H134">
        <f>IF(AND(G134="Gestor", A134&lt;&gt;""), VLOOKUP(A134, Configuracion!$A:$D, 4, FALSE), 0)*Tabla15[[#This Row],[CANTIDAD]]</f>
        <v>0</v>
      </c>
      <c r="I134" t="str">
        <f t="shared" si="6"/>
        <v/>
      </c>
    </row>
    <row r="135" spans="2:9" x14ac:dyDescent="0.3">
      <c r="B135">
        <f>IFERROR(VLOOKUP(A135, Configuracion!$A:$B, 2, FALSE), 0)</f>
        <v>0</v>
      </c>
      <c r="E135">
        <f>IF(C135="Venta", IFERROR(VLOOKUP(A135, Configuracion!$A:$D, 3, FALSE), 0), 0)</f>
        <v>0</v>
      </c>
      <c r="F135">
        <f t="shared" si="7"/>
        <v>0</v>
      </c>
      <c r="H135">
        <f>IF(AND(G135="Gestor", A135&lt;&gt;""), VLOOKUP(A135, Configuracion!$A:$D, 4, FALSE), 0)*Tabla15[[#This Row],[CANTIDAD]]</f>
        <v>0</v>
      </c>
      <c r="I135" t="str">
        <f t="shared" si="6"/>
        <v/>
      </c>
    </row>
    <row r="136" spans="2:9" x14ac:dyDescent="0.3">
      <c r="B136">
        <f>IFERROR(VLOOKUP(A136, Configuracion!$A:$B, 2, FALSE), 0)</f>
        <v>0</v>
      </c>
      <c r="E136">
        <f>IF(C136="Venta", IFERROR(VLOOKUP(A136, Configuracion!$A:$D, 3, FALSE), 0), 0)</f>
        <v>0</v>
      </c>
      <c r="F136">
        <f t="shared" si="7"/>
        <v>0</v>
      </c>
      <c r="H136">
        <f>IF(AND(G136="Gestor", A136&lt;&gt;""), VLOOKUP(A136, Configuracion!$A:$D, 4, FALSE), 0)*Tabla15[[#This Row],[CANTIDAD]]</f>
        <v>0</v>
      </c>
      <c r="I136" t="str">
        <f t="shared" si="6"/>
        <v/>
      </c>
    </row>
    <row r="137" spans="2:9" x14ac:dyDescent="0.3">
      <c r="B137">
        <f>IFERROR(VLOOKUP(A137, Configuracion!$A:$B, 2, FALSE), 0)</f>
        <v>0</v>
      </c>
      <c r="E137">
        <f>IF(C137="Venta", IFERROR(VLOOKUP(A137, Configuracion!$A:$D, 3, FALSE), 0), 0)</f>
        <v>0</v>
      </c>
      <c r="F137">
        <f t="shared" si="7"/>
        <v>0</v>
      </c>
      <c r="H137">
        <f>IF(AND(G137="Gestor", A137&lt;&gt;""), VLOOKUP(A137, Configuracion!$A:$D, 4, FALSE), 0)*Tabla15[[#This Row],[CANTIDAD]]</f>
        <v>0</v>
      </c>
      <c r="I137" t="str">
        <f t="shared" si="6"/>
        <v/>
      </c>
    </row>
    <row r="138" spans="2:9" x14ac:dyDescent="0.3">
      <c r="B138">
        <f>IFERROR(VLOOKUP(A138, Configuracion!$A:$B, 2, FALSE), 0)</f>
        <v>0</v>
      </c>
      <c r="E138">
        <f>IF(C138="Venta", IFERROR(VLOOKUP(A138, Configuracion!$A:$D, 3, FALSE), 0), 0)</f>
        <v>0</v>
      </c>
      <c r="F138">
        <f t="shared" si="7"/>
        <v>0</v>
      </c>
      <c r="H138">
        <f>IF(AND(G138="Gestor", A138&lt;&gt;""), VLOOKUP(A138, Configuracion!$A:$D, 4, FALSE), 0)*Tabla15[[#This Row],[CANTIDAD]]</f>
        <v>0</v>
      </c>
      <c r="I138" t="str">
        <f t="shared" si="6"/>
        <v/>
      </c>
    </row>
    <row r="139" spans="2:9" x14ac:dyDescent="0.3">
      <c r="B139">
        <f>IFERROR(VLOOKUP(A139, Configuracion!$A:$B, 2, FALSE), 0)</f>
        <v>0</v>
      </c>
      <c r="E139">
        <f>IF(C139="Venta", IFERROR(VLOOKUP(A139, Configuracion!$A:$D, 3, FALSE), 0), 0)</f>
        <v>0</v>
      </c>
      <c r="F139">
        <f t="shared" si="7"/>
        <v>0</v>
      </c>
      <c r="H139">
        <f>IF(AND(G139="Gestor", A139&lt;&gt;""), VLOOKUP(A139, Configuracion!$A:$D, 4, FALSE), 0)*Tabla15[[#This Row],[CANTIDAD]]</f>
        <v>0</v>
      </c>
      <c r="I139" t="str">
        <f t="shared" si="6"/>
        <v/>
      </c>
    </row>
    <row r="140" spans="2:9" x14ac:dyDescent="0.3">
      <c r="B140">
        <f>IFERROR(VLOOKUP(A140, Configuracion!$A:$B, 2, FALSE), 0)</f>
        <v>0</v>
      </c>
      <c r="E140">
        <f>IF(C140="Venta", IFERROR(VLOOKUP(A140, Configuracion!$A:$D, 3, FALSE), 0), 0)</f>
        <v>0</v>
      </c>
      <c r="F140">
        <f t="shared" si="7"/>
        <v>0</v>
      </c>
      <c r="H140">
        <f>IF(AND(G140="Gestor", A140&lt;&gt;""), VLOOKUP(A140, Configuracion!$A:$D, 4, FALSE), 0)*Tabla15[[#This Row],[CANTIDAD]]</f>
        <v>0</v>
      </c>
      <c r="I140" t="str">
        <f t="shared" si="6"/>
        <v/>
      </c>
    </row>
    <row r="141" spans="2:9" x14ac:dyDescent="0.3">
      <c r="B141">
        <f>IFERROR(VLOOKUP(A141, Configuracion!$A:$B, 2, FALSE), 0)</f>
        <v>0</v>
      </c>
      <c r="E141">
        <f>IF(C141="Venta", IFERROR(VLOOKUP(A141, Configuracion!$A:$D, 3, FALSE), 0), 0)</f>
        <v>0</v>
      </c>
      <c r="F141">
        <f t="shared" si="7"/>
        <v>0</v>
      </c>
      <c r="H141">
        <f>IF(AND(G141="Gestor", A141&lt;&gt;""), VLOOKUP(A141, Configuracion!$A:$D, 4, FALSE), 0)*Tabla15[[#This Row],[CANTIDAD]]</f>
        <v>0</v>
      </c>
      <c r="I141" t="str">
        <f t="shared" si="6"/>
        <v/>
      </c>
    </row>
    <row r="142" spans="2:9" x14ac:dyDescent="0.3">
      <c r="B142">
        <f>IFERROR(VLOOKUP(A142, Configuracion!$A:$B, 2, FALSE), 0)</f>
        <v>0</v>
      </c>
      <c r="E142">
        <f>IF(C142="Venta", IFERROR(VLOOKUP(A142, Configuracion!$A:$D, 3, FALSE), 0), 0)</f>
        <v>0</v>
      </c>
      <c r="F142">
        <f t="shared" si="7"/>
        <v>0</v>
      </c>
      <c r="H142">
        <f>IF(AND(G142="Gestor", A142&lt;&gt;""), VLOOKUP(A142, Configuracion!$A:$D, 4, FALSE), 0)*Tabla15[[#This Row],[CANTIDAD]]</f>
        <v>0</v>
      </c>
      <c r="I142" t="str">
        <f t="shared" si="6"/>
        <v/>
      </c>
    </row>
    <row r="143" spans="2:9" x14ac:dyDescent="0.3">
      <c r="B143">
        <f>IFERROR(VLOOKUP(A143, Configuracion!$A:$B, 2, FALSE), 0)</f>
        <v>0</v>
      </c>
      <c r="E143">
        <f>IF(C143="Venta", IFERROR(VLOOKUP(A143, Configuracion!$A:$D, 3, FALSE), 0), 0)</f>
        <v>0</v>
      </c>
      <c r="F143">
        <f t="shared" si="7"/>
        <v>0</v>
      </c>
      <c r="H143">
        <f>IF(AND(G143="Gestor", A143&lt;&gt;""), VLOOKUP(A143, Configuracion!$A:$D, 4, FALSE), 0)*Tabla15[[#This Row],[CANTIDAD]]</f>
        <v>0</v>
      </c>
      <c r="I143" t="str">
        <f t="shared" si="6"/>
        <v/>
      </c>
    </row>
    <row r="144" spans="2:9" x14ac:dyDescent="0.3">
      <c r="B144">
        <f>IFERROR(VLOOKUP(A144, Configuracion!$A:$B, 2, FALSE), 0)</f>
        <v>0</v>
      </c>
      <c r="E144">
        <f>IF(C144="Venta", IFERROR(VLOOKUP(A144, Configuracion!$A:$D, 3, FALSE), 0), 0)</f>
        <v>0</v>
      </c>
      <c r="F144">
        <f t="shared" si="7"/>
        <v>0</v>
      </c>
      <c r="H144">
        <f>IF(AND(G144="Gestor", A144&lt;&gt;""), VLOOKUP(A144, Configuracion!$A:$D, 4, FALSE), 0)*Tabla15[[#This Row],[CANTIDAD]]</f>
        <v>0</v>
      </c>
      <c r="I144" t="str">
        <f t="shared" si="6"/>
        <v/>
      </c>
    </row>
    <row r="145" spans="2:9" x14ac:dyDescent="0.3">
      <c r="B145">
        <f>IFERROR(VLOOKUP(A145, Configuracion!$A:$B, 2, FALSE), 0)</f>
        <v>0</v>
      </c>
      <c r="E145">
        <f>IF(C145="Venta", IFERROR(VLOOKUP(A145, Configuracion!$A:$D, 3, FALSE), 0), 0)</f>
        <v>0</v>
      </c>
      <c r="F145">
        <f t="shared" si="7"/>
        <v>0</v>
      </c>
      <c r="H145">
        <f>IF(AND(G145="Gestor", A145&lt;&gt;""), VLOOKUP(A145, Configuracion!$A:$D, 4, FALSE), 0)*Tabla15[[#This Row],[CANTIDAD]]</f>
        <v>0</v>
      </c>
      <c r="I145" t="str">
        <f t="shared" si="6"/>
        <v/>
      </c>
    </row>
    <row r="146" spans="2:9" x14ac:dyDescent="0.3">
      <c r="B146">
        <f>IFERROR(VLOOKUP(A146, Configuracion!$A:$B, 2, FALSE), 0)</f>
        <v>0</v>
      </c>
      <c r="E146">
        <f>IF(C146="Venta", IFERROR(VLOOKUP(A146, Configuracion!$A:$D, 3, FALSE), 0), 0)</f>
        <v>0</v>
      </c>
      <c r="F146">
        <f t="shared" si="7"/>
        <v>0</v>
      </c>
      <c r="H146">
        <f>IF(AND(G146="Gestor", A146&lt;&gt;""), VLOOKUP(A146, Configuracion!$A:$D, 4, FALSE), 0)*Tabla15[[#This Row],[CANTIDAD]]</f>
        <v>0</v>
      </c>
      <c r="I146" t="str">
        <f t="shared" si="6"/>
        <v/>
      </c>
    </row>
    <row r="147" spans="2:9" x14ac:dyDescent="0.3">
      <c r="B147">
        <f>IFERROR(VLOOKUP(A147, Configuracion!$A:$B, 2, FALSE), 0)</f>
        <v>0</v>
      </c>
      <c r="E147">
        <f>IF(C147="Venta", IFERROR(VLOOKUP(A147, Configuracion!$A:$D, 3, FALSE), 0), 0)</f>
        <v>0</v>
      </c>
      <c r="F147">
        <f t="shared" si="7"/>
        <v>0</v>
      </c>
      <c r="H147">
        <f>IF(AND(G147="Gestor", A147&lt;&gt;""), VLOOKUP(A147, Configuracion!$A:$D, 4, FALSE), 0)*Tabla15[[#This Row],[CANTIDAD]]</f>
        <v>0</v>
      </c>
      <c r="I147" t="str">
        <f t="shared" si="6"/>
        <v/>
      </c>
    </row>
    <row r="148" spans="2:9" x14ac:dyDescent="0.3">
      <c r="B148">
        <f>IFERROR(VLOOKUP(A148, Configuracion!$A:$B, 2, FALSE), 0)</f>
        <v>0</v>
      </c>
      <c r="E148">
        <f>IF(C148="Venta", IFERROR(VLOOKUP(A148, Configuracion!$A:$D, 3, FALSE), 0), 0)</f>
        <v>0</v>
      </c>
      <c r="F148">
        <f t="shared" si="7"/>
        <v>0</v>
      </c>
      <c r="H148">
        <f>IF(AND(G148="Gestor", A148&lt;&gt;""), VLOOKUP(A148, Configuracion!$A:$D, 4, FALSE), 0)*Tabla15[[#This Row],[CANTIDAD]]</f>
        <v>0</v>
      </c>
      <c r="I148" t="str">
        <f t="shared" si="6"/>
        <v/>
      </c>
    </row>
    <row r="149" spans="2:9" x14ac:dyDescent="0.3">
      <c r="B149">
        <f>IFERROR(VLOOKUP(A149, Configuracion!$A:$B, 2, FALSE), 0)</f>
        <v>0</v>
      </c>
      <c r="E149">
        <f>IF(C149="Venta", IFERROR(VLOOKUP(A149, Configuracion!$A:$D, 3, FALSE), 0), 0)</f>
        <v>0</v>
      </c>
      <c r="F149">
        <f t="shared" si="7"/>
        <v>0</v>
      </c>
      <c r="H149">
        <f>IF(AND(G149="Gestor", A149&lt;&gt;""), VLOOKUP(A149, Configuracion!$A:$D, 4, FALSE), 0)*Tabla15[[#This Row],[CANTIDAD]]</f>
        <v>0</v>
      </c>
      <c r="I149" t="str">
        <f t="shared" ref="I149:I180" si="8">IF(OR(A149="", D149=""), "", IF(C149="Entrada", B149+D149, IF(OR(C149="Venta", C149="Salida"), B149-D149, B149)))</f>
        <v/>
      </c>
    </row>
    <row r="150" spans="2:9" x14ac:dyDescent="0.3">
      <c r="B150">
        <f>IFERROR(VLOOKUP(A150, Configuracion!$A:$B, 2, FALSE), 0)</f>
        <v>0</v>
      </c>
      <c r="E150">
        <f>IF(C150="Venta", IFERROR(VLOOKUP(A150, Configuracion!$A:$D, 3, FALSE), 0), 0)</f>
        <v>0</v>
      </c>
      <c r="F150">
        <f t="shared" si="7"/>
        <v>0</v>
      </c>
      <c r="H150">
        <f>IF(AND(G150="Gestor", A150&lt;&gt;""), VLOOKUP(A150, Configuracion!$A:$D, 4, FALSE), 0)*Tabla15[[#This Row],[CANTIDAD]]</f>
        <v>0</v>
      </c>
      <c r="I150" t="str">
        <f t="shared" si="8"/>
        <v/>
      </c>
    </row>
    <row r="151" spans="2:9" x14ac:dyDescent="0.3">
      <c r="B151">
        <f>IFERROR(VLOOKUP(A151, Configuracion!$A:$B, 2, FALSE), 0)</f>
        <v>0</v>
      </c>
      <c r="E151">
        <f>IF(C151="Venta", IFERROR(VLOOKUP(A151, Configuracion!$A:$D, 3, FALSE), 0), 0)</f>
        <v>0</v>
      </c>
      <c r="F151">
        <f t="shared" si="7"/>
        <v>0</v>
      </c>
      <c r="H151">
        <f>IF(AND(G151="Gestor", A151&lt;&gt;""), VLOOKUP(A151, Configuracion!$A:$D, 4, FALSE), 0)*Tabla15[[#This Row],[CANTIDAD]]</f>
        <v>0</v>
      </c>
      <c r="I151" t="str">
        <f t="shared" si="8"/>
        <v/>
      </c>
    </row>
    <row r="152" spans="2:9" x14ac:dyDescent="0.3">
      <c r="B152">
        <f>IFERROR(VLOOKUP(A152, Configuracion!$A:$B, 2, FALSE), 0)</f>
        <v>0</v>
      </c>
      <c r="E152">
        <f>IF(C152="Venta", IFERROR(VLOOKUP(A152, Configuracion!$A:$D, 3, FALSE), 0), 0)</f>
        <v>0</v>
      </c>
      <c r="F152">
        <f t="shared" si="7"/>
        <v>0</v>
      </c>
      <c r="H152">
        <f>IF(AND(G152="Gestor", A152&lt;&gt;""), VLOOKUP(A152, Configuracion!$A:$D, 4, FALSE), 0)*Tabla15[[#This Row],[CANTIDAD]]</f>
        <v>0</v>
      </c>
      <c r="I152" t="str">
        <f t="shared" si="8"/>
        <v/>
      </c>
    </row>
    <row r="153" spans="2:9" x14ac:dyDescent="0.3">
      <c r="B153">
        <f>IFERROR(VLOOKUP(A153, Configuracion!$A:$B, 2, FALSE), 0)</f>
        <v>0</v>
      </c>
      <c r="E153">
        <f>IF(C153="Venta", IFERROR(VLOOKUP(A153, Configuracion!$A:$D, 3, FALSE), 0), 0)</f>
        <v>0</v>
      </c>
      <c r="F153">
        <f t="shared" si="7"/>
        <v>0</v>
      </c>
      <c r="H153">
        <f>IF(AND(G153="Gestor", A153&lt;&gt;""), VLOOKUP(A153, Configuracion!$A:$D, 4, FALSE), 0)*Tabla15[[#This Row],[CANTIDAD]]</f>
        <v>0</v>
      </c>
      <c r="I153" t="str">
        <f t="shared" si="8"/>
        <v/>
      </c>
    </row>
    <row r="154" spans="2:9" x14ac:dyDescent="0.3">
      <c r="B154">
        <f>IFERROR(VLOOKUP(A154, Configuracion!$A:$B, 2, FALSE), 0)</f>
        <v>0</v>
      </c>
      <c r="E154">
        <f>IF(C154="Venta", IFERROR(VLOOKUP(A154, Configuracion!$A:$D, 3, FALSE), 0), 0)</f>
        <v>0</v>
      </c>
      <c r="F154">
        <f t="shared" si="7"/>
        <v>0</v>
      </c>
      <c r="H154">
        <f>IF(AND(G154="Gestor", A154&lt;&gt;""), VLOOKUP(A154, Configuracion!$A:$D, 4, FALSE), 0)*Tabla15[[#This Row],[CANTIDAD]]</f>
        <v>0</v>
      </c>
      <c r="I154" t="str">
        <f t="shared" si="8"/>
        <v/>
      </c>
    </row>
    <row r="155" spans="2:9" x14ac:dyDescent="0.3">
      <c r="B155">
        <f>IFERROR(VLOOKUP(A155, Configuracion!$A:$B, 2, FALSE), 0)</f>
        <v>0</v>
      </c>
      <c r="E155">
        <f>IF(C155="Venta", IFERROR(VLOOKUP(A155, Configuracion!$A:$D, 3, FALSE), 0), 0)</f>
        <v>0</v>
      </c>
      <c r="F155">
        <f t="shared" si="7"/>
        <v>0</v>
      </c>
      <c r="H155">
        <f>IF(AND(G155="Gestor", A155&lt;&gt;""), VLOOKUP(A155, Configuracion!$A:$D, 4, FALSE), 0)*Tabla15[[#This Row],[CANTIDAD]]</f>
        <v>0</v>
      </c>
      <c r="I155" t="str">
        <f t="shared" si="8"/>
        <v/>
      </c>
    </row>
    <row r="156" spans="2:9" x14ac:dyDescent="0.3">
      <c r="B156">
        <f>IFERROR(VLOOKUP(A156, Configuracion!$A:$B, 2, FALSE), 0)</f>
        <v>0</v>
      </c>
      <c r="E156">
        <f>IF(C156="Venta", IFERROR(VLOOKUP(A156, Configuracion!$A:$D, 3, FALSE), 0), 0)</f>
        <v>0</v>
      </c>
      <c r="F156">
        <f t="shared" si="7"/>
        <v>0</v>
      </c>
      <c r="H156">
        <f>IF(AND(G156="Gestor", A156&lt;&gt;""), VLOOKUP(A156, Configuracion!$A:$D, 4, FALSE), 0)*Tabla15[[#This Row],[CANTIDAD]]</f>
        <v>0</v>
      </c>
      <c r="I156" t="str">
        <f t="shared" si="8"/>
        <v/>
      </c>
    </row>
    <row r="157" spans="2:9" x14ac:dyDescent="0.3">
      <c r="B157">
        <f>IFERROR(VLOOKUP(A157, Configuracion!$A:$B, 2, FALSE), 0)</f>
        <v>0</v>
      </c>
      <c r="E157">
        <f>IF(C157="Venta", IFERROR(VLOOKUP(A157, Configuracion!$A:$D, 3, FALSE), 0), 0)</f>
        <v>0</v>
      </c>
      <c r="F157">
        <f t="shared" si="7"/>
        <v>0</v>
      </c>
      <c r="H157">
        <f>IF(AND(G157="Gestor", A157&lt;&gt;""), VLOOKUP(A157, Configuracion!$A:$D, 4, FALSE), 0)*Tabla15[[#This Row],[CANTIDAD]]</f>
        <v>0</v>
      </c>
      <c r="I157" t="str">
        <f t="shared" si="8"/>
        <v/>
      </c>
    </row>
    <row r="158" spans="2:9" x14ac:dyDescent="0.3">
      <c r="B158">
        <f>IFERROR(VLOOKUP(A158, Configuracion!$A:$B, 2, FALSE), 0)</f>
        <v>0</v>
      </c>
      <c r="E158">
        <f>IF(C158="Venta", IFERROR(VLOOKUP(A158, Configuracion!$A:$D, 3, FALSE), 0), 0)</f>
        <v>0</v>
      </c>
      <c r="F158">
        <f t="shared" si="7"/>
        <v>0</v>
      </c>
      <c r="H158">
        <f>IF(AND(G158="Gestor", A158&lt;&gt;""), VLOOKUP(A158, Configuracion!$A:$D, 4, FALSE), 0)*Tabla15[[#This Row],[CANTIDAD]]</f>
        <v>0</v>
      </c>
      <c r="I158" t="str">
        <f t="shared" si="8"/>
        <v/>
      </c>
    </row>
    <row r="159" spans="2:9" x14ac:dyDescent="0.3">
      <c r="B159">
        <f>IFERROR(VLOOKUP(A159, Configuracion!$A:$B, 2, FALSE), 0)</f>
        <v>0</v>
      </c>
      <c r="E159">
        <f>IF(C159="Venta", IFERROR(VLOOKUP(A159, Configuracion!$A:$D, 3, FALSE), 0), 0)</f>
        <v>0</v>
      </c>
      <c r="F159">
        <f t="shared" si="7"/>
        <v>0</v>
      </c>
      <c r="H159">
        <f>IF(AND(G159="Gestor", A159&lt;&gt;""), VLOOKUP(A159, Configuracion!$A:$D, 4, FALSE), 0)*Tabla15[[#This Row],[CANTIDAD]]</f>
        <v>0</v>
      </c>
      <c r="I159" t="str">
        <f t="shared" si="8"/>
        <v/>
      </c>
    </row>
    <row r="160" spans="2:9" x14ac:dyDescent="0.3">
      <c r="B160">
        <f>IFERROR(VLOOKUP(A160, Configuracion!$A:$B, 2, FALSE), 0)</f>
        <v>0</v>
      </c>
      <c r="E160">
        <f>IF(C160="Venta", IFERROR(VLOOKUP(A160, Configuracion!$A:$D, 3, FALSE), 0), 0)</f>
        <v>0</v>
      </c>
      <c r="F160">
        <f t="shared" si="7"/>
        <v>0</v>
      </c>
      <c r="H160">
        <f>IF(AND(G160="Gestor", A160&lt;&gt;""), VLOOKUP(A160, Configuracion!$A:$D, 4, FALSE), 0)*Tabla15[[#This Row],[CANTIDAD]]</f>
        <v>0</v>
      </c>
      <c r="I160" t="str">
        <f t="shared" si="8"/>
        <v/>
      </c>
    </row>
    <row r="161" spans="2:9" x14ac:dyDescent="0.3">
      <c r="B161">
        <f>IFERROR(VLOOKUP(A161, Configuracion!$A:$B, 2, FALSE), 0)</f>
        <v>0</v>
      </c>
      <c r="E161">
        <f>IF(C161="Venta", IFERROR(VLOOKUP(A161, Configuracion!$A:$D, 3, FALSE), 0), 0)</f>
        <v>0</v>
      </c>
      <c r="F161">
        <f t="shared" si="7"/>
        <v>0</v>
      </c>
      <c r="H161">
        <f>IF(AND(G161="Gestor", A161&lt;&gt;""), VLOOKUP(A161, Configuracion!$A:$D, 4, FALSE), 0)*Tabla15[[#This Row],[CANTIDAD]]</f>
        <v>0</v>
      </c>
      <c r="I161" t="str">
        <f t="shared" si="8"/>
        <v/>
      </c>
    </row>
    <row r="162" spans="2:9" x14ac:dyDescent="0.3">
      <c r="B162">
        <f>IFERROR(VLOOKUP(A162, Configuracion!$A:$B, 2, FALSE), 0)</f>
        <v>0</v>
      </c>
      <c r="E162">
        <f>IF(C162="Venta", IFERROR(VLOOKUP(A162, Configuracion!$A:$D, 3, FALSE), 0), 0)</f>
        <v>0</v>
      </c>
      <c r="F162">
        <f t="shared" si="7"/>
        <v>0</v>
      </c>
      <c r="H162">
        <f>IF(AND(G162="Gestor", A162&lt;&gt;""), VLOOKUP(A162, Configuracion!$A:$D, 4, FALSE), 0)*Tabla15[[#This Row],[CANTIDAD]]</f>
        <v>0</v>
      </c>
      <c r="I162" t="str">
        <f t="shared" si="8"/>
        <v/>
      </c>
    </row>
    <row r="163" spans="2:9" x14ac:dyDescent="0.3">
      <c r="B163">
        <f>IFERROR(VLOOKUP(A163, Configuracion!$A:$B, 2, FALSE), 0)</f>
        <v>0</v>
      </c>
      <c r="E163">
        <f>IF(C163="Venta", IFERROR(VLOOKUP(A163, Configuracion!$A:$D, 3, FALSE), 0), 0)</f>
        <v>0</v>
      </c>
      <c r="F163">
        <f t="shared" si="7"/>
        <v>0</v>
      </c>
      <c r="H163">
        <f>IF(AND(G163="Gestor", A163&lt;&gt;""), VLOOKUP(A163, Configuracion!$A:$D, 4, FALSE), 0)*Tabla15[[#This Row],[CANTIDAD]]</f>
        <v>0</v>
      </c>
      <c r="I163" t="str">
        <f t="shared" si="8"/>
        <v/>
      </c>
    </row>
    <row r="164" spans="2:9" x14ac:dyDescent="0.3">
      <c r="B164">
        <f>IFERROR(VLOOKUP(A164, Configuracion!$A:$B, 2, FALSE), 0)</f>
        <v>0</v>
      </c>
      <c r="E164">
        <f>IF(C164="Venta", IFERROR(VLOOKUP(A164, Configuracion!$A:$D, 3, FALSE), 0), 0)</f>
        <v>0</v>
      </c>
      <c r="F164">
        <f t="shared" si="7"/>
        <v>0</v>
      </c>
      <c r="H164">
        <f>IF(AND(G164="Gestor", A164&lt;&gt;""), VLOOKUP(A164, Configuracion!$A:$D, 4, FALSE), 0)*Tabla15[[#This Row],[CANTIDAD]]</f>
        <v>0</v>
      </c>
      <c r="I164" t="str">
        <f t="shared" si="8"/>
        <v/>
      </c>
    </row>
    <row r="165" spans="2:9" x14ac:dyDescent="0.3">
      <c r="B165">
        <f>IFERROR(VLOOKUP(A165, Configuracion!$A:$B, 2, FALSE), 0)</f>
        <v>0</v>
      </c>
      <c r="E165">
        <f>IF(C165="Venta", IFERROR(VLOOKUP(A165, Configuracion!$A:$D, 3, FALSE), 0), 0)</f>
        <v>0</v>
      </c>
      <c r="F165">
        <f t="shared" si="7"/>
        <v>0</v>
      </c>
      <c r="H165">
        <f>IF(AND(G165="Gestor", A165&lt;&gt;""), VLOOKUP(A165, Configuracion!$A:$D, 4, FALSE), 0)*Tabla15[[#This Row],[CANTIDAD]]</f>
        <v>0</v>
      </c>
      <c r="I165" t="str">
        <f t="shared" si="8"/>
        <v/>
      </c>
    </row>
    <row r="166" spans="2:9" x14ac:dyDescent="0.3">
      <c r="B166">
        <f>IFERROR(VLOOKUP(A166, Configuracion!$A:$B, 2, FALSE), 0)</f>
        <v>0</v>
      </c>
      <c r="E166">
        <f>IF(C166="Venta", IFERROR(VLOOKUP(A166, Configuracion!$A:$D, 3, FALSE), 0), 0)</f>
        <v>0</v>
      </c>
      <c r="F166">
        <f t="shared" si="7"/>
        <v>0</v>
      </c>
      <c r="H166">
        <f>IF(AND(G166="Gestor", A166&lt;&gt;""), VLOOKUP(A166, Configuracion!$A:$D, 4, FALSE), 0)*Tabla15[[#This Row],[CANTIDAD]]</f>
        <v>0</v>
      </c>
      <c r="I166" t="str">
        <f t="shared" si="8"/>
        <v/>
      </c>
    </row>
    <row r="167" spans="2:9" x14ac:dyDescent="0.3">
      <c r="B167">
        <f>IFERROR(VLOOKUP(A167, Configuracion!$A:$B, 2, FALSE), 0)</f>
        <v>0</v>
      </c>
      <c r="E167">
        <f>IF(C167="Venta", IFERROR(VLOOKUP(A167, Configuracion!$A:$D, 3, FALSE), 0), 0)</f>
        <v>0</v>
      </c>
      <c r="F167">
        <f t="shared" si="7"/>
        <v>0</v>
      </c>
      <c r="H167">
        <f>IF(AND(G167="Gestor", A167&lt;&gt;""), VLOOKUP(A167, Configuracion!$A:$D, 4, FALSE), 0)*Tabla15[[#This Row],[CANTIDAD]]</f>
        <v>0</v>
      </c>
      <c r="I167" t="str">
        <f t="shared" si="8"/>
        <v/>
      </c>
    </row>
    <row r="168" spans="2:9" x14ac:dyDescent="0.3">
      <c r="B168">
        <f>IFERROR(VLOOKUP(A168, Configuracion!$A:$B, 2, FALSE), 0)</f>
        <v>0</v>
      </c>
      <c r="E168">
        <f>IF(C168="Venta", IFERROR(VLOOKUP(A168, Configuracion!$A:$D, 3, FALSE), 0), 0)</f>
        <v>0</v>
      </c>
      <c r="F168">
        <f t="shared" si="7"/>
        <v>0</v>
      </c>
      <c r="H168">
        <f>IF(AND(G168="Gestor", A168&lt;&gt;""), VLOOKUP(A168, Configuracion!$A:$D, 4, FALSE), 0)*Tabla15[[#This Row],[CANTIDAD]]</f>
        <v>0</v>
      </c>
      <c r="I168" t="str">
        <f t="shared" si="8"/>
        <v/>
      </c>
    </row>
    <row r="169" spans="2:9" x14ac:dyDescent="0.3">
      <c r="B169">
        <f>IFERROR(VLOOKUP(A169, Configuracion!$A:$B, 2, FALSE), 0)</f>
        <v>0</v>
      </c>
      <c r="E169">
        <f>IF(C169="Venta", IFERROR(VLOOKUP(A169, Configuracion!$A:$D, 3, FALSE), 0), 0)</f>
        <v>0</v>
      </c>
      <c r="F169">
        <f t="shared" si="7"/>
        <v>0</v>
      </c>
      <c r="H169">
        <f>IF(AND(G169="Gestor", A169&lt;&gt;""), VLOOKUP(A169, Configuracion!$A:$D, 4, FALSE), 0)*Tabla15[[#This Row],[CANTIDAD]]</f>
        <v>0</v>
      </c>
      <c r="I169" t="str">
        <f t="shared" si="8"/>
        <v/>
      </c>
    </row>
    <row r="170" spans="2:9" x14ac:dyDescent="0.3">
      <c r="B170">
        <f>IFERROR(VLOOKUP(A170, Configuracion!$A:$B, 2, FALSE), 0)</f>
        <v>0</v>
      </c>
      <c r="E170">
        <f>IF(C170="Venta", IFERROR(VLOOKUP(A170, Configuracion!$A:$D, 3, FALSE), 0), 0)</f>
        <v>0</v>
      </c>
      <c r="F170">
        <f t="shared" si="7"/>
        <v>0</v>
      </c>
      <c r="H170">
        <f>IF(AND(G170="Gestor", A170&lt;&gt;""), VLOOKUP(A170, Configuracion!$A:$D, 4, FALSE), 0)*Tabla15[[#This Row],[CANTIDAD]]</f>
        <v>0</v>
      </c>
      <c r="I170" t="str">
        <f t="shared" si="8"/>
        <v/>
      </c>
    </row>
    <row r="171" spans="2:9" x14ac:dyDescent="0.3">
      <c r="B171">
        <f>IFERROR(VLOOKUP(A171, Configuracion!$A:$B, 2, FALSE), 0)</f>
        <v>0</v>
      </c>
      <c r="E171">
        <f>IF(C171="Venta", IFERROR(VLOOKUP(A171, Configuracion!$A:$D, 3, FALSE), 0), 0)</f>
        <v>0</v>
      </c>
      <c r="F171">
        <f t="shared" si="7"/>
        <v>0</v>
      </c>
      <c r="H171">
        <f>IF(AND(G171="Gestor", A171&lt;&gt;""), VLOOKUP(A171, Configuracion!$A:$D, 4, FALSE), 0)*Tabla15[[#This Row],[CANTIDAD]]</f>
        <v>0</v>
      </c>
      <c r="I171" t="str">
        <f t="shared" si="8"/>
        <v/>
      </c>
    </row>
    <row r="172" spans="2:9" x14ac:dyDescent="0.3">
      <c r="B172">
        <f>IFERROR(VLOOKUP(A172, Configuracion!$A:$B, 2, FALSE), 0)</f>
        <v>0</v>
      </c>
      <c r="E172">
        <f>IF(C172="Venta", IFERROR(VLOOKUP(A172, Configuracion!$A:$D, 3, FALSE), 0), 0)</f>
        <v>0</v>
      </c>
      <c r="F172">
        <f t="shared" si="7"/>
        <v>0</v>
      </c>
      <c r="H172">
        <f>IF(AND(G172="Gestor", A172&lt;&gt;""), VLOOKUP(A172, Configuracion!$A:$D, 4, FALSE), 0)*Tabla15[[#This Row],[CANTIDAD]]</f>
        <v>0</v>
      </c>
      <c r="I172" t="str">
        <f t="shared" si="8"/>
        <v/>
      </c>
    </row>
    <row r="173" spans="2:9" x14ac:dyDescent="0.3">
      <c r="B173">
        <f>IFERROR(VLOOKUP(A173, Configuracion!$A:$B, 2, FALSE), 0)</f>
        <v>0</v>
      </c>
      <c r="E173">
        <f>IF(C173="Venta", IFERROR(VLOOKUP(A173, Configuracion!$A:$D, 3, FALSE), 0), 0)</f>
        <v>0</v>
      </c>
      <c r="F173">
        <f t="shared" si="7"/>
        <v>0</v>
      </c>
      <c r="H173">
        <f>IF(AND(G173="Gestor", A173&lt;&gt;""), VLOOKUP(A173, Configuracion!$A:$D, 4, FALSE), 0)*Tabla15[[#This Row],[CANTIDAD]]</f>
        <v>0</v>
      </c>
      <c r="I173" t="str">
        <f t="shared" si="8"/>
        <v/>
      </c>
    </row>
    <row r="174" spans="2:9" x14ac:dyDescent="0.3">
      <c r="B174">
        <f>IFERROR(VLOOKUP(A174, Configuracion!$A:$B, 2, FALSE), 0)</f>
        <v>0</v>
      </c>
      <c r="E174">
        <f>IF(C174="Venta", IFERROR(VLOOKUP(A174, Configuracion!$A:$D, 3, FALSE), 0), 0)</f>
        <v>0</v>
      </c>
      <c r="F174">
        <f t="shared" si="7"/>
        <v>0</v>
      </c>
      <c r="H174">
        <f>IF(AND(G174="Gestor", A174&lt;&gt;""), VLOOKUP(A174, Configuracion!$A:$D, 4, FALSE), 0)*Tabla15[[#This Row],[CANTIDAD]]</f>
        <v>0</v>
      </c>
      <c r="I174" t="str">
        <f t="shared" si="8"/>
        <v/>
      </c>
    </row>
    <row r="175" spans="2:9" x14ac:dyDescent="0.3">
      <c r="B175">
        <f>IFERROR(VLOOKUP(A175, Configuracion!$A:$B, 2, FALSE), 0)</f>
        <v>0</v>
      </c>
      <c r="E175">
        <f>IF(C175="Venta", IFERROR(VLOOKUP(A175, Configuracion!$A:$D, 3, FALSE), 0), 0)</f>
        <v>0</v>
      </c>
      <c r="F175">
        <f t="shared" si="7"/>
        <v>0</v>
      </c>
      <c r="H175">
        <f>IF(AND(G175="Gestor", A175&lt;&gt;""), VLOOKUP(A175, Configuracion!$A:$D, 4, FALSE), 0)*Tabla15[[#This Row],[CANTIDAD]]</f>
        <v>0</v>
      </c>
      <c r="I175" t="str">
        <f t="shared" si="8"/>
        <v/>
      </c>
    </row>
    <row r="176" spans="2:9" x14ac:dyDescent="0.3">
      <c r="B176">
        <f>IFERROR(VLOOKUP(A176, Configuracion!$A:$B, 2, FALSE), 0)</f>
        <v>0</v>
      </c>
      <c r="E176">
        <f>IF(C176="Venta", IFERROR(VLOOKUP(A176, Configuracion!$A:$D, 3, FALSE), 0), 0)</f>
        <v>0</v>
      </c>
      <c r="F176">
        <f t="shared" si="7"/>
        <v>0</v>
      </c>
      <c r="H176">
        <f>IF(AND(G176="Gestor", A176&lt;&gt;""), VLOOKUP(A176, Configuracion!$A:$D, 4, FALSE), 0)*Tabla15[[#This Row],[CANTIDAD]]</f>
        <v>0</v>
      </c>
      <c r="I176" t="str">
        <f t="shared" si="8"/>
        <v/>
      </c>
    </row>
    <row r="177" spans="1:9" x14ac:dyDescent="0.3">
      <c r="B177">
        <f>IFERROR(VLOOKUP(A177, Configuracion!$A:$B, 2, FALSE), 0)</f>
        <v>0</v>
      </c>
      <c r="E177">
        <f>IF(C177="Venta", IFERROR(VLOOKUP(A177, Configuracion!$A:$D, 3, FALSE), 0), 0)</f>
        <v>0</v>
      </c>
      <c r="F177">
        <f t="shared" si="7"/>
        <v>0</v>
      </c>
      <c r="H177">
        <f>IF(AND(G177="Gestor", A177&lt;&gt;""), VLOOKUP(A177, Configuracion!$A:$D, 4, FALSE), 0)*Tabla15[[#This Row],[CANTIDAD]]</f>
        <v>0</v>
      </c>
      <c r="I177" t="str">
        <f t="shared" si="8"/>
        <v/>
      </c>
    </row>
    <row r="178" spans="1:9" x14ac:dyDescent="0.3">
      <c r="B178">
        <f>IFERROR(VLOOKUP(A178, Configuracion!$A:$B, 2, FALSE), 0)</f>
        <v>0</v>
      </c>
      <c r="E178">
        <f>IF(C178="Venta", IFERROR(VLOOKUP(A178, Configuracion!$A:$D, 3, FALSE), 0), 0)</f>
        <v>0</v>
      </c>
      <c r="F178">
        <f t="shared" si="7"/>
        <v>0</v>
      </c>
      <c r="H178">
        <f>IF(AND(G178="Gestor", A178&lt;&gt;""), VLOOKUP(A178, Configuracion!$A:$D, 4, FALSE), 0)*Tabla15[[#This Row],[CANTIDAD]]</f>
        <v>0</v>
      </c>
      <c r="I178" t="str">
        <f t="shared" si="8"/>
        <v/>
      </c>
    </row>
    <row r="179" spans="1:9" x14ac:dyDescent="0.3">
      <c r="B179">
        <f>IFERROR(VLOOKUP(A179, Configuracion!$A:$B, 2, FALSE), 0)</f>
        <v>0</v>
      </c>
      <c r="E179">
        <f>IF(C179="Venta", IFERROR(VLOOKUP(A179, Configuracion!$A:$D, 3, FALSE), 0), 0)</f>
        <v>0</v>
      </c>
      <c r="F179">
        <f t="shared" si="7"/>
        <v>0</v>
      </c>
      <c r="H179">
        <f>IF(AND(G179="Gestor", A179&lt;&gt;""), VLOOKUP(A179, Configuracion!$A:$D, 4, FALSE), 0)*Tabla15[[#This Row],[CANTIDAD]]</f>
        <v>0</v>
      </c>
      <c r="I179" t="str">
        <f t="shared" si="8"/>
        <v/>
      </c>
    </row>
    <row r="180" spans="1:9" x14ac:dyDescent="0.3">
      <c r="B180">
        <f>IFERROR(VLOOKUP(A180, Configuracion!$A:$B, 2, FALSE), 0)</f>
        <v>0</v>
      </c>
      <c r="E180">
        <f>IF(C180="Venta", IFERROR(VLOOKUP(A180, Configuracion!$A:$D, 3, FALSE), 0), 0)</f>
        <v>0</v>
      </c>
      <c r="F180">
        <f t="shared" si="7"/>
        <v>0</v>
      </c>
      <c r="H180">
        <f>IF(AND(G180="Gestor", A180&lt;&gt;""), VLOOKUP(A180, Configuracion!$A:$D, 4, FALSE), 0)*Tabla15[[#This Row],[CANTIDAD]]</f>
        <v>0</v>
      </c>
      <c r="I180" t="str">
        <f t="shared" si="8"/>
        <v/>
      </c>
    </row>
    <row r="181" spans="1:9" x14ac:dyDescent="0.3">
      <c r="B181">
        <f>IFERROR(VLOOKUP(A181, Configuracion!$A:$B, 2, FALSE), 0)</f>
        <v>0</v>
      </c>
      <c r="E181">
        <f>IF(C181="Venta", IFERROR(VLOOKUP(A181, Configuracion!$A:$D, 3, FALSE), 0), 0)</f>
        <v>0</v>
      </c>
      <c r="F181">
        <f t="shared" si="7"/>
        <v>0</v>
      </c>
      <c r="H181">
        <f>IF(AND(G181="Gestor", A181&lt;&gt;""), VLOOKUP(A181, Configuracion!$A:$D, 4, FALSE), 0)*Tabla15[[#This Row],[CANTIDAD]]</f>
        <v>0</v>
      </c>
      <c r="I181" t="str">
        <f t="shared" ref="I181:I191" si="9">IF(OR(A181="", D181=""), "", IF(C181="Entrada", B181+D181, IF(OR(C181="Venta", C181="Salida"), B181-D181, B181)))</f>
        <v/>
      </c>
    </row>
    <row r="182" spans="1:9" x14ac:dyDescent="0.3">
      <c r="B182">
        <f>IFERROR(VLOOKUP(A182, Configuracion!$A:$B, 2, FALSE), 0)</f>
        <v>0</v>
      </c>
      <c r="E182">
        <f>IF(C182="Venta", IFERROR(VLOOKUP(A182, Configuracion!$A:$D, 3, FALSE), 0), 0)</f>
        <v>0</v>
      </c>
      <c r="F182">
        <f t="shared" si="7"/>
        <v>0</v>
      </c>
      <c r="H182">
        <f>IF(AND(G182="Gestor", A182&lt;&gt;""), VLOOKUP(A182, Configuracion!$A:$D, 4, FALSE), 0)*Tabla15[[#This Row],[CANTIDAD]]</f>
        <v>0</v>
      </c>
      <c r="I182" t="str">
        <f t="shared" si="9"/>
        <v/>
      </c>
    </row>
    <row r="183" spans="1:9" x14ac:dyDescent="0.3">
      <c r="B183">
        <f>IFERROR(VLOOKUP(A183, Configuracion!$A:$B, 2, FALSE), 0)</f>
        <v>0</v>
      </c>
      <c r="E183">
        <f>IF(C183="Venta", IFERROR(VLOOKUP(A183, Configuracion!$A:$D, 3, FALSE), 0), 0)</f>
        <v>0</v>
      </c>
      <c r="F183">
        <f t="shared" si="7"/>
        <v>0</v>
      </c>
      <c r="H183">
        <f>IF(AND(G183="Gestor", A183&lt;&gt;""), VLOOKUP(A183, Configuracion!$A:$D, 4, FALSE), 0)*Tabla15[[#This Row],[CANTIDAD]]</f>
        <v>0</v>
      </c>
      <c r="I183" t="str">
        <f t="shared" si="9"/>
        <v/>
      </c>
    </row>
    <row r="184" spans="1:9" x14ac:dyDescent="0.3">
      <c r="B184">
        <f>IFERROR(VLOOKUP(A184, Configuracion!$A:$B, 2, FALSE), 0)</f>
        <v>0</v>
      </c>
      <c r="E184">
        <f>IF(C184="Venta", IFERROR(VLOOKUP(A184, Configuracion!$A:$D, 3, FALSE), 0), 0)</f>
        <v>0</v>
      </c>
      <c r="F184">
        <f t="shared" si="7"/>
        <v>0</v>
      </c>
      <c r="H184">
        <f>IF(AND(G184="Gestor", A184&lt;&gt;""), VLOOKUP(A184, Configuracion!$A:$D, 4, FALSE), 0)*Tabla15[[#This Row],[CANTIDAD]]</f>
        <v>0</v>
      </c>
      <c r="I184" t="str">
        <f t="shared" si="9"/>
        <v/>
      </c>
    </row>
    <row r="185" spans="1:9" x14ac:dyDescent="0.3">
      <c r="B185">
        <f>IFERROR(VLOOKUP(A185, Configuracion!$A:$B, 2, FALSE), 0)</f>
        <v>0</v>
      </c>
      <c r="E185">
        <f>IF(C185="Venta", IFERROR(VLOOKUP(A185, Configuracion!$A:$D, 3, FALSE), 0), 0)</f>
        <v>0</v>
      </c>
      <c r="F185">
        <f t="shared" si="7"/>
        <v>0</v>
      </c>
      <c r="H185">
        <f>IF(AND(G185="Gestor", A185&lt;&gt;""), VLOOKUP(A185, Configuracion!$A:$D, 4, FALSE), 0)*Tabla15[[#This Row],[CANTIDAD]]</f>
        <v>0</v>
      </c>
      <c r="I185" t="str">
        <f t="shared" si="9"/>
        <v/>
      </c>
    </row>
    <row r="186" spans="1:9" x14ac:dyDescent="0.3">
      <c r="B186">
        <f>IFERROR(VLOOKUP(A186, Configuracion!$A:$B, 2, FALSE), 0)</f>
        <v>0</v>
      </c>
      <c r="E186">
        <f>IF(C186="Venta", IFERROR(VLOOKUP(A186, Configuracion!$A:$D, 3, FALSE), 0), 0)</f>
        <v>0</v>
      </c>
      <c r="F186">
        <f t="shared" si="7"/>
        <v>0</v>
      </c>
      <c r="H186">
        <f>IF(AND(G186="Gestor", A186&lt;&gt;""), VLOOKUP(A186, Configuracion!$A:$D, 4, FALSE), 0)*Tabla15[[#This Row],[CANTIDAD]]</f>
        <v>0</v>
      </c>
      <c r="I186" t="str">
        <f t="shared" si="9"/>
        <v/>
      </c>
    </row>
    <row r="187" spans="1:9" x14ac:dyDescent="0.3">
      <c r="B187">
        <f>IFERROR(VLOOKUP(A187, Configuracion!$A:$B, 2, FALSE), 0)</f>
        <v>0</v>
      </c>
      <c r="E187">
        <f>IF(C187="Venta", IFERROR(VLOOKUP(A187, Configuracion!$A:$D, 3, FALSE), 0), 0)</f>
        <v>0</v>
      </c>
      <c r="F187">
        <f t="shared" si="7"/>
        <v>0</v>
      </c>
      <c r="H187">
        <f>IF(AND(G187="Gestor", A187&lt;&gt;""), VLOOKUP(A187, Configuracion!$A:$D, 4, FALSE), 0)*Tabla15[[#This Row],[CANTIDAD]]</f>
        <v>0</v>
      </c>
      <c r="I187" t="str">
        <f t="shared" si="9"/>
        <v/>
      </c>
    </row>
    <row r="188" spans="1:9" x14ac:dyDescent="0.3">
      <c r="B188">
        <f>IFERROR(VLOOKUP(A188, Configuracion!$A:$B, 2, FALSE), 0)</f>
        <v>0</v>
      </c>
      <c r="E188">
        <f>IF(C188="Venta", IFERROR(VLOOKUP(A188, Configuracion!$A:$D, 3, FALSE), 0), 0)</f>
        <v>0</v>
      </c>
      <c r="F188">
        <f t="shared" si="7"/>
        <v>0</v>
      </c>
      <c r="H188">
        <f>IF(AND(G188="Gestor", A188&lt;&gt;""), VLOOKUP(A188, Configuracion!$A:$D, 4, FALSE), 0)*Tabla15[[#This Row],[CANTIDAD]]</f>
        <v>0</v>
      </c>
      <c r="I188" t="str">
        <f t="shared" si="9"/>
        <v/>
      </c>
    </row>
    <row r="189" spans="1:9" x14ac:dyDescent="0.3">
      <c r="B189">
        <f>IFERROR(VLOOKUP(A189, Configuracion!$A:$B, 2, FALSE), 0)</f>
        <v>0</v>
      </c>
      <c r="E189">
        <f>IF(C189="Venta", IFERROR(VLOOKUP(A189, Configuracion!$A:$D, 3, FALSE), 0), 0)</f>
        <v>0</v>
      </c>
      <c r="F189">
        <f t="shared" si="7"/>
        <v>0</v>
      </c>
      <c r="H189">
        <f>IF(AND(G189="Gestor", A189&lt;&gt;""), VLOOKUP(A189, Configuracion!$A:$D, 4, FALSE), 0)*Tabla15[[#This Row],[CANTIDAD]]</f>
        <v>0</v>
      </c>
      <c r="I189" t="str">
        <f t="shared" si="9"/>
        <v/>
      </c>
    </row>
    <row r="190" spans="1:9" x14ac:dyDescent="0.3">
      <c r="B190">
        <f>IFERROR(VLOOKUP(A190, Configuracion!$A:$B, 2, FALSE), 0)</f>
        <v>0</v>
      </c>
      <c r="E190">
        <f>IF(C190="Venta", IFERROR(VLOOKUP(A190, Configuracion!$A:$D, 3, FALSE), 0), 0)</f>
        <v>0</v>
      </c>
      <c r="F190">
        <f t="shared" si="7"/>
        <v>0</v>
      </c>
      <c r="H190">
        <f>IF(AND(G190="Gestor", A190&lt;&gt;""), VLOOKUP(A190, Configuracion!$A:$D, 4, FALSE), 0)*Tabla15[[#This Row],[CANTIDAD]]</f>
        <v>0</v>
      </c>
      <c r="I190" t="str">
        <f t="shared" si="9"/>
        <v/>
      </c>
    </row>
    <row r="191" spans="1:9" x14ac:dyDescent="0.3">
      <c r="B191">
        <f>IFERROR(VLOOKUP(A191, Configuracion!$A:$B, 2, FALSE), 0)</f>
        <v>0</v>
      </c>
      <c r="E191">
        <f>IF(C191="Venta", IFERROR(VLOOKUP(A191, Configuracion!$A:$D, 3, FALSE), 0), 0)</f>
        <v>0</v>
      </c>
      <c r="F191">
        <f t="shared" si="7"/>
        <v>0</v>
      </c>
      <c r="H191">
        <f>IF(AND(G191="Gestor", A191&lt;&gt;""), VLOOKUP(A191, Configuracion!$A:$D, 4, FALSE), 0)*Tabla15[[#This Row],[CANTIDAD]]</f>
        <v>0</v>
      </c>
      <c r="I191" t="str">
        <f t="shared" si="9"/>
        <v/>
      </c>
    </row>
    <row r="192" spans="1:9" x14ac:dyDescent="0.3">
      <c r="A192" t="s">
        <v>193</v>
      </c>
      <c r="F192">
        <f>SUM(F2:F191)</f>
        <v>9440</v>
      </c>
      <c r="H192">
        <f>SUM(H2:H191)</f>
        <v>36000</v>
      </c>
    </row>
  </sheetData>
  <dataValidations count="3">
    <dataValidation type="list" allowBlank="1" showInputMessage="1" showErrorMessage="1" sqref="A2:A191 A193:A195" xr:uid="{00000000-0002-0000-0100-000000000000}">
      <formula1>LISTA_PRODUCTOS</formula1>
    </dataValidation>
    <dataValidation type="list" allowBlank="1" showInputMessage="1" showErrorMessage="1" sqref="G2:G191 G193:G195" xr:uid="{00000000-0002-0000-0100-000001000000}">
      <formula1>"TIENDA, GESTOR, MOV"</formula1>
    </dataValidation>
    <dataValidation type="list" allowBlank="1" showInputMessage="1" showErrorMessage="1" sqref="C2:C191 C193:C195" xr:uid="{00000000-0002-0000-0100-000002000000}">
      <formula1>"ENTRADA, SALIDA, VENTA"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92"/>
  <sheetViews>
    <sheetView tabSelected="1" workbookViewId="0">
      <selection sqref="A1:I1"/>
    </sheetView>
  </sheetViews>
  <sheetFormatPr baseColWidth="10" defaultColWidth="11.5546875" defaultRowHeight="14.4" x14ac:dyDescent="0.3"/>
  <cols>
    <col min="1" max="1" width="25.6640625" customWidth="1"/>
    <col min="2" max="2" width="15.109375" customWidth="1"/>
    <col min="3" max="3" width="14.6640625" customWidth="1"/>
    <col min="4" max="4" width="11.6640625" style="17" customWidth="1"/>
    <col min="5" max="5" width="15.33203125" customWidth="1"/>
    <col min="6" max="6" width="10.6640625" customWidth="1"/>
    <col min="7" max="7" width="22.33203125" customWidth="1"/>
    <col min="8" max="8" width="11.88671875" customWidth="1"/>
    <col min="9" max="9" width="13.6640625" customWidth="1"/>
    <col min="10" max="10" width="5.33203125" customWidth="1"/>
    <col min="11" max="11" width="14.44140625" customWidth="1"/>
    <col min="12" max="12" width="12.6640625" customWidth="1"/>
    <col min="14" max="14" width="17.6640625" customWidth="1"/>
    <col min="15" max="15" width="14.6640625" customWidth="1"/>
    <col min="16" max="16" width="15.109375" customWidth="1"/>
    <col min="17" max="17" width="13.33203125" bestFit="1" customWidth="1"/>
  </cols>
  <sheetData>
    <row r="1" spans="1:19" x14ac:dyDescent="0.3">
      <c r="A1" s="1" t="s">
        <v>7</v>
      </c>
      <c r="B1" s="1" t="s">
        <v>3</v>
      </c>
      <c r="C1" s="1" t="s">
        <v>8</v>
      </c>
      <c r="D1" s="16" t="s">
        <v>9</v>
      </c>
      <c r="E1" s="1" t="s">
        <v>1</v>
      </c>
      <c r="F1" s="1" t="s">
        <v>185</v>
      </c>
      <c r="G1" s="1" t="s">
        <v>189</v>
      </c>
      <c r="H1" s="1" t="s">
        <v>2</v>
      </c>
      <c r="I1" s="1" t="s">
        <v>6</v>
      </c>
      <c r="J1" s="1"/>
      <c r="K1" s="8" t="s">
        <v>200</v>
      </c>
      <c r="L1" s="9" t="s">
        <v>218</v>
      </c>
      <c r="M1" s="1"/>
      <c r="N1" s="1"/>
      <c r="O1" s="1" t="s">
        <v>9</v>
      </c>
      <c r="P1" s="1" t="s">
        <v>192</v>
      </c>
      <c r="Q1" s="1" t="s">
        <v>244</v>
      </c>
      <c r="R1" s="23" t="s">
        <v>192</v>
      </c>
      <c r="S1" s="23" t="s">
        <v>226</v>
      </c>
    </row>
    <row r="2" spans="1:19" x14ac:dyDescent="0.3">
      <c r="A2" t="s">
        <v>12</v>
      </c>
      <c r="B2">
        <f>IFERROR(VLOOKUP(A2,lunes!$A:$I,9,FALSE),VLOOKUP(A2,Configuracion!$A:$B,2,FALSE))</f>
        <v>10</v>
      </c>
      <c r="C2" t="s">
        <v>184</v>
      </c>
      <c r="D2" s="17">
        <v>1</v>
      </c>
      <c r="E2">
        <f>IF(C2="Venta", IFERROR(VLOOKUP(A2, Configuracion!$A:$D, 3, FALSE), 0), 0)</f>
        <v>100</v>
      </c>
      <c r="F2">
        <f>E2*D2</f>
        <v>100</v>
      </c>
      <c r="G2" t="s">
        <v>10</v>
      </c>
      <c r="H2">
        <f>IF(AND(G2="Gestor", A2&lt;&gt;""), VLOOKUP(A2, Configuracion!$A:$D, 4, FALSE), 0)*Tabla10[[#This Row],[CANTIDAD]]</f>
        <v>1000</v>
      </c>
      <c r="I2">
        <f t="shared" ref="I2:I15" si="0">IF(OR(A2="", D2=""), "", IF(C2="Entrada", B2+D2, IF(OR(C2="Venta", C2="Salida"), B2-D2, B2)))</f>
        <v>9</v>
      </c>
      <c r="K2" s="6" t="s">
        <v>205</v>
      </c>
      <c r="L2" s="7">
        <v>550</v>
      </c>
      <c r="N2" s="2" t="s">
        <v>191</v>
      </c>
      <c r="O2" s="2">
        <f>Tabla10[[#Totals],[IMPORTE]]</f>
        <v>2075</v>
      </c>
      <c r="P2" s="2">
        <f>O2</f>
        <v>2075</v>
      </c>
      <c r="Q2" s="1"/>
    </row>
    <row r="3" spans="1:19" x14ac:dyDescent="0.3">
      <c r="A3" t="s">
        <v>175</v>
      </c>
      <c r="B3">
        <f>IFERROR(VLOOKUP(A3,lunes!$A:$I,9,FALSE),VLOOKUP(A3,Configuracion!$A:$B,2,FALSE))</f>
        <v>19</v>
      </c>
      <c r="C3" t="s">
        <v>186</v>
      </c>
      <c r="D3" s="17">
        <v>2</v>
      </c>
      <c r="E3">
        <f>IF(C3="Venta", IFERROR(VLOOKUP(A3, Configuracion!$A:$D, 3, FALSE), 0), 0)</f>
        <v>0</v>
      </c>
      <c r="F3">
        <f>E3*D3</f>
        <v>0</v>
      </c>
      <c r="G3" t="s">
        <v>190</v>
      </c>
      <c r="H3">
        <f>IF(AND(G3="Gestor", A3&lt;&gt;""), VLOOKUP(A3, Configuracion!$A:$D, 4, FALSE), 0)*Tabla10[[#This Row],[CANTIDAD]]</f>
        <v>0</v>
      </c>
      <c r="I3">
        <f t="shared" si="0"/>
        <v>17</v>
      </c>
      <c r="K3" s="10" t="s">
        <v>206</v>
      </c>
      <c r="L3" s="11">
        <v>20</v>
      </c>
      <c r="N3" s="3" t="s">
        <v>194</v>
      </c>
      <c r="O3" s="3">
        <v>1990</v>
      </c>
      <c r="P3" s="3">
        <f>O3</f>
        <v>1990</v>
      </c>
    </row>
    <row r="4" spans="1:19" x14ac:dyDescent="0.3">
      <c r="A4" t="s">
        <v>177</v>
      </c>
      <c r="B4">
        <f>IFERROR(VLOOKUP(A4,lunes!$A:$I,9,FALSE),VLOOKUP(A4,Configuracion!$A:$B,2,FALSE))</f>
        <v>200</v>
      </c>
      <c r="C4" t="s">
        <v>186</v>
      </c>
      <c r="D4" s="17">
        <v>12</v>
      </c>
      <c r="E4">
        <f>IF(C4="Venta", IFERROR(VLOOKUP(A4, Configuracion!$A:$D, 3, FALSE), 0), 0)</f>
        <v>0</v>
      </c>
      <c r="F4">
        <f t="shared" ref="F4:F68" si="1">E4*D4</f>
        <v>0</v>
      </c>
      <c r="G4" t="s">
        <v>190</v>
      </c>
      <c r="H4">
        <f>IF(AND(G4="Gestor", A4&lt;&gt;""), VLOOKUP(A4, Configuracion!$A:$D, 4, FALSE), 0)*Tabla10[[#This Row],[CANTIDAD]]</f>
        <v>0</v>
      </c>
      <c r="I4">
        <f t="shared" si="0"/>
        <v>188</v>
      </c>
      <c r="N4" s="3" t="s">
        <v>195</v>
      </c>
      <c r="O4" s="3"/>
      <c r="P4" s="3">
        <f>O4</f>
        <v>0</v>
      </c>
    </row>
    <row r="5" spans="1:19" x14ac:dyDescent="0.3">
      <c r="A5" t="s">
        <v>178</v>
      </c>
      <c r="B5">
        <f>IFERROR(VLOOKUP(A5,lunes!$A:$I,9,FALSE),VLOOKUP(A5,Configuracion!$A:$B,2,FALSE))</f>
        <v>9</v>
      </c>
      <c r="C5" t="s">
        <v>186</v>
      </c>
      <c r="D5" s="17">
        <v>1</v>
      </c>
      <c r="E5">
        <f>IF(C5="Venta", IFERROR(VLOOKUP(A5, Configuracion!$A:$D, 3, FALSE), 0), 0)</f>
        <v>0</v>
      </c>
      <c r="F5">
        <f t="shared" si="1"/>
        <v>0</v>
      </c>
      <c r="G5" t="s">
        <v>190</v>
      </c>
      <c r="H5">
        <f>IF(AND(G5="Gestor", A5&lt;&gt;""), VLOOKUP(A5, Configuracion!$A:$D, 4, FALSE), 0)*Tabla10[[#This Row],[CANTIDAD]]</f>
        <v>0</v>
      </c>
      <c r="I5">
        <f t="shared" si="0"/>
        <v>8</v>
      </c>
      <c r="N5" s="3" t="s">
        <v>196</v>
      </c>
      <c r="O5" s="3"/>
      <c r="P5" s="3">
        <f>O5/L3</f>
        <v>0</v>
      </c>
    </row>
    <row r="6" spans="1:19" x14ac:dyDescent="0.3">
      <c r="A6" t="s">
        <v>179</v>
      </c>
      <c r="B6">
        <f>IFERROR(VLOOKUP(A6,lunes!$A:$I,9,FALSE),VLOOKUP(A6,Configuracion!$A:$B,2,FALSE))</f>
        <v>36</v>
      </c>
      <c r="C6" t="s">
        <v>186</v>
      </c>
      <c r="D6" s="17">
        <v>4</v>
      </c>
      <c r="E6">
        <f>IF(C6="Venta", IFERROR(VLOOKUP(A6, Configuracion!$A:$D, 3, FALSE), 0), 0)</f>
        <v>0</v>
      </c>
      <c r="F6">
        <f t="shared" si="1"/>
        <v>0</v>
      </c>
      <c r="G6" t="s">
        <v>190</v>
      </c>
      <c r="H6">
        <f>IF(AND(G6="Gestor", A6&lt;&gt;""), VLOOKUP(A6, Configuracion!$A:$D, 4, FALSE), 0)*Tabla10[[#This Row],[CANTIDAD]]</f>
        <v>0</v>
      </c>
      <c r="I6">
        <f t="shared" si="0"/>
        <v>32</v>
      </c>
      <c r="N6" s="3" t="s">
        <v>197</v>
      </c>
      <c r="O6" s="3">
        <v>35750</v>
      </c>
      <c r="P6" s="3">
        <f>O6/L2</f>
        <v>65</v>
      </c>
    </row>
    <row r="7" spans="1:19" x14ac:dyDescent="0.3">
      <c r="A7" t="s">
        <v>180</v>
      </c>
      <c r="B7">
        <f>IFERROR(VLOOKUP(A7,lunes!$A:$I,9,FALSE),VLOOKUP(A7,Configuracion!$A:$B,2,FALSE))</f>
        <v>9</v>
      </c>
      <c r="C7" t="s">
        <v>186</v>
      </c>
      <c r="D7" s="17">
        <v>1</v>
      </c>
      <c r="E7">
        <f>IF(C7="Venta", IFERROR(VLOOKUP(A7, Configuracion!$A:$D, 3, FALSE), 0), 0)</f>
        <v>0</v>
      </c>
      <c r="F7">
        <f t="shared" si="1"/>
        <v>0</v>
      </c>
      <c r="G7" t="s">
        <v>190</v>
      </c>
      <c r="H7">
        <f>IF(AND(G7="Gestor", A7&lt;&gt;""), VLOOKUP(A7, Configuracion!$A:$D, 4, FALSE), 0)*Tabla10[[#This Row],[CANTIDAD]]</f>
        <v>0</v>
      </c>
      <c r="I7">
        <f t="shared" si="0"/>
        <v>8</v>
      </c>
      <c r="N7" s="3" t="s">
        <v>198</v>
      </c>
      <c r="O7" s="3"/>
      <c r="P7" s="3">
        <f>O7/L2</f>
        <v>0</v>
      </c>
    </row>
    <row r="8" spans="1:19" x14ac:dyDescent="0.3">
      <c r="A8" t="s">
        <v>181</v>
      </c>
      <c r="B8">
        <f>IFERROR(VLOOKUP(A8,lunes!$A:$I,9,FALSE),VLOOKUP(A8,Configuracion!$A:$B,2,FALSE))</f>
        <v>57</v>
      </c>
      <c r="C8" t="s">
        <v>186</v>
      </c>
      <c r="D8" s="17">
        <v>3</v>
      </c>
      <c r="E8">
        <f>IF(C8="Venta", IFERROR(VLOOKUP(A8, Configuracion!$A:$D, 3, FALSE), 0), 0)</f>
        <v>0</v>
      </c>
      <c r="F8">
        <f t="shared" si="1"/>
        <v>0</v>
      </c>
      <c r="G8" t="s">
        <v>190</v>
      </c>
      <c r="H8">
        <f>IF(AND(G8="Gestor", A8&lt;&gt;""), VLOOKUP(A8, Configuracion!$A:$D, 4, FALSE), 0)*Tabla10[[#This Row],[CANTIDAD]]</f>
        <v>0</v>
      </c>
      <c r="I8">
        <f t="shared" si="0"/>
        <v>54</v>
      </c>
      <c r="N8" s="3" t="s">
        <v>199</v>
      </c>
      <c r="O8" s="3"/>
      <c r="P8" s="3">
        <f>O8</f>
        <v>0</v>
      </c>
    </row>
    <row r="9" spans="1:19" x14ac:dyDescent="0.3">
      <c r="A9" t="s">
        <v>182</v>
      </c>
      <c r="B9">
        <f>IFERROR(VLOOKUP(A9,lunes!$A:$I,9,FALSE),VLOOKUP(A9,Configuracion!$A:$B,2,FALSE))</f>
        <v>56</v>
      </c>
      <c r="C9" t="s">
        <v>186</v>
      </c>
      <c r="D9" s="17">
        <v>3</v>
      </c>
      <c r="E9">
        <f>IF(C9="Venta", IFERROR(VLOOKUP(A9, Configuracion!$A:$D, 3, FALSE), 0), 0)</f>
        <v>0</v>
      </c>
      <c r="F9">
        <f t="shared" si="1"/>
        <v>0</v>
      </c>
      <c r="G9" t="s">
        <v>190</v>
      </c>
      <c r="H9">
        <f>IF(AND(G9="Gestor", A9&lt;&gt;""), VLOOKUP(A9, Configuracion!$A:$D, 4, FALSE), 0)*Tabla10[[#This Row],[CANTIDAD]]</f>
        <v>0</v>
      </c>
      <c r="I9">
        <f t="shared" si="0"/>
        <v>53</v>
      </c>
      <c r="N9" s="2" t="s">
        <v>193</v>
      </c>
      <c r="O9" s="3"/>
      <c r="P9" s="5">
        <f>P3+P4+P5+P6+P7+P8</f>
        <v>2055</v>
      </c>
      <c r="Q9" s="27"/>
    </row>
    <row r="10" spans="1:19" x14ac:dyDescent="0.3">
      <c r="A10" t="s">
        <v>183</v>
      </c>
      <c r="B10">
        <f>IFERROR(VLOOKUP(A10,lunes!$A:$I,9,FALSE),VLOOKUP(A10,Configuracion!$A:$B,2,FALSE))</f>
        <v>38</v>
      </c>
      <c r="C10" t="s">
        <v>186</v>
      </c>
      <c r="D10" s="17">
        <v>2</v>
      </c>
      <c r="E10">
        <f>IF(C10="Venta", IFERROR(VLOOKUP(A10, Configuracion!$A:$D, 3, FALSE), 0), 0)</f>
        <v>0</v>
      </c>
      <c r="F10">
        <f t="shared" si="1"/>
        <v>0</v>
      </c>
      <c r="G10" t="s">
        <v>190</v>
      </c>
      <c r="H10">
        <f>IF(AND(G10="Gestor", A10&lt;&gt;""), VLOOKUP(A10, Configuracion!$A:$D, 4, FALSE), 0)*Tabla10[[#This Row],[CANTIDAD]]</f>
        <v>0</v>
      </c>
      <c r="I10">
        <f t="shared" si="0"/>
        <v>36</v>
      </c>
      <c r="N10" s="2" t="s">
        <v>208</v>
      </c>
      <c r="O10" s="3"/>
      <c r="P10" s="3">
        <f>P12+P11</f>
        <v>0</v>
      </c>
    </row>
    <row r="11" spans="1:19" x14ac:dyDescent="0.3">
      <c r="A11" t="s">
        <v>79</v>
      </c>
      <c r="B11">
        <f>IFERROR(VLOOKUP(A11,lunes!$A:$I,9,FALSE),VLOOKUP(A11,Configuracion!$A:$B,2,FALSE))</f>
        <v>6</v>
      </c>
      <c r="C11" t="s">
        <v>184</v>
      </c>
      <c r="D11" s="17">
        <v>1</v>
      </c>
      <c r="E11">
        <f>IF(C11="Venta", IFERROR(VLOOKUP(A11, Configuracion!$A:$D, 3, FALSE), 0), 0)</f>
        <v>225</v>
      </c>
      <c r="F11">
        <f t="shared" si="1"/>
        <v>225</v>
      </c>
      <c r="G11" t="s">
        <v>10</v>
      </c>
      <c r="H11">
        <f>IF(AND(G11="Gestor", A11&lt;&gt;""), VLOOKUP(A11, Configuracion!$A:$D, 4, FALSE), 0)*Tabla10[[#This Row],[CANTIDAD]]</f>
        <v>3000</v>
      </c>
      <c r="I11">
        <f t="shared" si="0"/>
        <v>5</v>
      </c>
      <c r="N11" s="3" t="s">
        <v>212</v>
      </c>
      <c r="O11" s="3"/>
      <c r="P11" s="3">
        <f>O11/L2</f>
        <v>0</v>
      </c>
    </row>
    <row r="12" spans="1:19" x14ac:dyDescent="0.3">
      <c r="A12" t="s">
        <v>242</v>
      </c>
      <c r="B12">
        <f>IFERROR(VLOOKUP(A12,lunes!$A:$I,9,FALSE),VLOOKUP(A12,Configuracion!$A:$B,2,FALSE))</f>
        <v>6</v>
      </c>
      <c r="C12" t="s">
        <v>184</v>
      </c>
      <c r="D12" s="17">
        <v>1</v>
      </c>
      <c r="E12">
        <f>IF(C12="Venta", IFERROR(VLOOKUP(A12, Configuracion!$A:$D, 3, FALSE), 0), 0)</f>
        <v>430</v>
      </c>
      <c r="F12">
        <f t="shared" si="1"/>
        <v>430</v>
      </c>
      <c r="G12" t="s">
        <v>10</v>
      </c>
      <c r="H12">
        <f>IF(AND(G12="Gestor", A12&lt;&gt;""), VLOOKUP(A12, Configuracion!$A:$D, 4, FALSE), 0)*Tabla10[[#This Row],[CANTIDAD]]</f>
        <v>3000</v>
      </c>
      <c r="I12">
        <f t="shared" si="0"/>
        <v>5</v>
      </c>
      <c r="N12" s="3" t="s">
        <v>194</v>
      </c>
      <c r="O12" s="3"/>
      <c r="P12" s="3">
        <f>O12</f>
        <v>0</v>
      </c>
    </row>
    <row r="13" spans="1:19" x14ac:dyDescent="0.3">
      <c r="A13" t="s">
        <v>27</v>
      </c>
      <c r="B13">
        <f>IFERROR(VLOOKUP(A13,lunes!$A:$I,9,FALSE),VLOOKUP(A13,Configuracion!$A:$B,2,FALSE))</f>
        <v>5</v>
      </c>
      <c r="C13" t="s">
        <v>184</v>
      </c>
      <c r="D13" s="17">
        <v>1</v>
      </c>
      <c r="E13">
        <f>IF(C13="Venta", IFERROR(VLOOKUP(A13, Configuracion!$A:$D, 3, FALSE), 0), 0)</f>
        <v>40</v>
      </c>
      <c r="F13">
        <f t="shared" si="1"/>
        <v>40</v>
      </c>
      <c r="G13" t="s">
        <v>188</v>
      </c>
      <c r="H13">
        <f>IF(AND(G13="Gestor", A13&lt;&gt;""), VLOOKUP(A13, Configuracion!$A:$D, 4, FALSE), 0)*Tabla10[[#This Row],[CANTIDAD]]</f>
        <v>0</v>
      </c>
      <c r="I13">
        <f t="shared" si="0"/>
        <v>4</v>
      </c>
      <c r="N13" s="2" t="s">
        <v>201</v>
      </c>
      <c r="O13" s="3"/>
      <c r="P13" s="3">
        <f>P15+P14</f>
        <v>0</v>
      </c>
    </row>
    <row r="14" spans="1:19" x14ac:dyDescent="0.3">
      <c r="A14" t="s">
        <v>231</v>
      </c>
      <c r="B14">
        <f>IFERROR(VLOOKUP(A14,lunes!$A:$I,9,FALSE),VLOOKUP(A14,Configuracion!$A:$B,2,FALSE))</f>
        <v>10</v>
      </c>
      <c r="C14" t="s">
        <v>184</v>
      </c>
      <c r="D14" s="17">
        <v>1</v>
      </c>
      <c r="E14">
        <f>IF(C14="Venta", IFERROR(VLOOKUP(A14, Configuracion!$A:$D, 3, FALSE), 0), 0)</f>
        <v>20</v>
      </c>
      <c r="F14">
        <f t="shared" si="1"/>
        <v>20</v>
      </c>
      <c r="G14" t="s">
        <v>188</v>
      </c>
      <c r="H14">
        <f>IF(AND(G14="Gestor", A14&lt;&gt;""), VLOOKUP(A14, Configuracion!$A:$D, 4, FALSE), 0)*Tabla10[[#This Row],[CANTIDAD]]</f>
        <v>0</v>
      </c>
      <c r="I14">
        <f t="shared" si="0"/>
        <v>9</v>
      </c>
      <c r="N14" s="3" t="s">
        <v>212</v>
      </c>
      <c r="O14" s="3"/>
      <c r="P14" s="3">
        <f>O14/L2</f>
        <v>0</v>
      </c>
    </row>
    <row r="15" spans="1:19" x14ac:dyDescent="0.3">
      <c r="A15" t="s">
        <v>239</v>
      </c>
      <c r="B15">
        <f>IFERROR(VLOOKUP(A15,lunes!$A:$I,9,FALSE),VLOOKUP(A15,Configuracion!$A:$B,2,FALSE))</f>
        <v>69</v>
      </c>
      <c r="C15" t="s">
        <v>184</v>
      </c>
      <c r="D15" s="17">
        <v>5</v>
      </c>
      <c r="E15">
        <f>IF(C15="Venta", IFERROR(VLOOKUP(A15, Configuracion!$A:$D, 3, FALSE), 0), 0)</f>
        <v>180</v>
      </c>
      <c r="F15">
        <f t="shared" si="1"/>
        <v>900</v>
      </c>
      <c r="G15" t="s">
        <v>10</v>
      </c>
      <c r="H15">
        <f>IF(AND(G15="Gestor", A15&lt;&gt;""), VLOOKUP(A15, Configuracion!$A:$D, 4, FALSE), 0)*Tabla10[[#This Row],[CANTIDAD]]</f>
        <v>5000</v>
      </c>
      <c r="I15">
        <f t="shared" si="0"/>
        <v>64</v>
      </c>
      <c r="N15" s="3" t="s">
        <v>194</v>
      </c>
      <c r="O15" s="3"/>
      <c r="P15" s="3">
        <f>O15</f>
        <v>0</v>
      </c>
    </row>
    <row r="16" spans="1:19" x14ac:dyDescent="0.3">
      <c r="H16">
        <f>IF(AND(G16="Gestor", A16&lt;&gt;""), VLOOKUP(A16, Configuracion!$A:$D, 4, FALSE), 0)*Tabla10[[#This Row],[CANTIDAD]]</f>
        <v>0</v>
      </c>
      <c r="N16" s="2" t="s">
        <v>254</v>
      </c>
      <c r="O16" s="3">
        <v>20</v>
      </c>
      <c r="P16" s="3">
        <f>O16</f>
        <v>20</v>
      </c>
    </row>
    <row r="17" spans="1:19" x14ac:dyDescent="0.3">
      <c r="A17" t="s">
        <v>126</v>
      </c>
      <c r="B17">
        <f>IFERROR(VLOOKUP(A17,lunes!$A:$I,9,FALSE),VLOOKUP(A17,Configuracion!$A:$B,2,FALSE))</f>
        <v>10</v>
      </c>
      <c r="C17" t="s">
        <v>184</v>
      </c>
      <c r="D17" s="17">
        <v>2</v>
      </c>
      <c r="E17">
        <f>IF(C17="Venta", IFERROR(VLOOKUP(A17, Configuracion!$A:$D, 3, FALSE), 0), 0)</f>
        <v>180</v>
      </c>
      <c r="F17">
        <f t="shared" si="1"/>
        <v>360</v>
      </c>
      <c r="G17" t="s">
        <v>10</v>
      </c>
      <c r="H17">
        <f>IF(AND(G17="Gestor", A17&lt;&gt;""), VLOOKUP(A17, Configuracion!$A:$D, 4, FALSE), 0)*Tabla10[[#This Row],[CANTIDAD]]</f>
        <v>2000</v>
      </c>
      <c r="I17">
        <f t="shared" ref="I17:I48" si="2">IF(OR(A17="", D17=""), "", IF(C17="Entrada", B17+D17, IF(OR(C17="Venta", C17="Salida"), B17-D17, B17)))</f>
        <v>8</v>
      </c>
      <c r="N17" s="2" t="s">
        <v>211</v>
      </c>
      <c r="O17" s="3"/>
      <c r="P17" s="5">
        <f>P9+P13-P10+P16</f>
        <v>2075</v>
      </c>
      <c r="Q17" s="27"/>
      <c r="R17" s="24">
        <f>P2-P17</f>
        <v>0</v>
      </c>
      <c r="S17" s="25">
        <f>R17*L2</f>
        <v>0</v>
      </c>
    </row>
    <row r="18" spans="1:19" x14ac:dyDescent="0.3">
      <c r="A18" t="s">
        <v>228</v>
      </c>
      <c r="B18">
        <f>IFERROR(VLOOKUP(A18,lunes!$A:$I,9,FALSE),VLOOKUP(A18,Configuracion!$A:$B,2,FALSE))</f>
        <v>3</v>
      </c>
      <c r="C18" t="s">
        <v>186</v>
      </c>
      <c r="D18" s="17">
        <v>1</v>
      </c>
      <c r="E18">
        <f>IF(C18="Venta", IFERROR(VLOOKUP(A18, Configuracion!$A:$D, 3, FALSE), 0), 0)</f>
        <v>0</v>
      </c>
      <c r="F18">
        <f t="shared" si="1"/>
        <v>0</v>
      </c>
      <c r="G18" t="s">
        <v>190</v>
      </c>
      <c r="H18">
        <f>IF(AND(G18="Gestor", A18&lt;&gt;""), VLOOKUP(A18, Configuracion!$A:$D, 4, FALSE), 0)*Tabla10[[#This Row],[CANTIDAD]]</f>
        <v>0</v>
      </c>
      <c r="I18">
        <f t="shared" si="2"/>
        <v>2</v>
      </c>
      <c r="N18" s="4"/>
      <c r="O18" s="4"/>
      <c r="P18" s="4"/>
      <c r="Q18" s="28"/>
    </row>
    <row r="19" spans="1:19" x14ac:dyDescent="0.3">
      <c r="A19" t="s">
        <v>233</v>
      </c>
      <c r="B19">
        <f>IFERROR(VLOOKUP(A19,lunes!$A:$I,9,FALSE),VLOOKUP(A19,Configuracion!$A:$B,2,FALSE))</f>
        <v>5</v>
      </c>
      <c r="C19" t="s">
        <v>186</v>
      </c>
      <c r="D19" s="17">
        <v>1</v>
      </c>
      <c r="E19">
        <f>IF(C19="Venta", IFERROR(VLOOKUP(A19, Configuracion!$A:$D, 3, FALSE), 0), 0)</f>
        <v>0</v>
      </c>
      <c r="F19">
        <f t="shared" si="1"/>
        <v>0</v>
      </c>
      <c r="G19" t="s">
        <v>190</v>
      </c>
      <c r="H19">
        <f>IF(AND(G19="Gestor", A19&lt;&gt;""), VLOOKUP(A19, Configuracion!$A:$D, 4, FALSE), 0)*Tabla10[[#This Row],[CANTIDAD]]</f>
        <v>0</v>
      </c>
      <c r="I19">
        <f t="shared" si="2"/>
        <v>4</v>
      </c>
      <c r="N19" s="30" t="s">
        <v>247</v>
      </c>
      <c r="O19" s="30" t="s">
        <v>249</v>
      </c>
      <c r="P19" s="34" t="s">
        <v>248</v>
      </c>
      <c r="Q19" s="34"/>
      <c r="R19" s="30" t="s">
        <v>192</v>
      </c>
    </row>
    <row r="20" spans="1:19" x14ac:dyDescent="0.3">
      <c r="A20" t="s">
        <v>232</v>
      </c>
      <c r="B20">
        <f>IFERROR(VLOOKUP(A20,lunes!$A:$I,9,FALSE),VLOOKUP(A20,Configuracion!$A:$B,2,FALSE))</f>
        <v>0</v>
      </c>
      <c r="C20" t="s">
        <v>187</v>
      </c>
      <c r="D20" s="17">
        <v>1</v>
      </c>
      <c r="E20">
        <f>IF(C20="Venta", IFERROR(VLOOKUP(A20, Configuracion!$A:$D, 3, FALSE), 0), 0)</f>
        <v>0</v>
      </c>
      <c r="F20">
        <f t="shared" si="1"/>
        <v>0</v>
      </c>
      <c r="G20" t="s">
        <v>190</v>
      </c>
      <c r="H20">
        <f>IF(AND(G20="Gestor", A20&lt;&gt;""), VLOOKUP(A20, Configuracion!$A:$D, 4, FALSE), 0)*Tabla10[[#This Row],[CANTIDAD]]</f>
        <v>0</v>
      </c>
      <c r="I20">
        <f t="shared" si="2"/>
        <v>1</v>
      </c>
      <c r="N20" s="31" t="s">
        <v>251</v>
      </c>
      <c r="O20" s="3"/>
      <c r="P20" s="3" t="s">
        <v>252</v>
      </c>
      <c r="Q20" s="3" t="s">
        <v>253</v>
      </c>
      <c r="R20" s="29"/>
    </row>
    <row r="21" spans="1:19" x14ac:dyDescent="0.3">
      <c r="B21" t="e">
        <f>IFERROR(VLOOKUP(A21,lunes!$A:$I,9,FALSE),VLOOKUP(A21,Configuracion!$A:$B,2,FALSE))</f>
        <v>#N/A</v>
      </c>
      <c r="E21">
        <f>IF(C21="Venta", IFERROR(VLOOKUP(A21, Configuracion!$A:$D, 3, FALSE), 0), 0)</f>
        <v>0</v>
      </c>
      <c r="F21">
        <f t="shared" si="1"/>
        <v>0</v>
      </c>
      <c r="H21">
        <f>IF(AND(G21="Gestor", A21&lt;&gt;""), VLOOKUP(A21, Configuracion!$A:$D, 4, FALSE), 0)*Tabla10[[#This Row],[CANTIDAD]]</f>
        <v>0</v>
      </c>
      <c r="I21" t="str">
        <f t="shared" si="2"/>
        <v/>
      </c>
      <c r="N21" s="2" t="s">
        <v>207</v>
      </c>
      <c r="O21" s="3">
        <v>45000</v>
      </c>
      <c r="P21" s="3">
        <v>12822</v>
      </c>
      <c r="Q21" s="3">
        <v>72900</v>
      </c>
      <c r="R21" s="3">
        <v>150</v>
      </c>
    </row>
    <row r="22" spans="1:19" x14ac:dyDescent="0.3">
      <c r="B22" t="e">
        <f>IFERROR(VLOOKUP(A22,lunes!$A:$I,9,FALSE),VLOOKUP(A22,Configuracion!$A:$B,2,FALSE))</f>
        <v>#N/A</v>
      </c>
      <c r="E22">
        <f>IF(C22="Venta", IFERROR(VLOOKUP(A22, Configuracion!$A:$D, 3, FALSE), 0), 0)</f>
        <v>0</v>
      </c>
      <c r="F22">
        <f t="shared" si="1"/>
        <v>0</v>
      </c>
      <c r="H22">
        <f>IF(AND(G22="Gestor", A22&lt;&gt;""), VLOOKUP(A22, Configuracion!$A:$D, 4, FALSE), 0)*Tabla10[[#This Row],[CANTIDAD]]</f>
        <v>0</v>
      </c>
      <c r="I22" t="str">
        <f t="shared" si="2"/>
        <v/>
      </c>
      <c r="N22" s="3" t="s">
        <v>221</v>
      </c>
      <c r="O22" s="3"/>
      <c r="P22" s="3"/>
      <c r="Q22" s="3"/>
      <c r="R22" s="3"/>
    </row>
    <row r="23" spans="1:19" x14ac:dyDescent="0.3">
      <c r="B23" t="e">
        <f>IFERROR(VLOOKUP(A23,lunes!$A:$I,9,FALSE),VLOOKUP(A23,Configuracion!$A:$B,2,FALSE))</f>
        <v>#N/A</v>
      </c>
      <c r="E23">
        <f>IF(C23="Venta", IFERROR(VLOOKUP(A23, Configuracion!$A:$D, 3, FALSE), 0), 0)</f>
        <v>0</v>
      </c>
      <c r="F23">
        <f t="shared" si="1"/>
        <v>0</v>
      </c>
      <c r="H23">
        <f>IF(AND(G23="Gestor", A23&lt;&gt;""), VLOOKUP(A23, Configuracion!$A:$D, 4, FALSE), 0)*Tabla10[[#This Row],[CANTIDAD]]</f>
        <v>0</v>
      </c>
      <c r="I23" t="str">
        <f t="shared" si="2"/>
        <v/>
      </c>
      <c r="N23" s="3" t="s">
        <v>203</v>
      </c>
      <c r="O23" s="3">
        <v>5000</v>
      </c>
      <c r="P23" s="3"/>
      <c r="Q23" s="3"/>
      <c r="R23" s="3"/>
    </row>
    <row r="24" spans="1:19" x14ac:dyDescent="0.3">
      <c r="B24" t="e">
        <f>IFERROR(VLOOKUP(A24,lunes!$A:$I,9,FALSE),VLOOKUP(A24,Configuracion!$A:$B,2,FALSE))</f>
        <v>#N/A</v>
      </c>
      <c r="E24">
        <f>IF(C24="Venta", IFERROR(VLOOKUP(A24, Configuracion!$A:$D, 3, FALSE), 0), 0)</f>
        <v>0</v>
      </c>
      <c r="F24">
        <f t="shared" si="1"/>
        <v>0</v>
      </c>
      <c r="H24">
        <f>IF(AND(G24="Gestor", A24&lt;&gt;""), VLOOKUP(A24, Configuracion!$A:$D, 4, FALSE), 0)*Tabla10[[#This Row],[CANTIDAD]]</f>
        <v>0</v>
      </c>
      <c r="I24" t="str">
        <f t="shared" si="2"/>
        <v/>
      </c>
      <c r="N24" s="3" t="s">
        <v>204</v>
      </c>
      <c r="O24" s="3">
        <v>1000</v>
      </c>
      <c r="P24" s="3"/>
      <c r="Q24" s="3"/>
      <c r="R24" s="3"/>
      <c r="S24" t="s">
        <v>246</v>
      </c>
    </row>
    <row r="25" spans="1:19" x14ac:dyDescent="0.3">
      <c r="B25" t="e">
        <f>IFERROR(VLOOKUP(A25,lunes!$A:$I,9,FALSE),VLOOKUP(A25,Configuracion!$A:$B,2,FALSE))</f>
        <v>#N/A</v>
      </c>
      <c r="E25">
        <f>IF(C25="Venta", IFERROR(VLOOKUP(A25, Configuracion!$A:$D, 3, FALSE), 0), 0)</f>
        <v>0</v>
      </c>
      <c r="F25">
        <f t="shared" si="1"/>
        <v>0</v>
      </c>
      <c r="H25">
        <f>IF(AND(G25="Gestor", A25&lt;&gt;""), VLOOKUP(A25, Configuracion!$A:$D, 4, FALSE), 0)*Tabla10[[#This Row],[CANTIDAD]]</f>
        <v>0</v>
      </c>
      <c r="I25" t="str">
        <f t="shared" si="2"/>
        <v/>
      </c>
      <c r="N25" s="3" t="s">
        <v>210</v>
      </c>
      <c r="O25" s="3">
        <v>27000</v>
      </c>
      <c r="P25" s="3"/>
      <c r="Q25" s="3"/>
      <c r="R25" s="3"/>
    </row>
    <row r="26" spans="1:19" x14ac:dyDescent="0.3">
      <c r="B26" t="e">
        <f>IFERROR(VLOOKUP(A26,lunes!$A:$I,9,FALSE),VLOOKUP(A26,Configuracion!$A:$B,2,FALSE))</f>
        <v>#N/A</v>
      </c>
      <c r="E26">
        <f>IF(C26="Venta", IFERROR(VLOOKUP(A26, Configuracion!$A:$D, 3, FALSE), 0), 0)</f>
        <v>0</v>
      </c>
      <c r="F26">
        <f t="shared" si="1"/>
        <v>0</v>
      </c>
      <c r="H26">
        <f>IF(AND(G26="Gestor", A26&lt;&gt;""), VLOOKUP(A26, Configuracion!$A:$D, 4, FALSE), 0)*Tabla10[[#This Row],[CANTIDAD]]</f>
        <v>0</v>
      </c>
      <c r="I26" t="str">
        <f t="shared" si="2"/>
        <v/>
      </c>
      <c r="N26" s="2" t="s">
        <v>250</v>
      </c>
      <c r="O26" s="3">
        <f>O21-O22-O23-O24-O25</f>
        <v>12000</v>
      </c>
      <c r="P26" s="7">
        <f>P21-P22-P24-P23-P25</f>
        <v>12822</v>
      </c>
      <c r="Q26" s="7">
        <f>Q21-Q22-Q24-Q23-Q25</f>
        <v>72900</v>
      </c>
      <c r="R26" s="7">
        <f>R21-R22-R24-R23-R25</f>
        <v>150</v>
      </c>
    </row>
    <row r="27" spans="1:19" x14ac:dyDescent="0.3">
      <c r="B27" t="e">
        <f>IFERROR(VLOOKUP(A27,lunes!$A:$I,9,FALSE),VLOOKUP(A27,Configuracion!$A:$B,2,FALSE))</f>
        <v>#N/A</v>
      </c>
      <c r="E27">
        <f>IF(C27="Venta", IFERROR(VLOOKUP(A27, Configuracion!$A:$D, 3, FALSE), 0), 0)</f>
        <v>0</v>
      </c>
      <c r="F27">
        <f t="shared" si="1"/>
        <v>0</v>
      </c>
      <c r="H27">
        <f>IF(AND(G27="Gestor", A27&lt;&gt;""), VLOOKUP(A27, Configuracion!$A:$D, 4, FALSE), 0)*Tabla10[[#This Row],[CANTIDAD]]</f>
        <v>0</v>
      </c>
      <c r="I27" t="str">
        <f t="shared" si="2"/>
        <v/>
      </c>
    </row>
    <row r="28" spans="1:19" x14ac:dyDescent="0.3">
      <c r="B28" t="e">
        <f>IFERROR(VLOOKUP(A28,lunes!$A:$I,9,FALSE),VLOOKUP(A28,Configuracion!$A:$B,2,FALSE))</f>
        <v>#N/A</v>
      </c>
      <c r="E28">
        <f>IF(C28="Venta", IFERROR(VLOOKUP(A28, Configuracion!$A:$D, 3, FALSE), 0), 0)</f>
        <v>0</v>
      </c>
      <c r="F28">
        <f t="shared" si="1"/>
        <v>0</v>
      </c>
      <c r="H28">
        <f>IF(AND(G28="Gestor", A28&lt;&gt;""), VLOOKUP(A28, Configuracion!$A:$D, 4, FALSE), 0)*Tabla10[[#This Row],[CANTIDAD]]</f>
        <v>0</v>
      </c>
      <c r="I28" t="str">
        <f t="shared" si="2"/>
        <v/>
      </c>
    </row>
    <row r="29" spans="1:19" x14ac:dyDescent="0.3">
      <c r="B29" t="e">
        <f>IFERROR(VLOOKUP(A29,lunes!$A:$I,9,FALSE),VLOOKUP(A29,Configuracion!$A:$B,2,FALSE))</f>
        <v>#N/A</v>
      </c>
      <c r="E29">
        <f>IF(C29="Venta", IFERROR(VLOOKUP(A29, Configuracion!$A:$D, 3, FALSE), 0), 0)</f>
        <v>0</v>
      </c>
      <c r="F29">
        <f t="shared" si="1"/>
        <v>0</v>
      </c>
      <c r="H29">
        <f>IF(AND(G29="Gestor", A29&lt;&gt;""), VLOOKUP(A29, Configuracion!$A:$D, 4, FALSE), 0)*Tabla10[[#This Row],[CANTIDAD]]</f>
        <v>0</v>
      </c>
      <c r="I29" t="str">
        <f t="shared" si="2"/>
        <v/>
      </c>
      <c r="N29" s="1"/>
      <c r="O29" s="1"/>
      <c r="P29" s="1"/>
    </row>
    <row r="30" spans="1:19" x14ac:dyDescent="0.3">
      <c r="B30" t="e">
        <f>IFERROR(VLOOKUP(A30,lunes!$A:$I,9,FALSE),VLOOKUP(A30,Configuracion!$A:$B,2,FALSE))</f>
        <v>#N/A</v>
      </c>
      <c r="E30">
        <f>IF(C30="Venta", IFERROR(VLOOKUP(A30, Configuracion!$A:$D, 3, FALSE), 0), 0)</f>
        <v>0</v>
      </c>
      <c r="F30">
        <f t="shared" si="1"/>
        <v>0</v>
      </c>
      <c r="H30">
        <f>IF(AND(G30="Gestor", A30&lt;&gt;""), VLOOKUP(A30, Configuracion!$A:$D, 4, FALSE), 0)*Tabla10[[#This Row],[CANTIDAD]]</f>
        <v>0</v>
      </c>
      <c r="I30" t="str">
        <f t="shared" si="2"/>
        <v/>
      </c>
    </row>
    <row r="31" spans="1:19" x14ac:dyDescent="0.3">
      <c r="B31" t="e">
        <f>IFERROR(VLOOKUP(A31,lunes!$A:$I,9,FALSE),VLOOKUP(A31,Configuracion!$A:$B,2,FALSE))</f>
        <v>#N/A</v>
      </c>
      <c r="E31">
        <f>IF(C31="Venta", IFERROR(VLOOKUP(A31, Configuracion!$A:$D, 3, FALSE), 0), 0)</f>
        <v>0</v>
      </c>
      <c r="F31">
        <f t="shared" si="1"/>
        <v>0</v>
      </c>
      <c r="H31">
        <f>IF(AND(G31="Gestor", A31&lt;&gt;""), VLOOKUP(A31, Configuracion!$A:$D, 4, FALSE), 0)*Tabla10[[#This Row],[CANTIDAD]]</f>
        <v>0</v>
      </c>
      <c r="I31" t="str">
        <f t="shared" si="2"/>
        <v/>
      </c>
    </row>
    <row r="32" spans="1:19" x14ac:dyDescent="0.3">
      <c r="B32" t="e">
        <f>IFERROR(VLOOKUP(A32,lunes!$A:$I,9,FALSE),VLOOKUP(A32,Configuracion!$A:$B,2,FALSE))</f>
        <v>#N/A</v>
      </c>
      <c r="E32">
        <f>IF(C32="Venta", IFERROR(VLOOKUP(A32, Configuracion!$A:$D, 3, FALSE), 0), 0)</f>
        <v>0</v>
      </c>
      <c r="F32">
        <f t="shared" si="1"/>
        <v>0</v>
      </c>
      <c r="H32">
        <f>IF(AND(G32="Gestor", A32&lt;&gt;""), VLOOKUP(A32, Configuracion!$A:$D, 4, FALSE), 0)*Tabla10[[#This Row],[CANTIDAD]]</f>
        <v>0</v>
      </c>
      <c r="I32" t="str">
        <f t="shared" si="2"/>
        <v/>
      </c>
    </row>
    <row r="33" spans="2:14" x14ac:dyDescent="0.3">
      <c r="B33" t="e">
        <f>IFERROR(VLOOKUP(A33,lunes!$A:$I,9,FALSE),VLOOKUP(A33,Configuracion!$A:$B,2,FALSE))</f>
        <v>#N/A</v>
      </c>
      <c r="E33">
        <f>IF(C33="Venta", IFERROR(VLOOKUP(A33, Configuracion!$A:$D, 3, FALSE), 0), 0)</f>
        <v>0</v>
      </c>
      <c r="F33">
        <f t="shared" si="1"/>
        <v>0</v>
      </c>
      <c r="H33">
        <f>IF(AND(G33="Gestor", A33&lt;&gt;""), VLOOKUP(A33, Configuracion!$A:$D, 4, FALSE), 0)*Tabla10[[#This Row],[CANTIDAD]]</f>
        <v>0</v>
      </c>
      <c r="I33" t="str">
        <f t="shared" si="2"/>
        <v/>
      </c>
    </row>
    <row r="34" spans="2:14" x14ac:dyDescent="0.3">
      <c r="B34" t="e">
        <f>IFERROR(VLOOKUP(A34,lunes!$A:$I,9,FALSE),VLOOKUP(A34,Configuracion!$A:$B,2,FALSE))</f>
        <v>#N/A</v>
      </c>
      <c r="E34">
        <f>IF(C34="Venta", IFERROR(VLOOKUP(A34, Configuracion!$A:$D, 3, FALSE), 0), 0)</f>
        <v>0</v>
      </c>
      <c r="F34">
        <f t="shared" si="1"/>
        <v>0</v>
      </c>
      <c r="H34">
        <f>IF(AND(G34="Gestor", A34&lt;&gt;""), VLOOKUP(A34, Configuracion!$A:$D, 4, FALSE), 0)*Tabla10[[#This Row],[CANTIDAD]]</f>
        <v>0</v>
      </c>
      <c r="I34" t="str">
        <f t="shared" si="2"/>
        <v/>
      </c>
    </row>
    <row r="35" spans="2:14" x14ac:dyDescent="0.3">
      <c r="B35" t="e">
        <f>IFERROR(VLOOKUP(A35,lunes!$A:$I,9,FALSE),VLOOKUP(A35,Configuracion!$A:$B,2,FALSE))</f>
        <v>#N/A</v>
      </c>
      <c r="E35">
        <f>IF(C35="Venta", IFERROR(VLOOKUP(A35, Configuracion!$A:$D, 3, FALSE), 0), 0)</f>
        <v>0</v>
      </c>
      <c r="F35">
        <f t="shared" si="1"/>
        <v>0</v>
      </c>
      <c r="H35">
        <f>IF(AND(G35="Gestor", A35&lt;&gt;""), VLOOKUP(A35, Configuracion!$A:$D, 4, FALSE), 0)*Tabla10[[#This Row],[CANTIDAD]]</f>
        <v>0</v>
      </c>
      <c r="I35" t="str">
        <f t="shared" si="2"/>
        <v/>
      </c>
    </row>
    <row r="36" spans="2:14" x14ac:dyDescent="0.3">
      <c r="B36" t="e">
        <f>IFERROR(VLOOKUP(A36,lunes!$A:$I,9,FALSE),VLOOKUP(A36,Configuracion!$A:$B,2,FALSE))</f>
        <v>#N/A</v>
      </c>
      <c r="E36">
        <f>IF(C36="Venta", IFERROR(VLOOKUP(A36, Configuracion!$A:$D, 3, FALSE), 0), 0)</f>
        <v>0</v>
      </c>
      <c r="F36">
        <f t="shared" si="1"/>
        <v>0</v>
      </c>
      <c r="H36">
        <f>IF(AND(G36="Gestor", A36&lt;&gt;""), VLOOKUP(A36, Configuracion!$A:$D, 4, FALSE), 0)*Tabla10[[#This Row],[CANTIDAD]]</f>
        <v>0</v>
      </c>
      <c r="I36" t="str">
        <f t="shared" si="2"/>
        <v/>
      </c>
      <c r="N36" s="1"/>
    </row>
    <row r="37" spans="2:14" x14ac:dyDescent="0.3">
      <c r="B37" t="e">
        <f>IFERROR(VLOOKUP(A37,lunes!$A:$I,9,FALSE),VLOOKUP(A37,Configuracion!$A:$B,2,FALSE))</f>
        <v>#N/A</v>
      </c>
      <c r="E37">
        <f>IF(C37="Venta", IFERROR(VLOOKUP(A37, Configuracion!$A:$D, 3, FALSE), 0), 0)</f>
        <v>0</v>
      </c>
      <c r="F37">
        <f t="shared" si="1"/>
        <v>0</v>
      </c>
      <c r="H37">
        <f>IF(AND(G37="Gestor", A37&lt;&gt;""), VLOOKUP(A37, Configuracion!$A:$D, 4, FALSE), 0)*Tabla10[[#This Row],[CANTIDAD]]</f>
        <v>0</v>
      </c>
      <c r="I37" t="str">
        <f t="shared" si="2"/>
        <v/>
      </c>
      <c r="N37" s="1"/>
    </row>
    <row r="38" spans="2:14" x14ac:dyDescent="0.3">
      <c r="B38" t="e">
        <f>IFERROR(VLOOKUP(A38,lunes!$A:$I,9,FALSE),VLOOKUP(A38,Configuracion!$A:$B,2,FALSE))</f>
        <v>#N/A</v>
      </c>
      <c r="E38">
        <f>IF(C38="Venta", IFERROR(VLOOKUP(A38, Configuracion!$A:$D, 3, FALSE), 0), 0)</f>
        <v>0</v>
      </c>
      <c r="F38">
        <f t="shared" si="1"/>
        <v>0</v>
      </c>
      <c r="H38">
        <f>IF(AND(G38="Gestor", A38&lt;&gt;""), VLOOKUP(A38, Configuracion!$A:$D, 4, FALSE), 0)*Tabla10[[#This Row],[CANTIDAD]]</f>
        <v>0</v>
      </c>
      <c r="I38" t="str">
        <f t="shared" si="2"/>
        <v/>
      </c>
      <c r="N38" s="1"/>
    </row>
    <row r="39" spans="2:14" x14ac:dyDescent="0.3">
      <c r="B39" t="e">
        <f>IFERROR(VLOOKUP(A39,lunes!$A:$I,9,FALSE),VLOOKUP(A39,Configuracion!$A:$B,2,FALSE))</f>
        <v>#N/A</v>
      </c>
      <c r="E39">
        <f>IF(C39="Venta", IFERROR(VLOOKUP(A39, Configuracion!$A:$D, 3, FALSE), 0), 0)</f>
        <v>0</v>
      </c>
      <c r="F39">
        <f t="shared" si="1"/>
        <v>0</v>
      </c>
      <c r="H39">
        <f>IF(AND(G39="Gestor", A39&lt;&gt;""), VLOOKUP(A39, Configuracion!$A:$D, 4, FALSE), 0)*Tabla10[[#This Row],[CANTIDAD]]</f>
        <v>0</v>
      </c>
      <c r="I39" t="str">
        <f t="shared" si="2"/>
        <v/>
      </c>
      <c r="N39" s="1"/>
    </row>
    <row r="40" spans="2:14" x14ac:dyDescent="0.3">
      <c r="B40" t="e">
        <f>IFERROR(VLOOKUP(A40,lunes!$A:$I,9,FALSE),VLOOKUP(A40,Configuracion!$A:$B,2,FALSE))</f>
        <v>#N/A</v>
      </c>
      <c r="E40">
        <f>IF(C40="Venta", IFERROR(VLOOKUP(A40, Configuracion!$A:$D, 3, FALSE), 0), 0)</f>
        <v>0</v>
      </c>
      <c r="F40">
        <f t="shared" si="1"/>
        <v>0</v>
      </c>
      <c r="H40">
        <f>IF(AND(G40="Gestor", A40&lt;&gt;""), VLOOKUP(A40, Configuracion!$A:$D, 4, FALSE), 0)*Tabla10[[#This Row],[CANTIDAD]]</f>
        <v>0</v>
      </c>
      <c r="I40" t="str">
        <f t="shared" si="2"/>
        <v/>
      </c>
      <c r="N40" s="1"/>
    </row>
    <row r="41" spans="2:14" x14ac:dyDescent="0.3">
      <c r="B41" t="e">
        <f>IFERROR(VLOOKUP(A41,lunes!$A:$I,9,FALSE),VLOOKUP(A41,Configuracion!$A:$B,2,FALSE))</f>
        <v>#N/A</v>
      </c>
      <c r="E41">
        <f>IF(C41="Venta", IFERROR(VLOOKUP(A41, Configuracion!$A:$D, 3, FALSE), 0), 0)</f>
        <v>0</v>
      </c>
      <c r="F41">
        <f t="shared" si="1"/>
        <v>0</v>
      </c>
      <c r="H41">
        <f>IF(AND(G41="Gestor", A41&lt;&gt;""), VLOOKUP(A41, Configuracion!$A:$D, 4, FALSE), 0)*Tabla10[[#This Row],[CANTIDAD]]</f>
        <v>0</v>
      </c>
      <c r="I41" t="str">
        <f t="shared" si="2"/>
        <v/>
      </c>
      <c r="N41" s="1"/>
    </row>
    <row r="42" spans="2:14" x14ac:dyDescent="0.3">
      <c r="B42" t="e">
        <f>IFERROR(VLOOKUP(A42,lunes!$A:$I,9,FALSE),VLOOKUP(A42,Configuracion!$A:$B,2,FALSE))</f>
        <v>#N/A</v>
      </c>
      <c r="E42">
        <f>IF(C42="Venta", IFERROR(VLOOKUP(A42, Configuracion!$A:$D, 3, FALSE), 0), 0)</f>
        <v>0</v>
      </c>
      <c r="F42">
        <f t="shared" si="1"/>
        <v>0</v>
      </c>
      <c r="H42">
        <f>IF(AND(G42="Gestor", A42&lt;&gt;""), VLOOKUP(A42, Configuracion!$A:$D, 4, FALSE), 0)*Tabla10[[#This Row],[CANTIDAD]]</f>
        <v>0</v>
      </c>
      <c r="I42" t="str">
        <f t="shared" si="2"/>
        <v/>
      </c>
    </row>
    <row r="43" spans="2:14" x14ac:dyDescent="0.3">
      <c r="B43" t="e">
        <f>IFERROR(VLOOKUP(A43,lunes!$A:$I,9,FALSE),VLOOKUP(A43,Configuracion!$A:$B,2,FALSE))</f>
        <v>#N/A</v>
      </c>
      <c r="E43">
        <f>IF(C43="Venta", IFERROR(VLOOKUP(A43, Configuracion!$A:$D, 3, FALSE), 0), 0)</f>
        <v>0</v>
      </c>
      <c r="F43">
        <f t="shared" si="1"/>
        <v>0</v>
      </c>
      <c r="H43">
        <f>IF(AND(G43="Gestor", A43&lt;&gt;""), VLOOKUP(A43, Configuracion!$A:$D, 4, FALSE), 0)*Tabla10[[#This Row],[CANTIDAD]]</f>
        <v>0</v>
      </c>
      <c r="I43" t="str">
        <f t="shared" si="2"/>
        <v/>
      </c>
    </row>
    <row r="44" spans="2:14" x14ac:dyDescent="0.3">
      <c r="B44" t="e">
        <f>IFERROR(VLOOKUP(A44,lunes!$A:$I,9,FALSE),VLOOKUP(A44,Configuracion!$A:$B,2,FALSE))</f>
        <v>#N/A</v>
      </c>
      <c r="E44">
        <f>IF(C44="Venta", IFERROR(VLOOKUP(A44, Configuracion!$A:$D, 3, FALSE), 0), 0)</f>
        <v>0</v>
      </c>
      <c r="F44">
        <f t="shared" si="1"/>
        <v>0</v>
      </c>
      <c r="H44">
        <f>IF(AND(G44="Gestor", A44&lt;&gt;""), VLOOKUP(A44, Configuracion!$A:$D, 4, FALSE), 0)*Tabla10[[#This Row],[CANTIDAD]]</f>
        <v>0</v>
      </c>
      <c r="I44" t="str">
        <f t="shared" si="2"/>
        <v/>
      </c>
    </row>
    <row r="45" spans="2:14" x14ac:dyDescent="0.3">
      <c r="B45" t="e">
        <f>IFERROR(VLOOKUP(A45,lunes!$A:$I,9,FALSE),VLOOKUP(A45,Configuracion!$A:$B,2,FALSE))</f>
        <v>#N/A</v>
      </c>
      <c r="E45">
        <f>IF(C45="Venta", IFERROR(VLOOKUP(A45, Configuracion!$A:$D, 3, FALSE), 0), 0)</f>
        <v>0</v>
      </c>
      <c r="F45">
        <f t="shared" si="1"/>
        <v>0</v>
      </c>
      <c r="H45">
        <f>IF(AND(G45="Gestor", A45&lt;&gt;""), VLOOKUP(A45, Configuracion!$A:$D, 4, FALSE), 0)*Tabla10[[#This Row],[CANTIDAD]]</f>
        <v>0</v>
      </c>
      <c r="I45" t="str">
        <f t="shared" si="2"/>
        <v/>
      </c>
      <c r="N45" s="1"/>
    </row>
    <row r="46" spans="2:14" x14ac:dyDescent="0.3">
      <c r="B46" t="e">
        <f>IFERROR(VLOOKUP(A46,lunes!$A:$I,9,FALSE),VLOOKUP(A46,Configuracion!$A:$B,2,FALSE))</f>
        <v>#N/A</v>
      </c>
      <c r="E46">
        <f>IF(C46="Venta", IFERROR(VLOOKUP(A46, Configuracion!$A:$D, 3, FALSE), 0), 0)</f>
        <v>0</v>
      </c>
      <c r="F46">
        <f t="shared" si="1"/>
        <v>0</v>
      </c>
      <c r="H46">
        <f>IF(AND(G46="Gestor", A46&lt;&gt;""), VLOOKUP(A46, Configuracion!$A:$D, 4, FALSE), 0)*Tabla10[[#This Row],[CANTIDAD]]</f>
        <v>0</v>
      </c>
      <c r="I46" t="str">
        <f t="shared" si="2"/>
        <v/>
      </c>
    </row>
    <row r="47" spans="2:14" x14ac:dyDescent="0.3">
      <c r="B47" t="e">
        <f>IFERROR(VLOOKUP(A47,lunes!$A:$I,9,FALSE),VLOOKUP(A47,Configuracion!$A:$B,2,FALSE))</f>
        <v>#N/A</v>
      </c>
      <c r="E47">
        <f>IF(C47="Venta", IFERROR(VLOOKUP(A47, Configuracion!$A:$D, 3, FALSE), 0), 0)</f>
        <v>0</v>
      </c>
      <c r="F47">
        <f t="shared" si="1"/>
        <v>0</v>
      </c>
      <c r="H47">
        <f>IF(AND(G47="Gestor", A47&lt;&gt;""), VLOOKUP(A47, Configuracion!$A:$D, 4, FALSE), 0)*Tabla10[[#This Row],[CANTIDAD]]</f>
        <v>0</v>
      </c>
      <c r="I47" t="str">
        <f t="shared" si="2"/>
        <v/>
      </c>
    </row>
    <row r="48" spans="2:14" x14ac:dyDescent="0.3">
      <c r="B48" t="e">
        <f>IFERROR(VLOOKUP(A48,lunes!$A:$I,9,FALSE),VLOOKUP(A48,Configuracion!$A:$B,2,FALSE))</f>
        <v>#N/A</v>
      </c>
      <c r="E48">
        <f>IF(C48="Venta", IFERROR(VLOOKUP(A48, Configuracion!$A:$D, 3, FALSE), 0), 0)</f>
        <v>0</v>
      </c>
      <c r="F48">
        <f t="shared" si="1"/>
        <v>0</v>
      </c>
      <c r="H48">
        <f>IF(AND(G48="Gestor", A48&lt;&gt;""), VLOOKUP(A48, Configuracion!$A:$D, 4, FALSE), 0)*Tabla10[[#This Row],[CANTIDAD]]</f>
        <v>0</v>
      </c>
      <c r="I48" t="str">
        <f t="shared" si="2"/>
        <v/>
      </c>
    </row>
    <row r="49" spans="2:9" x14ac:dyDescent="0.3">
      <c r="B49" t="e">
        <f>IFERROR(VLOOKUP(A49,lunes!$A:$I,9,FALSE),VLOOKUP(A49,Configuracion!$A:$B,2,FALSE))</f>
        <v>#N/A</v>
      </c>
      <c r="E49">
        <f>IF(C49="Venta", IFERROR(VLOOKUP(A49, Configuracion!$A:$D, 3, FALSE), 0), 0)</f>
        <v>0</v>
      </c>
      <c r="F49">
        <f t="shared" si="1"/>
        <v>0</v>
      </c>
      <c r="H49">
        <f>IF(AND(G49="Gestor", A49&lt;&gt;""), VLOOKUP(A49, Configuracion!$A:$D, 4, FALSE), 0)*Tabla10[[#This Row],[CANTIDAD]]</f>
        <v>0</v>
      </c>
      <c r="I49" t="str">
        <f t="shared" ref="I49:I80" si="3">IF(OR(A49="", D49=""), "", IF(C49="Entrada", B49+D49, IF(OR(C49="Venta", C49="Salida"), B49-D49, B49)))</f>
        <v/>
      </c>
    </row>
    <row r="50" spans="2:9" x14ac:dyDescent="0.3">
      <c r="B50" t="e">
        <f>IFERROR(VLOOKUP(A50,lunes!$A:$I,9,FALSE),VLOOKUP(A50,Configuracion!$A:$B,2,FALSE))</f>
        <v>#N/A</v>
      </c>
      <c r="E50">
        <f>IF(C50="Venta", IFERROR(VLOOKUP(A50, Configuracion!$A:$D, 3, FALSE), 0), 0)</f>
        <v>0</v>
      </c>
      <c r="F50">
        <f t="shared" si="1"/>
        <v>0</v>
      </c>
      <c r="H50">
        <f>IF(AND(G50="Gestor", A50&lt;&gt;""), VLOOKUP(A50, Configuracion!$A:$D, 4, FALSE), 0)*Tabla10[[#This Row],[CANTIDAD]]</f>
        <v>0</v>
      </c>
      <c r="I50" t="str">
        <f t="shared" si="3"/>
        <v/>
      </c>
    </row>
    <row r="51" spans="2:9" x14ac:dyDescent="0.3">
      <c r="B51" t="e">
        <f>IFERROR(VLOOKUP(A51,lunes!$A:$I,9,FALSE),VLOOKUP(A51,Configuracion!$A:$B,2,FALSE))</f>
        <v>#N/A</v>
      </c>
      <c r="E51">
        <f>IF(C51="Venta", IFERROR(VLOOKUP(A51, Configuracion!$A:$D, 3, FALSE), 0), 0)</f>
        <v>0</v>
      </c>
      <c r="F51">
        <f t="shared" si="1"/>
        <v>0</v>
      </c>
      <c r="H51">
        <f>IF(AND(G51="Gestor", A51&lt;&gt;""), VLOOKUP(A51, Configuracion!$A:$D, 4, FALSE), 0)*Tabla10[[#This Row],[CANTIDAD]]</f>
        <v>0</v>
      </c>
      <c r="I51" t="str">
        <f t="shared" si="3"/>
        <v/>
      </c>
    </row>
    <row r="52" spans="2:9" x14ac:dyDescent="0.3">
      <c r="B52" t="e">
        <f>IFERROR(VLOOKUP(A52,lunes!$A:$I,9,FALSE),VLOOKUP(A52,Configuracion!$A:$B,2,FALSE))</f>
        <v>#N/A</v>
      </c>
      <c r="E52">
        <f>IF(C52="Venta", IFERROR(VLOOKUP(A52, Configuracion!$A:$D, 3, FALSE), 0), 0)</f>
        <v>0</v>
      </c>
      <c r="F52">
        <f t="shared" si="1"/>
        <v>0</v>
      </c>
      <c r="H52">
        <f>IF(AND(G52="Gestor", A52&lt;&gt;""), VLOOKUP(A52, Configuracion!$A:$D, 4, FALSE), 0)*Tabla10[[#This Row],[CANTIDAD]]</f>
        <v>0</v>
      </c>
      <c r="I52" t="str">
        <f t="shared" si="3"/>
        <v/>
      </c>
    </row>
    <row r="53" spans="2:9" x14ac:dyDescent="0.3">
      <c r="B53" t="e">
        <f>IFERROR(VLOOKUP(A53,lunes!$A:$I,9,FALSE),VLOOKUP(A53,Configuracion!$A:$B,2,FALSE))</f>
        <v>#N/A</v>
      </c>
      <c r="E53">
        <f>IF(C53="Venta", IFERROR(VLOOKUP(A53, Configuracion!$A:$D, 3, FALSE), 0), 0)</f>
        <v>0</v>
      </c>
      <c r="F53">
        <f t="shared" si="1"/>
        <v>0</v>
      </c>
      <c r="H53">
        <f>IF(AND(G53="Gestor", A53&lt;&gt;""), VLOOKUP(A53, Configuracion!$A:$D, 4, FALSE), 0)*Tabla10[[#This Row],[CANTIDAD]]</f>
        <v>0</v>
      </c>
      <c r="I53" t="str">
        <f t="shared" si="3"/>
        <v/>
      </c>
    </row>
    <row r="54" spans="2:9" x14ac:dyDescent="0.3">
      <c r="B54" t="e">
        <f>IFERROR(VLOOKUP(A54,lunes!$A:$I,9,FALSE),VLOOKUP(A54,Configuracion!$A:$B,2,FALSE))</f>
        <v>#N/A</v>
      </c>
      <c r="E54">
        <f>IF(C54="Venta", IFERROR(VLOOKUP(A54, Configuracion!$A:$D, 3, FALSE), 0), 0)</f>
        <v>0</v>
      </c>
      <c r="F54">
        <f t="shared" si="1"/>
        <v>0</v>
      </c>
      <c r="H54">
        <f>IF(AND(G54="Gestor", A54&lt;&gt;""), VLOOKUP(A54, Configuracion!$A:$D, 4, FALSE), 0)*Tabla10[[#This Row],[CANTIDAD]]</f>
        <v>0</v>
      </c>
      <c r="I54" t="str">
        <f t="shared" si="3"/>
        <v/>
      </c>
    </row>
    <row r="55" spans="2:9" x14ac:dyDescent="0.3">
      <c r="B55" t="e">
        <f>IFERROR(VLOOKUP(A55,lunes!$A:$I,9,FALSE),VLOOKUP(A55,Configuracion!$A:$B,2,FALSE))</f>
        <v>#N/A</v>
      </c>
      <c r="E55">
        <f>IF(C55="Venta", IFERROR(VLOOKUP(A55, Configuracion!$A:$D, 3, FALSE), 0), 0)</f>
        <v>0</v>
      </c>
      <c r="F55">
        <f t="shared" si="1"/>
        <v>0</v>
      </c>
      <c r="H55">
        <f>IF(AND(G55="Gestor", A55&lt;&gt;""), VLOOKUP(A55, Configuracion!$A:$D, 4, FALSE), 0)*Tabla10[[#This Row],[CANTIDAD]]</f>
        <v>0</v>
      </c>
      <c r="I55" t="str">
        <f t="shared" si="3"/>
        <v/>
      </c>
    </row>
    <row r="56" spans="2:9" x14ac:dyDescent="0.3">
      <c r="B56" t="e">
        <f>IFERROR(VLOOKUP(A56,lunes!$A:$I,9,FALSE),VLOOKUP(A56,Configuracion!$A:$B,2,FALSE))</f>
        <v>#N/A</v>
      </c>
      <c r="E56">
        <f>IF(C56="Venta", IFERROR(VLOOKUP(A56, Configuracion!$A:$D, 3, FALSE), 0), 0)</f>
        <v>0</v>
      </c>
      <c r="F56">
        <f t="shared" si="1"/>
        <v>0</v>
      </c>
      <c r="H56">
        <f>IF(AND(G56="Gestor", A56&lt;&gt;""), VLOOKUP(A56, Configuracion!$A:$D, 4, FALSE), 0)*Tabla10[[#This Row],[CANTIDAD]]</f>
        <v>0</v>
      </c>
      <c r="I56" t="str">
        <f t="shared" si="3"/>
        <v/>
      </c>
    </row>
    <row r="57" spans="2:9" x14ac:dyDescent="0.3">
      <c r="B57" t="e">
        <f>IFERROR(VLOOKUP(A57,lunes!$A:$I,9,FALSE),VLOOKUP(A57,Configuracion!$A:$B,2,FALSE))</f>
        <v>#N/A</v>
      </c>
      <c r="E57">
        <f>IF(C57="Venta", IFERROR(VLOOKUP(A57, Configuracion!$A:$D, 3, FALSE), 0), 0)</f>
        <v>0</v>
      </c>
      <c r="F57">
        <f t="shared" si="1"/>
        <v>0</v>
      </c>
      <c r="H57">
        <f>IF(AND(G57="Gestor", A57&lt;&gt;""), VLOOKUP(A57, Configuracion!$A:$D, 4, FALSE), 0)*Tabla10[[#This Row],[CANTIDAD]]</f>
        <v>0</v>
      </c>
      <c r="I57" t="str">
        <f t="shared" si="3"/>
        <v/>
      </c>
    </row>
    <row r="58" spans="2:9" x14ac:dyDescent="0.3">
      <c r="B58" t="e">
        <f>IFERROR(VLOOKUP(A58,lunes!$A:$I,9,FALSE),VLOOKUP(A58,Configuracion!$A:$B,2,FALSE))</f>
        <v>#N/A</v>
      </c>
      <c r="E58">
        <f>IF(C58="Venta", IFERROR(VLOOKUP(A58, Configuracion!$A:$D, 3, FALSE), 0), 0)</f>
        <v>0</v>
      </c>
      <c r="F58">
        <f t="shared" si="1"/>
        <v>0</v>
      </c>
      <c r="H58">
        <f>IF(AND(G58="Gestor", A58&lt;&gt;""), VLOOKUP(A58, Configuracion!$A:$D, 4, FALSE), 0)*Tabla10[[#This Row],[CANTIDAD]]</f>
        <v>0</v>
      </c>
      <c r="I58" t="str">
        <f t="shared" si="3"/>
        <v/>
      </c>
    </row>
    <row r="59" spans="2:9" x14ac:dyDescent="0.3">
      <c r="B59" t="e">
        <f>IFERROR(VLOOKUP(A59,lunes!$A:$I,9,FALSE),VLOOKUP(A59,Configuracion!$A:$B,2,FALSE))</f>
        <v>#N/A</v>
      </c>
      <c r="E59">
        <f>IF(C59="Venta", IFERROR(VLOOKUP(A59, Configuracion!$A:$D, 3, FALSE), 0), 0)</f>
        <v>0</v>
      </c>
      <c r="F59">
        <f t="shared" si="1"/>
        <v>0</v>
      </c>
      <c r="H59">
        <f>IF(AND(G59="Gestor", A59&lt;&gt;""), VLOOKUP(A59, Configuracion!$A:$D, 4, FALSE), 0)*Tabla10[[#This Row],[CANTIDAD]]</f>
        <v>0</v>
      </c>
      <c r="I59" t="str">
        <f t="shared" si="3"/>
        <v/>
      </c>
    </row>
    <row r="60" spans="2:9" x14ac:dyDescent="0.3">
      <c r="B60" t="e">
        <f>IFERROR(VLOOKUP(A60,lunes!$A:$I,9,FALSE),VLOOKUP(A60,Configuracion!$A:$B,2,FALSE))</f>
        <v>#N/A</v>
      </c>
      <c r="E60">
        <f>IF(C60="Venta", IFERROR(VLOOKUP(A60, Configuracion!$A:$D, 3, FALSE), 0), 0)</f>
        <v>0</v>
      </c>
      <c r="F60">
        <f t="shared" si="1"/>
        <v>0</v>
      </c>
      <c r="H60">
        <f>IF(AND(G60="Gestor", A60&lt;&gt;""), VLOOKUP(A60, Configuracion!$A:$D, 4, FALSE), 0)*Tabla10[[#This Row],[CANTIDAD]]</f>
        <v>0</v>
      </c>
      <c r="I60" t="str">
        <f t="shared" si="3"/>
        <v/>
      </c>
    </row>
    <row r="61" spans="2:9" x14ac:dyDescent="0.3">
      <c r="B61" t="e">
        <f>IFERROR(VLOOKUP(A61,lunes!$A:$I,9,FALSE),VLOOKUP(A61,Configuracion!$A:$B,2,FALSE))</f>
        <v>#N/A</v>
      </c>
      <c r="E61">
        <f>IF(C61="Venta", IFERROR(VLOOKUP(A61, Configuracion!$A:$D, 3, FALSE), 0), 0)</f>
        <v>0</v>
      </c>
      <c r="F61">
        <f t="shared" si="1"/>
        <v>0</v>
      </c>
      <c r="H61">
        <f>IF(AND(G61="Gestor", A61&lt;&gt;""), VLOOKUP(A61, Configuracion!$A:$D, 4, FALSE), 0)*Tabla10[[#This Row],[CANTIDAD]]</f>
        <v>0</v>
      </c>
      <c r="I61" t="str">
        <f t="shared" si="3"/>
        <v/>
      </c>
    </row>
    <row r="62" spans="2:9" x14ac:dyDescent="0.3">
      <c r="B62" t="e">
        <f>IFERROR(VLOOKUP(A62,lunes!$A:$I,9,FALSE),VLOOKUP(A62,Configuracion!$A:$B,2,FALSE))</f>
        <v>#N/A</v>
      </c>
      <c r="E62">
        <f>IF(C62="Venta", IFERROR(VLOOKUP(A62, Configuracion!$A:$D, 3, FALSE), 0), 0)</f>
        <v>0</v>
      </c>
      <c r="F62">
        <f t="shared" si="1"/>
        <v>0</v>
      </c>
      <c r="H62">
        <f>IF(AND(G62="Gestor", A62&lt;&gt;""), VLOOKUP(A62, Configuracion!$A:$D, 4, FALSE), 0)*Tabla10[[#This Row],[CANTIDAD]]</f>
        <v>0</v>
      </c>
      <c r="I62" t="str">
        <f t="shared" si="3"/>
        <v/>
      </c>
    </row>
    <row r="63" spans="2:9" x14ac:dyDescent="0.3">
      <c r="B63" t="e">
        <f>IFERROR(VLOOKUP(A63,lunes!$A:$I,9,FALSE),VLOOKUP(A63,Configuracion!$A:$B,2,FALSE))</f>
        <v>#N/A</v>
      </c>
      <c r="E63">
        <f>IF(C63="Venta", IFERROR(VLOOKUP(A63, Configuracion!$A:$D, 3, FALSE), 0), 0)</f>
        <v>0</v>
      </c>
      <c r="F63">
        <f t="shared" si="1"/>
        <v>0</v>
      </c>
      <c r="H63">
        <f>IF(AND(G63="Gestor", A63&lt;&gt;""), VLOOKUP(A63, Configuracion!$A:$D, 4, FALSE), 0)*Tabla10[[#This Row],[CANTIDAD]]</f>
        <v>0</v>
      </c>
      <c r="I63" t="str">
        <f t="shared" si="3"/>
        <v/>
      </c>
    </row>
    <row r="64" spans="2:9" x14ac:dyDescent="0.3">
      <c r="B64" t="e">
        <f>IFERROR(VLOOKUP(A64,lunes!$A:$I,9,FALSE),VLOOKUP(A64,Configuracion!$A:$B,2,FALSE))</f>
        <v>#N/A</v>
      </c>
      <c r="E64">
        <f>IF(C64="Venta", IFERROR(VLOOKUP(A64, Configuracion!$A:$D, 3, FALSE), 0), 0)</f>
        <v>0</v>
      </c>
      <c r="F64">
        <f t="shared" si="1"/>
        <v>0</v>
      </c>
      <c r="H64">
        <f>IF(AND(G64="Gestor", A64&lt;&gt;""), VLOOKUP(A64, Configuracion!$A:$D, 4, FALSE), 0)*Tabla10[[#This Row],[CANTIDAD]]</f>
        <v>0</v>
      </c>
      <c r="I64" t="str">
        <f t="shared" si="3"/>
        <v/>
      </c>
    </row>
    <row r="65" spans="2:9" x14ac:dyDescent="0.3">
      <c r="B65" t="e">
        <f>IFERROR(VLOOKUP(A65,lunes!$A:$I,9,FALSE),VLOOKUP(A65,Configuracion!$A:$B,2,FALSE))</f>
        <v>#N/A</v>
      </c>
      <c r="E65">
        <f>IF(C65="Venta", IFERROR(VLOOKUP(A65, Configuracion!$A:$D, 3, FALSE), 0), 0)</f>
        <v>0</v>
      </c>
      <c r="F65">
        <f t="shared" si="1"/>
        <v>0</v>
      </c>
      <c r="H65">
        <f>IF(AND(G65="Gestor", A65&lt;&gt;""), VLOOKUP(A65, Configuracion!$A:$D, 4, FALSE), 0)*Tabla10[[#This Row],[CANTIDAD]]</f>
        <v>0</v>
      </c>
      <c r="I65" t="str">
        <f t="shared" si="3"/>
        <v/>
      </c>
    </row>
    <row r="66" spans="2:9" x14ac:dyDescent="0.3">
      <c r="B66" t="e">
        <f>IFERROR(VLOOKUP(A66,lunes!$A:$I,9,FALSE),VLOOKUP(A66,Configuracion!$A:$B,2,FALSE))</f>
        <v>#N/A</v>
      </c>
      <c r="E66">
        <f>IF(C66="Venta", IFERROR(VLOOKUP(A66, Configuracion!$A:$D, 3, FALSE), 0), 0)</f>
        <v>0</v>
      </c>
      <c r="F66">
        <f t="shared" si="1"/>
        <v>0</v>
      </c>
      <c r="H66">
        <f>IF(AND(G66="Gestor", A66&lt;&gt;""), VLOOKUP(A66, Configuracion!$A:$D, 4, FALSE), 0)*Tabla10[[#This Row],[CANTIDAD]]</f>
        <v>0</v>
      </c>
      <c r="I66" t="str">
        <f t="shared" si="3"/>
        <v/>
      </c>
    </row>
    <row r="67" spans="2:9" x14ac:dyDescent="0.3">
      <c r="B67" t="e">
        <f>IFERROR(VLOOKUP(A67,lunes!$A:$I,9,FALSE),VLOOKUP(A67,Configuracion!$A:$B,2,FALSE))</f>
        <v>#N/A</v>
      </c>
      <c r="E67">
        <f>IF(C67="Venta", IFERROR(VLOOKUP(A67, Configuracion!$A:$D, 3, FALSE), 0), 0)</f>
        <v>0</v>
      </c>
      <c r="F67">
        <f t="shared" si="1"/>
        <v>0</v>
      </c>
      <c r="H67">
        <f>IF(AND(G67="Gestor", A67&lt;&gt;""), VLOOKUP(A67, Configuracion!$A:$D, 4, FALSE), 0)*Tabla10[[#This Row],[CANTIDAD]]</f>
        <v>0</v>
      </c>
      <c r="I67" t="str">
        <f t="shared" si="3"/>
        <v/>
      </c>
    </row>
    <row r="68" spans="2:9" x14ac:dyDescent="0.3">
      <c r="B68" t="e">
        <f>IFERROR(VLOOKUP(A68,lunes!$A:$I,9,FALSE),VLOOKUP(A68,Configuracion!$A:$B,2,FALSE))</f>
        <v>#N/A</v>
      </c>
      <c r="E68">
        <f>IF(C68="Venta", IFERROR(VLOOKUP(A68, Configuracion!$A:$D, 3, FALSE), 0), 0)</f>
        <v>0</v>
      </c>
      <c r="F68">
        <f t="shared" si="1"/>
        <v>0</v>
      </c>
      <c r="H68">
        <f>IF(AND(G68="Gestor", A68&lt;&gt;""), VLOOKUP(A68, Configuracion!$A:$D, 4, FALSE), 0)*Tabla10[[#This Row],[CANTIDAD]]</f>
        <v>0</v>
      </c>
      <c r="I68" t="str">
        <f t="shared" si="3"/>
        <v/>
      </c>
    </row>
    <row r="69" spans="2:9" x14ac:dyDescent="0.3">
      <c r="B69" t="e">
        <f>IFERROR(VLOOKUP(A69,lunes!$A:$I,9,FALSE),VLOOKUP(A69,Configuracion!$A:$B,2,FALSE))</f>
        <v>#N/A</v>
      </c>
      <c r="E69">
        <f>IF(C69="Venta", IFERROR(VLOOKUP(A69, Configuracion!$A:$D, 3, FALSE), 0), 0)</f>
        <v>0</v>
      </c>
      <c r="F69">
        <f t="shared" ref="F69:F132" si="4">E69*D69</f>
        <v>0</v>
      </c>
      <c r="H69">
        <f>IF(AND(G69="Gestor", A69&lt;&gt;""), VLOOKUP(A69, Configuracion!$A:$D, 4, FALSE), 0)*Tabla10[[#This Row],[CANTIDAD]]</f>
        <v>0</v>
      </c>
      <c r="I69" t="str">
        <f t="shared" si="3"/>
        <v/>
      </c>
    </row>
    <row r="70" spans="2:9" x14ac:dyDescent="0.3">
      <c r="B70" t="e">
        <f>IFERROR(VLOOKUP(A70,lunes!$A:$I,9,FALSE),VLOOKUP(A70,Configuracion!$A:$B,2,FALSE))</f>
        <v>#N/A</v>
      </c>
      <c r="E70">
        <f>IF(C70="Venta", IFERROR(VLOOKUP(A70, Configuracion!$A:$D, 3, FALSE), 0), 0)</f>
        <v>0</v>
      </c>
      <c r="F70">
        <f t="shared" si="4"/>
        <v>0</v>
      </c>
      <c r="H70">
        <f>IF(AND(G70="Gestor", A70&lt;&gt;""), VLOOKUP(A70, Configuracion!$A:$D, 4, FALSE), 0)*Tabla10[[#This Row],[CANTIDAD]]</f>
        <v>0</v>
      </c>
      <c r="I70" t="str">
        <f t="shared" si="3"/>
        <v/>
      </c>
    </row>
    <row r="71" spans="2:9" x14ac:dyDescent="0.3">
      <c r="B71" t="e">
        <f>IFERROR(VLOOKUP(A71,lunes!$A:$I,9,FALSE),VLOOKUP(A71,Configuracion!$A:$B,2,FALSE))</f>
        <v>#N/A</v>
      </c>
      <c r="E71">
        <f>IF(C71="Venta", IFERROR(VLOOKUP(A71, Configuracion!$A:$D, 3, FALSE), 0), 0)</f>
        <v>0</v>
      </c>
      <c r="F71">
        <f t="shared" si="4"/>
        <v>0</v>
      </c>
      <c r="H71">
        <f>IF(AND(G71="Gestor", A71&lt;&gt;""), VLOOKUP(A71, Configuracion!$A:$D, 4, FALSE), 0)*Tabla10[[#This Row],[CANTIDAD]]</f>
        <v>0</v>
      </c>
      <c r="I71" t="str">
        <f t="shared" si="3"/>
        <v/>
      </c>
    </row>
    <row r="72" spans="2:9" x14ac:dyDescent="0.3">
      <c r="B72" t="e">
        <f>IFERROR(VLOOKUP(A72,lunes!$A:$I,9,FALSE),VLOOKUP(A72,Configuracion!$A:$B,2,FALSE))</f>
        <v>#N/A</v>
      </c>
      <c r="E72">
        <f>IF(C72="Venta", IFERROR(VLOOKUP(A72, Configuracion!$A:$D, 3, FALSE), 0), 0)</f>
        <v>0</v>
      </c>
      <c r="F72">
        <f t="shared" si="4"/>
        <v>0</v>
      </c>
      <c r="H72">
        <f>IF(AND(G72="Gestor", A72&lt;&gt;""), VLOOKUP(A72, Configuracion!$A:$D, 4, FALSE), 0)*Tabla10[[#This Row],[CANTIDAD]]</f>
        <v>0</v>
      </c>
      <c r="I72" t="str">
        <f t="shared" si="3"/>
        <v/>
      </c>
    </row>
    <row r="73" spans="2:9" x14ac:dyDescent="0.3">
      <c r="B73" t="e">
        <f>IFERROR(VLOOKUP(A73,lunes!$A:$I,9,FALSE),VLOOKUP(A73,Configuracion!$A:$B,2,FALSE))</f>
        <v>#N/A</v>
      </c>
      <c r="E73">
        <f>IF(C73="Venta", IFERROR(VLOOKUP(A73, Configuracion!$A:$D, 3, FALSE), 0), 0)</f>
        <v>0</v>
      </c>
      <c r="F73">
        <f t="shared" si="4"/>
        <v>0</v>
      </c>
      <c r="H73">
        <f>IF(AND(G73="Gestor", A73&lt;&gt;""), VLOOKUP(A73, Configuracion!$A:$D, 4, FALSE), 0)*Tabla10[[#This Row],[CANTIDAD]]</f>
        <v>0</v>
      </c>
      <c r="I73" t="str">
        <f t="shared" si="3"/>
        <v/>
      </c>
    </row>
    <row r="74" spans="2:9" x14ac:dyDescent="0.3">
      <c r="B74" t="e">
        <f>IFERROR(VLOOKUP(A74,lunes!$A:$I,9,FALSE),VLOOKUP(A74,Configuracion!$A:$B,2,FALSE))</f>
        <v>#N/A</v>
      </c>
      <c r="E74">
        <f>IF(C74="Venta", IFERROR(VLOOKUP(A74, Configuracion!$A:$D, 3, FALSE), 0), 0)</f>
        <v>0</v>
      </c>
      <c r="F74">
        <f t="shared" si="4"/>
        <v>0</v>
      </c>
      <c r="H74">
        <f>IF(AND(G74="Gestor", A74&lt;&gt;""), VLOOKUP(A74, Configuracion!$A:$D, 4, FALSE), 0)*Tabla10[[#This Row],[CANTIDAD]]</f>
        <v>0</v>
      </c>
      <c r="I74" t="str">
        <f t="shared" si="3"/>
        <v/>
      </c>
    </row>
    <row r="75" spans="2:9" x14ac:dyDescent="0.3">
      <c r="B75" t="e">
        <f>IFERROR(VLOOKUP(A75,lunes!$A:$I,9,FALSE),VLOOKUP(A75,Configuracion!$A:$B,2,FALSE))</f>
        <v>#N/A</v>
      </c>
      <c r="E75">
        <f>IF(C75="Venta", IFERROR(VLOOKUP(A75, Configuracion!$A:$D, 3, FALSE), 0), 0)</f>
        <v>0</v>
      </c>
      <c r="F75">
        <f t="shared" si="4"/>
        <v>0</v>
      </c>
      <c r="H75">
        <f>IF(AND(G75="Gestor", A75&lt;&gt;""), VLOOKUP(A75, Configuracion!$A:$D, 4, FALSE), 0)*Tabla10[[#This Row],[CANTIDAD]]</f>
        <v>0</v>
      </c>
      <c r="I75" t="str">
        <f t="shared" si="3"/>
        <v/>
      </c>
    </row>
    <row r="76" spans="2:9" x14ac:dyDescent="0.3">
      <c r="B76" t="e">
        <f>IFERROR(VLOOKUP(A76,lunes!$A:$I,9,FALSE),VLOOKUP(A76,Configuracion!$A:$B,2,FALSE))</f>
        <v>#N/A</v>
      </c>
      <c r="E76">
        <f>IF(C76="Venta", IFERROR(VLOOKUP(A76, Configuracion!$A:$D, 3, FALSE), 0), 0)</f>
        <v>0</v>
      </c>
      <c r="F76">
        <f t="shared" si="4"/>
        <v>0</v>
      </c>
      <c r="H76">
        <f>IF(AND(G76="Gestor", A76&lt;&gt;""), VLOOKUP(A76, Configuracion!$A:$D, 4, FALSE), 0)*Tabla10[[#This Row],[CANTIDAD]]</f>
        <v>0</v>
      </c>
      <c r="I76" t="str">
        <f t="shared" si="3"/>
        <v/>
      </c>
    </row>
    <row r="77" spans="2:9" x14ac:dyDescent="0.3">
      <c r="B77" t="e">
        <f>IFERROR(VLOOKUP(A77,lunes!$A:$I,9,FALSE),VLOOKUP(A77,Configuracion!$A:$B,2,FALSE))</f>
        <v>#N/A</v>
      </c>
      <c r="E77">
        <f>IF(C77="Venta", IFERROR(VLOOKUP(A77, Configuracion!$A:$D, 3, FALSE), 0), 0)</f>
        <v>0</v>
      </c>
      <c r="F77">
        <f t="shared" si="4"/>
        <v>0</v>
      </c>
      <c r="H77">
        <f>IF(AND(G77="Gestor", A77&lt;&gt;""), VLOOKUP(A77, Configuracion!$A:$D, 4, FALSE), 0)*Tabla10[[#This Row],[CANTIDAD]]</f>
        <v>0</v>
      </c>
      <c r="I77" t="str">
        <f t="shared" si="3"/>
        <v/>
      </c>
    </row>
    <row r="78" spans="2:9" x14ac:dyDescent="0.3">
      <c r="B78" t="e">
        <f>IFERROR(VLOOKUP(A78,lunes!$A:$I,9,FALSE),VLOOKUP(A78,Configuracion!$A:$B,2,FALSE))</f>
        <v>#N/A</v>
      </c>
      <c r="E78">
        <f>IF(C78="Venta", IFERROR(VLOOKUP(A78, Configuracion!$A:$D, 3, FALSE), 0), 0)</f>
        <v>0</v>
      </c>
      <c r="F78">
        <f t="shared" si="4"/>
        <v>0</v>
      </c>
      <c r="H78">
        <f>IF(AND(G78="Gestor", A78&lt;&gt;""), VLOOKUP(A78, Configuracion!$A:$D, 4, FALSE), 0)*Tabla10[[#This Row],[CANTIDAD]]</f>
        <v>0</v>
      </c>
      <c r="I78" t="str">
        <f t="shared" si="3"/>
        <v/>
      </c>
    </row>
    <row r="79" spans="2:9" x14ac:dyDescent="0.3">
      <c r="B79" t="e">
        <f>IFERROR(VLOOKUP(A79,lunes!$A:$I,9,FALSE),VLOOKUP(A79,Configuracion!$A:$B,2,FALSE))</f>
        <v>#N/A</v>
      </c>
      <c r="E79">
        <f>IF(C79="Venta", IFERROR(VLOOKUP(A79, Configuracion!$A:$D, 3, FALSE), 0), 0)</f>
        <v>0</v>
      </c>
      <c r="F79">
        <f t="shared" si="4"/>
        <v>0</v>
      </c>
      <c r="H79">
        <f>IF(AND(G79="Gestor", A79&lt;&gt;""), VLOOKUP(A79, Configuracion!$A:$D, 4, FALSE), 0)*Tabla10[[#This Row],[CANTIDAD]]</f>
        <v>0</v>
      </c>
      <c r="I79" t="str">
        <f t="shared" si="3"/>
        <v/>
      </c>
    </row>
    <row r="80" spans="2:9" x14ac:dyDescent="0.3">
      <c r="B80" t="e">
        <f>IFERROR(VLOOKUP(A80,lunes!$A:$I,9,FALSE),VLOOKUP(A80,Configuracion!$A:$B,2,FALSE))</f>
        <v>#N/A</v>
      </c>
      <c r="E80">
        <f>IF(C80="Venta", IFERROR(VLOOKUP(A80, Configuracion!$A:$D, 3, FALSE), 0), 0)</f>
        <v>0</v>
      </c>
      <c r="F80">
        <f t="shared" si="4"/>
        <v>0</v>
      </c>
      <c r="H80">
        <f>IF(AND(G80="Gestor", A80&lt;&gt;""), VLOOKUP(A80, Configuracion!$A:$D, 4, FALSE), 0)*Tabla10[[#This Row],[CANTIDAD]]</f>
        <v>0</v>
      </c>
      <c r="I80" t="str">
        <f t="shared" si="3"/>
        <v/>
      </c>
    </row>
    <row r="81" spans="2:9" x14ac:dyDescent="0.3">
      <c r="B81" t="e">
        <f>IFERROR(VLOOKUP(A81,lunes!$A:$I,9,FALSE),VLOOKUP(A81,Configuracion!$A:$B,2,FALSE))</f>
        <v>#N/A</v>
      </c>
      <c r="E81">
        <f>IF(C81="Venta", IFERROR(VLOOKUP(A81, Configuracion!$A:$D, 3, FALSE), 0), 0)</f>
        <v>0</v>
      </c>
      <c r="F81">
        <f t="shared" si="4"/>
        <v>0</v>
      </c>
      <c r="H81">
        <f>IF(AND(G81="Gestor", A81&lt;&gt;""), VLOOKUP(A81, Configuracion!$A:$D, 4, FALSE), 0)*Tabla10[[#This Row],[CANTIDAD]]</f>
        <v>0</v>
      </c>
      <c r="I81" t="str">
        <f t="shared" ref="I81:I112" si="5">IF(OR(A81="", D81=""), "", IF(C81="Entrada", B81+D81, IF(OR(C81="Venta", C81="Salida"), B81-D81, B81)))</f>
        <v/>
      </c>
    </row>
    <row r="82" spans="2:9" x14ac:dyDescent="0.3">
      <c r="B82" t="e">
        <f>IFERROR(VLOOKUP(A82,lunes!$A:$I,9,FALSE),VLOOKUP(A82,Configuracion!$A:$B,2,FALSE))</f>
        <v>#N/A</v>
      </c>
      <c r="E82">
        <f>IF(C82="Venta", IFERROR(VLOOKUP(A82, Configuracion!$A:$D, 3, FALSE), 0), 0)</f>
        <v>0</v>
      </c>
      <c r="F82">
        <f t="shared" si="4"/>
        <v>0</v>
      </c>
      <c r="H82">
        <f>IF(AND(G82="Gestor", A82&lt;&gt;""), VLOOKUP(A82, Configuracion!$A:$D, 4, FALSE), 0)*Tabla10[[#This Row],[CANTIDAD]]</f>
        <v>0</v>
      </c>
      <c r="I82" t="str">
        <f t="shared" si="5"/>
        <v/>
      </c>
    </row>
    <row r="83" spans="2:9" x14ac:dyDescent="0.3">
      <c r="B83" t="e">
        <f>IFERROR(VLOOKUP(A83,lunes!$A:$I,9,FALSE),VLOOKUP(A83,Configuracion!$A:$B,2,FALSE))</f>
        <v>#N/A</v>
      </c>
      <c r="E83">
        <f>IF(C83="Venta", IFERROR(VLOOKUP(A83, Configuracion!$A:$D, 3, FALSE), 0), 0)</f>
        <v>0</v>
      </c>
      <c r="F83">
        <f t="shared" si="4"/>
        <v>0</v>
      </c>
      <c r="H83">
        <f>IF(AND(G83="Gestor", A83&lt;&gt;""), VLOOKUP(A83, Configuracion!$A:$D, 4, FALSE), 0)*Tabla10[[#This Row],[CANTIDAD]]</f>
        <v>0</v>
      </c>
      <c r="I83" t="str">
        <f t="shared" si="5"/>
        <v/>
      </c>
    </row>
    <row r="84" spans="2:9" x14ac:dyDescent="0.3">
      <c r="B84" t="e">
        <f>IFERROR(VLOOKUP(A84,lunes!$A:$I,9,FALSE),VLOOKUP(A84,Configuracion!$A:$B,2,FALSE))</f>
        <v>#N/A</v>
      </c>
      <c r="E84">
        <f>IF(C84="Venta", IFERROR(VLOOKUP(A84, Configuracion!$A:$D, 3, FALSE), 0), 0)</f>
        <v>0</v>
      </c>
      <c r="F84">
        <f t="shared" si="4"/>
        <v>0</v>
      </c>
      <c r="H84">
        <f>IF(AND(G84="Gestor", A84&lt;&gt;""), VLOOKUP(A84, Configuracion!$A:$D, 4, FALSE), 0)*Tabla10[[#This Row],[CANTIDAD]]</f>
        <v>0</v>
      </c>
      <c r="I84" t="str">
        <f t="shared" si="5"/>
        <v/>
      </c>
    </row>
    <row r="85" spans="2:9" x14ac:dyDescent="0.3">
      <c r="B85" t="e">
        <f>IFERROR(VLOOKUP(A85,lunes!$A:$I,9,FALSE),VLOOKUP(A85,Configuracion!$A:$B,2,FALSE))</f>
        <v>#N/A</v>
      </c>
      <c r="E85">
        <f>IF(C85="Venta", IFERROR(VLOOKUP(A85, Configuracion!$A:$D, 3, FALSE), 0), 0)</f>
        <v>0</v>
      </c>
      <c r="F85">
        <f t="shared" si="4"/>
        <v>0</v>
      </c>
      <c r="H85">
        <f>IF(AND(G85="Gestor", A85&lt;&gt;""), VLOOKUP(A85, Configuracion!$A:$D, 4, FALSE), 0)*Tabla10[[#This Row],[CANTIDAD]]</f>
        <v>0</v>
      </c>
      <c r="I85" t="str">
        <f t="shared" si="5"/>
        <v/>
      </c>
    </row>
    <row r="86" spans="2:9" x14ac:dyDescent="0.3">
      <c r="B86" t="e">
        <f>IFERROR(VLOOKUP(A86,lunes!$A:$I,9,FALSE),VLOOKUP(A86,Configuracion!$A:$B,2,FALSE))</f>
        <v>#N/A</v>
      </c>
      <c r="E86">
        <f>IF(C86="Venta", IFERROR(VLOOKUP(A86, Configuracion!$A:$D, 3, FALSE), 0), 0)</f>
        <v>0</v>
      </c>
      <c r="F86">
        <f t="shared" si="4"/>
        <v>0</v>
      </c>
      <c r="H86">
        <f>IF(AND(G86="Gestor", A86&lt;&gt;""), VLOOKUP(A86, Configuracion!$A:$D, 4, FALSE), 0)*Tabla10[[#This Row],[CANTIDAD]]</f>
        <v>0</v>
      </c>
      <c r="I86" t="str">
        <f t="shared" si="5"/>
        <v/>
      </c>
    </row>
    <row r="87" spans="2:9" x14ac:dyDescent="0.3">
      <c r="B87" t="e">
        <f>IFERROR(VLOOKUP(A87,lunes!$A:$I,9,FALSE),VLOOKUP(A87,Configuracion!$A:$B,2,FALSE))</f>
        <v>#N/A</v>
      </c>
      <c r="E87">
        <f>IF(C87="Venta", IFERROR(VLOOKUP(A87, Configuracion!$A:$D, 3, FALSE), 0), 0)</f>
        <v>0</v>
      </c>
      <c r="F87">
        <f t="shared" si="4"/>
        <v>0</v>
      </c>
      <c r="H87">
        <f>IF(AND(G87="Gestor", A87&lt;&gt;""), VLOOKUP(A87, Configuracion!$A:$D, 4, FALSE), 0)*Tabla10[[#This Row],[CANTIDAD]]</f>
        <v>0</v>
      </c>
      <c r="I87" t="str">
        <f t="shared" si="5"/>
        <v/>
      </c>
    </row>
    <row r="88" spans="2:9" x14ac:dyDescent="0.3">
      <c r="B88" t="e">
        <f>IFERROR(VLOOKUP(A88,lunes!$A:$I,9,FALSE),VLOOKUP(A88,Configuracion!$A:$B,2,FALSE))</f>
        <v>#N/A</v>
      </c>
      <c r="E88">
        <f>IF(C88="Venta", IFERROR(VLOOKUP(A88, Configuracion!$A:$D, 3, FALSE), 0), 0)</f>
        <v>0</v>
      </c>
      <c r="F88">
        <f t="shared" si="4"/>
        <v>0</v>
      </c>
      <c r="H88">
        <f>IF(AND(G88="Gestor", A88&lt;&gt;""), VLOOKUP(A88, Configuracion!$A:$D, 4, FALSE), 0)*Tabla10[[#This Row],[CANTIDAD]]</f>
        <v>0</v>
      </c>
      <c r="I88" t="str">
        <f t="shared" si="5"/>
        <v/>
      </c>
    </row>
    <row r="89" spans="2:9" x14ac:dyDescent="0.3">
      <c r="B89" t="e">
        <f>IFERROR(VLOOKUP(A89,lunes!$A:$I,9,FALSE),VLOOKUP(A89,Configuracion!$A:$B,2,FALSE))</f>
        <v>#N/A</v>
      </c>
      <c r="E89">
        <f>IF(C89="Venta", IFERROR(VLOOKUP(A89, Configuracion!$A:$D, 3, FALSE), 0), 0)</f>
        <v>0</v>
      </c>
      <c r="F89">
        <f t="shared" si="4"/>
        <v>0</v>
      </c>
      <c r="H89">
        <f>IF(AND(G89="Gestor", A89&lt;&gt;""), VLOOKUP(A89, Configuracion!$A:$D, 4, FALSE), 0)*Tabla10[[#This Row],[CANTIDAD]]</f>
        <v>0</v>
      </c>
      <c r="I89" t="str">
        <f t="shared" si="5"/>
        <v/>
      </c>
    </row>
    <row r="90" spans="2:9" x14ac:dyDescent="0.3">
      <c r="B90" t="e">
        <f>IFERROR(VLOOKUP(A90,lunes!$A:$I,9,FALSE),VLOOKUP(A90,Configuracion!$A:$B,2,FALSE))</f>
        <v>#N/A</v>
      </c>
      <c r="E90">
        <f>IF(C90="Venta", IFERROR(VLOOKUP(A90, Configuracion!$A:$D, 3, FALSE), 0), 0)</f>
        <v>0</v>
      </c>
      <c r="F90">
        <f t="shared" si="4"/>
        <v>0</v>
      </c>
      <c r="H90">
        <f>IF(AND(G90="Gestor", A90&lt;&gt;""), VLOOKUP(A90, Configuracion!$A:$D, 4, FALSE), 0)*Tabla10[[#This Row],[CANTIDAD]]</f>
        <v>0</v>
      </c>
      <c r="I90" t="str">
        <f t="shared" si="5"/>
        <v/>
      </c>
    </row>
    <row r="91" spans="2:9" x14ac:dyDescent="0.3">
      <c r="B91" t="e">
        <f>IFERROR(VLOOKUP(A91,lunes!$A:$I,9,FALSE),VLOOKUP(A91,Configuracion!$A:$B,2,FALSE))</f>
        <v>#N/A</v>
      </c>
      <c r="E91">
        <f>IF(C91="Venta", IFERROR(VLOOKUP(A91, Configuracion!$A:$D, 3, FALSE), 0), 0)</f>
        <v>0</v>
      </c>
      <c r="F91">
        <f t="shared" si="4"/>
        <v>0</v>
      </c>
      <c r="H91">
        <f>IF(AND(G91="Gestor", A91&lt;&gt;""), VLOOKUP(A91, Configuracion!$A:$D, 4, FALSE), 0)*Tabla10[[#This Row],[CANTIDAD]]</f>
        <v>0</v>
      </c>
      <c r="I91" t="str">
        <f t="shared" si="5"/>
        <v/>
      </c>
    </row>
    <row r="92" spans="2:9" x14ac:dyDescent="0.3">
      <c r="B92" t="e">
        <f>IFERROR(VLOOKUP(A92,lunes!$A:$I,9,FALSE),VLOOKUP(A92,Configuracion!$A:$B,2,FALSE))</f>
        <v>#N/A</v>
      </c>
      <c r="E92">
        <f>IF(C92="Venta", IFERROR(VLOOKUP(A92, Configuracion!$A:$D, 3, FALSE), 0), 0)</f>
        <v>0</v>
      </c>
      <c r="F92">
        <f t="shared" si="4"/>
        <v>0</v>
      </c>
      <c r="H92">
        <f>IF(AND(G92="Gestor", A92&lt;&gt;""), VLOOKUP(A92, Configuracion!$A:$D, 4, FALSE), 0)*Tabla10[[#This Row],[CANTIDAD]]</f>
        <v>0</v>
      </c>
      <c r="I92" t="str">
        <f t="shared" si="5"/>
        <v/>
      </c>
    </row>
    <row r="93" spans="2:9" x14ac:dyDescent="0.3">
      <c r="B93" t="e">
        <f>IFERROR(VLOOKUP(A93,lunes!$A:$I,9,FALSE),VLOOKUP(A93,Configuracion!$A:$B,2,FALSE))</f>
        <v>#N/A</v>
      </c>
      <c r="E93">
        <f>IF(C93="Venta", IFERROR(VLOOKUP(A93, Configuracion!$A:$D, 3, FALSE), 0), 0)</f>
        <v>0</v>
      </c>
      <c r="F93">
        <f t="shared" si="4"/>
        <v>0</v>
      </c>
      <c r="H93">
        <f>IF(AND(G93="Gestor", A93&lt;&gt;""), VLOOKUP(A93, Configuracion!$A:$D, 4, FALSE), 0)*Tabla10[[#This Row],[CANTIDAD]]</f>
        <v>0</v>
      </c>
      <c r="I93" t="str">
        <f t="shared" si="5"/>
        <v/>
      </c>
    </row>
    <row r="94" spans="2:9" x14ac:dyDescent="0.3">
      <c r="B94" t="e">
        <f>IFERROR(VLOOKUP(A94,lunes!$A:$I,9,FALSE),VLOOKUP(A94,Configuracion!$A:$B,2,FALSE))</f>
        <v>#N/A</v>
      </c>
      <c r="E94">
        <f>IF(C94="Venta", IFERROR(VLOOKUP(A94, Configuracion!$A:$D, 3, FALSE), 0), 0)</f>
        <v>0</v>
      </c>
      <c r="F94">
        <f t="shared" si="4"/>
        <v>0</v>
      </c>
      <c r="H94">
        <f>IF(AND(G94="Gestor", A94&lt;&gt;""), VLOOKUP(A94, Configuracion!$A:$D, 4, FALSE), 0)*Tabla10[[#This Row],[CANTIDAD]]</f>
        <v>0</v>
      </c>
      <c r="I94" t="str">
        <f t="shared" si="5"/>
        <v/>
      </c>
    </row>
    <row r="95" spans="2:9" x14ac:dyDescent="0.3">
      <c r="B95" t="e">
        <f>IFERROR(VLOOKUP(A95,lunes!$A:$I,9,FALSE),VLOOKUP(A95,Configuracion!$A:$B,2,FALSE))</f>
        <v>#N/A</v>
      </c>
      <c r="E95">
        <f>IF(C95="Venta", IFERROR(VLOOKUP(A95, Configuracion!$A:$D, 3, FALSE), 0), 0)</f>
        <v>0</v>
      </c>
      <c r="F95">
        <f t="shared" si="4"/>
        <v>0</v>
      </c>
      <c r="H95">
        <f>IF(AND(G95="Gestor", A95&lt;&gt;""), VLOOKUP(A95, Configuracion!$A:$D, 4, FALSE), 0)*Tabla10[[#This Row],[CANTIDAD]]</f>
        <v>0</v>
      </c>
      <c r="I95" t="str">
        <f t="shared" si="5"/>
        <v/>
      </c>
    </row>
    <row r="96" spans="2:9" x14ac:dyDescent="0.3">
      <c r="B96" t="e">
        <f>IFERROR(VLOOKUP(A96,lunes!$A:$I,9,FALSE),VLOOKUP(A96,Configuracion!$A:$B,2,FALSE))</f>
        <v>#N/A</v>
      </c>
      <c r="E96">
        <f>IF(C96="Venta", IFERROR(VLOOKUP(A96, Configuracion!$A:$D, 3, FALSE), 0), 0)</f>
        <v>0</v>
      </c>
      <c r="F96">
        <f t="shared" si="4"/>
        <v>0</v>
      </c>
      <c r="H96">
        <f>IF(AND(G96="Gestor", A96&lt;&gt;""), VLOOKUP(A96, Configuracion!$A:$D, 4, FALSE), 0)*Tabla10[[#This Row],[CANTIDAD]]</f>
        <v>0</v>
      </c>
      <c r="I96" t="str">
        <f t="shared" si="5"/>
        <v/>
      </c>
    </row>
    <row r="97" spans="2:9" x14ac:dyDescent="0.3">
      <c r="B97" t="e">
        <f>IFERROR(VLOOKUP(A97,lunes!$A:$I,9,FALSE),VLOOKUP(A97,Configuracion!$A:$B,2,FALSE))</f>
        <v>#N/A</v>
      </c>
      <c r="E97">
        <f>IF(C97="Venta", IFERROR(VLOOKUP(A97, Configuracion!$A:$D, 3, FALSE), 0), 0)</f>
        <v>0</v>
      </c>
      <c r="F97">
        <f t="shared" si="4"/>
        <v>0</v>
      </c>
      <c r="H97">
        <f>IF(AND(G97="Gestor", A97&lt;&gt;""), VLOOKUP(A97, Configuracion!$A:$D, 4, FALSE), 0)*Tabla10[[#This Row],[CANTIDAD]]</f>
        <v>0</v>
      </c>
      <c r="I97" t="str">
        <f t="shared" si="5"/>
        <v/>
      </c>
    </row>
    <row r="98" spans="2:9" x14ac:dyDescent="0.3">
      <c r="B98" t="e">
        <f>IFERROR(VLOOKUP(A98,lunes!$A:$I,9,FALSE),VLOOKUP(A98,Configuracion!$A:$B,2,FALSE))</f>
        <v>#N/A</v>
      </c>
      <c r="E98">
        <f>IF(C98="Venta", IFERROR(VLOOKUP(A98, Configuracion!$A:$D, 3, FALSE), 0), 0)</f>
        <v>0</v>
      </c>
      <c r="F98">
        <f t="shared" si="4"/>
        <v>0</v>
      </c>
      <c r="H98">
        <f>IF(AND(G98="Gestor", A98&lt;&gt;""), VLOOKUP(A98, Configuracion!$A:$D, 4, FALSE), 0)*Tabla10[[#This Row],[CANTIDAD]]</f>
        <v>0</v>
      </c>
      <c r="I98" t="str">
        <f t="shared" si="5"/>
        <v/>
      </c>
    </row>
    <row r="99" spans="2:9" x14ac:dyDescent="0.3">
      <c r="B99" t="e">
        <f>IFERROR(VLOOKUP(A99,lunes!$A:$I,9,FALSE),VLOOKUP(A99,Configuracion!$A:$B,2,FALSE))</f>
        <v>#N/A</v>
      </c>
      <c r="E99">
        <f>IF(C99="Venta", IFERROR(VLOOKUP(A99, Configuracion!$A:$D, 3, FALSE), 0), 0)</f>
        <v>0</v>
      </c>
      <c r="F99">
        <f t="shared" si="4"/>
        <v>0</v>
      </c>
      <c r="H99">
        <f>IF(AND(G99="Gestor", A99&lt;&gt;""), VLOOKUP(A99, Configuracion!$A:$D, 4, FALSE), 0)*Tabla10[[#This Row],[CANTIDAD]]</f>
        <v>0</v>
      </c>
      <c r="I99" t="str">
        <f t="shared" si="5"/>
        <v/>
      </c>
    </row>
    <row r="100" spans="2:9" x14ac:dyDescent="0.3">
      <c r="B100" t="e">
        <f>IFERROR(VLOOKUP(A100,lunes!$A:$I,9,FALSE),VLOOKUP(A100,Configuracion!$A:$B,2,FALSE))</f>
        <v>#N/A</v>
      </c>
      <c r="E100">
        <f>IF(C100="Venta", IFERROR(VLOOKUP(A100, Configuracion!$A:$D, 3, FALSE), 0), 0)</f>
        <v>0</v>
      </c>
      <c r="F100">
        <f t="shared" si="4"/>
        <v>0</v>
      </c>
      <c r="H100">
        <f>IF(AND(G100="Gestor", A100&lt;&gt;""), VLOOKUP(A100, Configuracion!$A:$D, 4, FALSE), 0)*Tabla10[[#This Row],[CANTIDAD]]</f>
        <v>0</v>
      </c>
      <c r="I100" t="str">
        <f t="shared" si="5"/>
        <v/>
      </c>
    </row>
    <row r="101" spans="2:9" x14ac:dyDescent="0.3">
      <c r="B101" t="e">
        <f>IFERROR(VLOOKUP(A101,lunes!$A:$I,9,FALSE),VLOOKUP(A101,Configuracion!$A:$B,2,FALSE))</f>
        <v>#N/A</v>
      </c>
      <c r="E101">
        <f>IF(C101="Venta", IFERROR(VLOOKUP(A101, Configuracion!$A:$D, 3, FALSE), 0), 0)</f>
        <v>0</v>
      </c>
      <c r="F101">
        <f t="shared" si="4"/>
        <v>0</v>
      </c>
      <c r="H101">
        <f>IF(AND(G101="Gestor", A101&lt;&gt;""), VLOOKUP(A101, Configuracion!$A:$D, 4, FALSE), 0)*Tabla10[[#This Row],[CANTIDAD]]</f>
        <v>0</v>
      </c>
      <c r="I101" t="str">
        <f t="shared" si="5"/>
        <v/>
      </c>
    </row>
    <row r="102" spans="2:9" x14ac:dyDescent="0.3">
      <c r="B102" t="e">
        <f>IFERROR(VLOOKUP(A102,lunes!$A:$I,9,FALSE),VLOOKUP(A102,Configuracion!$A:$B,2,FALSE))</f>
        <v>#N/A</v>
      </c>
      <c r="E102">
        <f>IF(C102="Venta", IFERROR(VLOOKUP(A102, Configuracion!$A:$D, 3, FALSE), 0), 0)</f>
        <v>0</v>
      </c>
      <c r="F102">
        <f t="shared" si="4"/>
        <v>0</v>
      </c>
      <c r="H102">
        <f>IF(AND(G102="Gestor", A102&lt;&gt;""), VLOOKUP(A102, Configuracion!$A:$D, 4, FALSE), 0)*Tabla10[[#This Row],[CANTIDAD]]</f>
        <v>0</v>
      </c>
      <c r="I102" t="str">
        <f t="shared" si="5"/>
        <v/>
      </c>
    </row>
    <row r="103" spans="2:9" x14ac:dyDescent="0.3">
      <c r="B103" t="e">
        <f>IFERROR(VLOOKUP(A103,lunes!$A:$I,9,FALSE),VLOOKUP(A103,Configuracion!$A:$B,2,FALSE))</f>
        <v>#N/A</v>
      </c>
      <c r="E103">
        <f>IF(C103="Venta", IFERROR(VLOOKUP(A103, Configuracion!$A:$D, 3, FALSE), 0), 0)</f>
        <v>0</v>
      </c>
      <c r="F103">
        <f t="shared" si="4"/>
        <v>0</v>
      </c>
      <c r="H103">
        <f>IF(AND(G103="Gestor", A103&lt;&gt;""), VLOOKUP(A103, Configuracion!$A:$D, 4, FALSE), 0)*Tabla10[[#This Row],[CANTIDAD]]</f>
        <v>0</v>
      </c>
      <c r="I103" t="str">
        <f t="shared" si="5"/>
        <v/>
      </c>
    </row>
    <row r="104" spans="2:9" x14ac:dyDescent="0.3">
      <c r="B104" t="e">
        <f>IFERROR(VLOOKUP(A104,lunes!$A:$I,9,FALSE),VLOOKUP(A104,Configuracion!$A:$B,2,FALSE))</f>
        <v>#N/A</v>
      </c>
      <c r="E104">
        <f>IF(C104="Venta", IFERROR(VLOOKUP(A104, Configuracion!$A:$D, 3, FALSE), 0), 0)</f>
        <v>0</v>
      </c>
      <c r="F104">
        <f t="shared" si="4"/>
        <v>0</v>
      </c>
      <c r="H104">
        <f>IF(AND(G104="Gestor", A104&lt;&gt;""), VLOOKUP(A104, Configuracion!$A:$D, 4, FALSE), 0)*Tabla10[[#This Row],[CANTIDAD]]</f>
        <v>0</v>
      </c>
      <c r="I104" t="str">
        <f t="shared" si="5"/>
        <v/>
      </c>
    </row>
    <row r="105" spans="2:9" x14ac:dyDescent="0.3">
      <c r="B105" t="e">
        <f>IFERROR(VLOOKUP(A105,lunes!$A:$I,9,FALSE),VLOOKUP(A105,Configuracion!$A:$B,2,FALSE))</f>
        <v>#N/A</v>
      </c>
      <c r="E105">
        <f>IF(C105="Venta", IFERROR(VLOOKUP(A105, Configuracion!$A:$D, 3, FALSE), 0), 0)</f>
        <v>0</v>
      </c>
      <c r="F105">
        <f t="shared" si="4"/>
        <v>0</v>
      </c>
      <c r="H105">
        <f>IF(AND(G105="Gestor", A105&lt;&gt;""), VLOOKUP(A105, Configuracion!$A:$D, 4, FALSE), 0)*Tabla10[[#This Row],[CANTIDAD]]</f>
        <v>0</v>
      </c>
      <c r="I105" t="str">
        <f t="shared" si="5"/>
        <v/>
      </c>
    </row>
    <row r="106" spans="2:9" x14ac:dyDescent="0.3">
      <c r="B106" t="e">
        <f>IFERROR(VLOOKUP(A106,lunes!$A:$I,9,FALSE),VLOOKUP(A106,Configuracion!$A:$B,2,FALSE))</f>
        <v>#N/A</v>
      </c>
      <c r="E106">
        <f>IF(C106="Venta", IFERROR(VLOOKUP(A106, Configuracion!$A:$D, 3, FALSE), 0), 0)</f>
        <v>0</v>
      </c>
      <c r="F106">
        <f t="shared" si="4"/>
        <v>0</v>
      </c>
      <c r="H106">
        <f>IF(AND(G106="Gestor", A106&lt;&gt;""), VLOOKUP(A106, Configuracion!$A:$D, 4, FALSE), 0)*Tabla10[[#This Row],[CANTIDAD]]</f>
        <v>0</v>
      </c>
      <c r="I106" t="str">
        <f t="shared" si="5"/>
        <v/>
      </c>
    </row>
    <row r="107" spans="2:9" x14ac:dyDescent="0.3">
      <c r="B107" t="e">
        <f>IFERROR(VLOOKUP(A107,lunes!$A:$I,9,FALSE),VLOOKUP(A107,Configuracion!$A:$B,2,FALSE))</f>
        <v>#N/A</v>
      </c>
      <c r="E107">
        <f>IF(C107="Venta", IFERROR(VLOOKUP(A107, Configuracion!$A:$D, 3, FALSE), 0), 0)</f>
        <v>0</v>
      </c>
      <c r="F107">
        <f t="shared" si="4"/>
        <v>0</v>
      </c>
      <c r="H107">
        <f>IF(AND(G107="Gestor", A107&lt;&gt;""), VLOOKUP(A107, Configuracion!$A:$D, 4, FALSE), 0)*Tabla10[[#This Row],[CANTIDAD]]</f>
        <v>0</v>
      </c>
      <c r="I107" t="str">
        <f t="shared" si="5"/>
        <v/>
      </c>
    </row>
    <row r="108" spans="2:9" x14ac:dyDescent="0.3">
      <c r="B108" t="e">
        <f>IFERROR(VLOOKUP(A108,lunes!$A:$I,9,FALSE),VLOOKUP(A108,Configuracion!$A:$B,2,FALSE))</f>
        <v>#N/A</v>
      </c>
      <c r="E108">
        <f>IF(C108="Venta", IFERROR(VLOOKUP(A108, Configuracion!$A:$D, 3, FALSE), 0), 0)</f>
        <v>0</v>
      </c>
      <c r="F108">
        <f t="shared" si="4"/>
        <v>0</v>
      </c>
      <c r="H108">
        <f>IF(AND(G108="Gestor", A108&lt;&gt;""), VLOOKUP(A108, Configuracion!$A:$D, 4, FALSE), 0)*Tabla10[[#This Row],[CANTIDAD]]</f>
        <v>0</v>
      </c>
      <c r="I108" t="str">
        <f t="shared" si="5"/>
        <v/>
      </c>
    </row>
    <row r="109" spans="2:9" x14ac:dyDescent="0.3">
      <c r="B109" t="e">
        <f>IFERROR(VLOOKUP(A109,lunes!$A:$I,9,FALSE),VLOOKUP(A109,Configuracion!$A:$B,2,FALSE))</f>
        <v>#N/A</v>
      </c>
      <c r="E109">
        <f>IF(C109="Venta", IFERROR(VLOOKUP(A109, Configuracion!$A:$D, 3, FALSE), 0), 0)</f>
        <v>0</v>
      </c>
      <c r="F109">
        <f t="shared" si="4"/>
        <v>0</v>
      </c>
      <c r="H109">
        <f>IF(AND(G109="Gestor", A109&lt;&gt;""), VLOOKUP(A109, Configuracion!$A:$D, 4, FALSE), 0)*Tabla10[[#This Row],[CANTIDAD]]</f>
        <v>0</v>
      </c>
      <c r="I109" t="str">
        <f t="shared" si="5"/>
        <v/>
      </c>
    </row>
    <row r="110" spans="2:9" x14ac:dyDescent="0.3">
      <c r="B110" t="e">
        <f>IFERROR(VLOOKUP(A110,lunes!$A:$I,9,FALSE),VLOOKUP(A110,Configuracion!$A:$B,2,FALSE))</f>
        <v>#N/A</v>
      </c>
      <c r="E110">
        <f>IF(C110="Venta", IFERROR(VLOOKUP(A110, Configuracion!$A:$D, 3, FALSE), 0), 0)</f>
        <v>0</v>
      </c>
      <c r="F110">
        <f t="shared" si="4"/>
        <v>0</v>
      </c>
      <c r="H110">
        <f>IF(AND(G110="Gestor", A110&lt;&gt;""), VLOOKUP(A110, Configuracion!$A:$D, 4, FALSE), 0)*Tabla10[[#This Row],[CANTIDAD]]</f>
        <v>0</v>
      </c>
      <c r="I110" t="str">
        <f t="shared" si="5"/>
        <v/>
      </c>
    </row>
    <row r="111" spans="2:9" x14ac:dyDescent="0.3">
      <c r="B111" t="e">
        <f>IFERROR(VLOOKUP(A111,lunes!$A:$I,9,FALSE),VLOOKUP(A111,Configuracion!$A:$B,2,FALSE))</f>
        <v>#N/A</v>
      </c>
      <c r="E111">
        <f>IF(C111="Venta", IFERROR(VLOOKUP(A111, Configuracion!$A:$D, 3, FALSE), 0), 0)</f>
        <v>0</v>
      </c>
      <c r="F111">
        <f t="shared" si="4"/>
        <v>0</v>
      </c>
      <c r="H111">
        <f>IF(AND(G111="Gestor", A111&lt;&gt;""), VLOOKUP(A111, Configuracion!$A:$D, 4, FALSE), 0)*Tabla10[[#This Row],[CANTIDAD]]</f>
        <v>0</v>
      </c>
      <c r="I111" t="str">
        <f t="shared" si="5"/>
        <v/>
      </c>
    </row>
    <row r="112" spans="2:9" x14ac:dyDescent="0.3">
      <c r="B112" t="e">
        <f>IFERROR(VLOOKUP(A112,lunes!$A:$I,9,FALSE),VLOOKUP(A112,Configuracion!$A:$B,2,FALSE))</f>
        <v>#N/A</v>
      </c>
      <c r="E112">
        <f>IF(C112="Venta", IFERROR(VLOOKUP(A112, Configuracion!$A:$D, 3, FALSE), 0), 0)</f>
        <v>0</v>
      </c>
      <c r="F112">
        <f t="shared" si="4"/>
        <v>0</v>
      </c>
      <c r="H112">
        <f>IF(AND(G112="Gestor", A112&lt;&gt;""), VLOOKUP(A112, Configuracion!$A:$D, 4, FALSE), 0)*Tabla10[[#This Row],[CANTIDAD]]</f>
        <v>0</v>
      </c>
      <c r="I112" t="str">
        <f t="shared" si="5"/>
        <v/>
      </c>
    </row>
    <row r="113" spans="2:9" x14ac:dyDescent="0.3">
      <c r="B113" t="e">
        <f>IFERROR(VLOOKUP(A113,lunes!$A:$I,9,FALSE),VLOOKUP(A113,Configuracion!$A:$B,2,FALSE))</f>
        <v>#N/A</v>
      </c>
      <c r="E113">
        <f>IF(C113="Venta", IFERROR(VLOOKUP(A113, Configuracion!$A:$D, 3, FALSE), 0), 0)</f>
        <v>0</v>
      </c>
      <c r="F113">
        <f t="shared" si="4"/>
        <v>0</v>
      </c>
      <c r="H113">
        <f>IF(AND(G113="Gestor", A113&lt;&gt;""), VLOOKUP(A113, Configuracion!$A:$D, 4, FALSE), 0)*Tabla10[[#This Row],[CANTIDAD]]</f>
        <v>0</v>
      </c>
      <c r="I113" t="str">
        <f t="shared" ref="I113:I144" si="6">IF(OR(A113="", D113=""), "", IF(C113="Entrada", B113+D113, IF(OR(C113="Venta", C113="Salida"), B113-D113, B113)))</f>
        <v/>
      </c>
    </row>
    <row r="114" spans="2:9" x14ac:dyDescent="0.3">
      <c r="B114" t="e">
        <f>IFERROR(VLOOKUP(A114,lunes!$A:$I,9,FALSE),VLOOKUP(A114,Configuracion!$A:$B,2,FALSE))</f>
        <v>#N/A</v>
      </c>
      <c r="E114">
        <f>IF(C114="Venta", IFERROR(VLOOKUP(A114, Configuracion!$A:$D, 3, FALSE), 0), 0)</f>
        <v>0</v>
      </c>
      <c r="F114">
        <f t="shared" si="4"/>
        <v>0</v>
      </c>
      <c r="H114">
        <f>IF(AND(G114="Gestor", A114&lt;&gt;""), VLOOKUP(A114, Configuracion!$A:$D, 4, FALSE), 0)*Tabla10[[#This Row],[CANTIDAD]]</f>
        <v>0</v>
      </c>
      <c r="I114" t="str">
        <f t="shared" si="6"/>
        <v/>
      </c>
    </row>
    <row r="115" spans="2:9" x14ac:dyDescent="0.3">
      <c r="B115" t="e">
        <f>IFERROR(VLOOKUP(A115,lunes!$A:$I,9,FALSE),VLOOKUP(A115,Configuracion!$A:$B,2,FALSE))</f>
        <v>#N/A</v>
      </c>
      <c r="E115">
        <f>IF(C115="Venta", IFERROR(VLOOKUP(A115, Configuracion!$A:$D, 3, FALSE), 0), 0)</f>
        <v>0</v>
      </c>
      <c r="F115">
        <f t="shared" si="4"/>
        <v>0</v>
      </c>
      <c r="H115">
        <f>IF(AND(G115="Gestor", A115&lt;&gt;""), VLOOKUP(A115, Configuracion!$A:$D, 4, FALSE), 0)*Tabla10[[#This Row],[CANTIDAD]]</f>
        <v>0</v>
      </c>
      <c r="I115" t="str">
        <f t="shared" si="6"/>
        <v/>
      </c>
    </row>
    <row r="116" spans="2:9" x14ac:dyDescent="0.3">
      <c r="B116" t="e">
        <f>IFERROR(VLOOKUP(A116,lunes!$A:$I,9,FALSE),VLOOKUP(A116,Configuracion!$A:$B,2,FALSE))</f>
        <v>#N/A</v>
      </c>
      <c r="E116">
        <f>IF(C116="Venta", IFERROR(VLOOKUP(A116, Configuracion!$A:$D, 3, FALSE), 0), 0)</f>
        <v>0</v>
      </c>
      <c r="F116">
        <f t="shared" si="4"/>
        <v>0</v>
      </c>
      <c r="H116">
        <f>IF(AND(G116="Gestor", A116&lt;&gt;""), VLOOKUP(A116, Configuracion!$A:$D, 4, FALSE), 0)*Tabla10[[#This Row],[CANTIDAD]]</f>
        <v>0</v>
      </c>
      <c r="I116" t="str">
        <f t="shared" si="6"/>
        <v/>
      </c>
    </row>
    <row r="117" spans="2:9" x14ac:dyDescent="0.3">
      <c r="B117" t="e">
        <f>IFERROR(VLOOKUP(A117,lunes!$A:$I,9,FALSE),VLOOKUP(A117,Configuracion!$A:$B,2,FALSE))</f>
        <v>#N/A</v>
      </c>
      <c r="E117">
        <f>IF(C117="Venta", IFERROR(VLOOKUP(A117, Configuracion!$A:$D, 3, FALSE), 0), 0)</f>
        <v>0</v>
      </c>
      <c r="F117">
        <f t="shared" si="4"/>
        <v>0</v>
      </c>
      <c r="H117">
        <f>IF(AND(G117="Gestor", A117&lt;&gt;""), VLOOKUP(A117, Configuracion!$A:$D, 4, FALSE), 0)*Tabla10[[#This Row],[CANTIDAD]]</f>
        <v>0</v>
      </c>
      <c r="I117" t="str">
        <f t="shared" si="6"/>
        <v/>
      </c>
    </row>
    <row r="118" spans="2:9" x14ac:dyDescent="0.3">
      <c r="B118" t="e">
        <f>IFERROR(VLOOKUP(A118,lunes!$A:$I,9,FALSE),VLOOKUP(A118,Configuracion!$A:$B,2,FALSE))</f>
        <v>#N/A</v>
      </c>
      <c r="E118">
        <f>IF(C118="Venta", IFERROR(VLOOKUP(A118, Configuracion!$A:$D, 3, FALSE), 0), 0)</f>
        <v>0</v>
      </c>
      <c r="F118">
        <f t="shared" si="4"/>
        <v>0</v>
      </c>
      <c r="H118">
        <f>IF(AND(G118="Gestor", A118&lt;&gt;""), VLOOKUP(A118, Configuracion!$A:$D, 4, FALSE), 0)*Tabla10[[#This Row],[CANTIDAD]]</f>
        <v>0</v>
      </c>
      <c r="I118" t="str">
        <f t="shared" si="6"/>
        <v/>
      </c>
    </row>
    <row r="119" spans="2:9" x14ac:dyDescent="0.3">
      <c r="B119" t="e">
        <f>IFERROR(VLOOKUP(A119,lunes!$A:$I,9,FALSE),VLOOKUP(A119,Configuracion!$A:$B,2,FALSE))</f>
        <v>#N/A</v>
      </c>
      <c r="E119">
        <f>IF(C119="Venta", IFERROR(VLOOKUP(A119, Configuracion!$A:$D, 3, FALSE), 0), 0)</f>
        <v>0</v>
      </c>
      <c r="F119">
        <f t="shared" si="4"/>
        <v>0</v>
      </c>
      <c r="H119">
        <f>IF(AND(G119="Gestor", A119&lt;&gt;""), VLOOKUP(A119, Configuracion!$A:$D, 4, FALSE), 0)*Tabla10[[#This Row],[CANTIDAD]]</f>
        <v>0</v>
      </c>
      <c r="I119" t="str">
        <f t="shared" si="6"/>
        <v/>
      </c>
    </row>
    <row r="120" spans="2:9" x14ac:dyDescent="0.3">
      <c r="B120" t="e">
        <f>IFERROR(VLOOKUP(A120,lunes!$A:$I,9,FALSE),VLOOKUP(A120,Configuracion!$A:$B,2,FALSE))</f>
        <v>#N/A</v>
      </c>
      <c r="E120">
        <f>IF(C120="Venta", IFERROR(VLOOKUP(A120, Configuracion!$A:$D, 3, FALSE), 0), 0)</f>
        <v>0</v>
      </c>
      <c r="F120">
        <f t="shared" si="4"/>
        <v>0</v>
      </c>
      <c r="H120">
        <f>IF(AND(G120="Gestor", A120&lt;&gt;""), VLOOKUP(A120, Configuracion!$A:$D, 4, FALSE), 0)*Tabla10[[#This Row],[CANTIDAD]]</f>
        <v>0</v>
      </c>
      <c r="I120" t="str">
        <f t="shared" si="6"/>
        <v/>
      </c>
    </row>
    <row r="121" spans="2:9" x14ac:dyDescent="0.3">
      <c r="B121" t="e">
        <f>IFERROR(VLOOKUP(A121,lunes!$A:$I,9,FALSE),VLOOKUP(A121,Configuracion!$A:$B,2,FALSE))</f>
        <v>#N/A</v>
      </c>
      <c r="E121">
        <f>IF(C121="Venta", IFERROR(VLOOKUP(A121, Configuracion!$A:$D, 3, FALSE), 0), 0)</f>
        <v>0</v>
      </c>
      <c r="F121">
        <f t="shared" si="4"/>
        <v>0</v>
      </c>
      <c r="H121">
        <f>IF(AND(G121="Gestor", A121&lt;&gt;""), VLOOKUP(A121, Configuracion!$A:$D, 4, FALSE), 0)*Tabla10[[#This Row],[CANTIDAD]]</f>
        <v>0</v>
      </c>
      <c r="I121" t="str">
        <f t="shared" si="6"/>
        <v/>
      </c>
    </row>
    <row r="122" spans="2:9" x14ac:dyDescent="0.3">
      <c r="B122" t="e">
        <f>IFERROR(VLOOKUP(A122,lunes!$A:$I,9,FALSE),VLOOKUP(A122,Configuracion!$A:$B,2,FALSE))</f>
        <v>#N/A</v>
      </c>
      <c r="E122">
        <f>IF(C122="Venta", IFERROR(VLOOKUP(A122, Configuracion!$A:$D, 3, FALSE), 0), 0)</f>
        <v>0</v>
      </c>
      <c r="F122">
        <f t="shared" si="4"/>
        <v>0</v>
      </c>
      <c r="H122">
        <f>IF(AND(G122="Gestor", A122&lt;&gt;""), VLOOKUP(A122, Configuracion!$A:$D, 4, FALSE), 0)*Tabla10[[#This Row],[CANTIDAD]]</f>
        <v>0</v>
      </c>
      <c r="I122" t="str">
        <f t="shared" si="6"/>
        <v/>
      </c>
    </row>
    <row r="123" spans="2:9" x14ac:dyDescent="0.3">
      <c r="B123" t="e">
        <f>IFERROR(VLOOKUP(A123,lunes!$A:$I,9,FALSE),VLOOKUP(A123,Configuracion!$A:$B,2,FALSE))</f>
        <v>#N/A</v>
      </c>
      <c r="E123">
        <f>IF(C123="Venta", IFERROR(VLOOKUP(A123, Configuracion!$A:$D, 3, FALSE), 0), 0)</f>
        <v>0</v>
      </c>
      <c r="F123">
        <f t="shared" si="4"/>
        <v>0</v>
      </c>
      <c r="H123">
        <f>IF(AND(G123="Gestor", A123&lt;&gt;""), VLOOKUP(A123, Configuracion!$A:$D, 4, FALSE), 0)*Tabla10[[#This Row],[CANTIDAD]]</f>
        <v>0</v>
      </c>
      <c r="I123" t="str">
        <f t="shared" si="6"/>
        <v/>
      </c>
    </row>
    <row r="124" spans="2:9" x14ac:dyDescent="0.3">
      <c r="B124" t="e">
        <f>IFERROR(VLOOKUP(A124,lunes!$A:$I,9,FALSE),VLOOKUP(A124,Configuracion!$A:$B,2,FALSE))</f>
        <v>#N/A</v>
      </c>
      <c r="E124">
        <f>IF(C124="Venta", IFERROR(VLOOKUP(A124, Configuracion!$A:$D, 3, FALSE), 0), 0)</f>
        <v>0</v>
      </c>
      <c r="F124">
        <f t="shared" si="4"/>
        <v>0</v>
      </c>
      <c r="H124">
        <f>IF(AND(G124="Gestor", A124&lt;&gt;""), VLOOKUP(A124, Configuracion!$A:$D, 4, FALSE), 0)*Tabla10[[#This Row],[CANTIDAD]]</f>
        <v>0</v>
      </c>
      <c r="I124" t="str">
        <f t="shared" si="6"/>
        <v/>
      </c>
    </row>
    <row r="125" spans="2:9" x14ac:dyDescent="0.3">
      <c r="B125" t="e">
        <f>IFERROR(VLOOKUP(A125,lunes!$A:$I,9,FALSE),VLOOKUP(A125,Configuracion!$A:$B,2,FALSE))</f>
        <v>#N/A</v>
      </c>
      <c r="E125">
        <f>IF(C125="Venta", IFERROR(VLOOKUP(A125, Configuracion!$A:$D, 3, FALSE), 0), 0)</f>
        <v>0</v>
      </c>
      <c r="F125">
        <f t="shared" si="4"/>
        <v>0</v>
      </c>
      <c r="H125">
        <f>IF(AND(G125="Gestor", A125&lt;&gt;""), VLOOKUP(A125, Configuracion!$A:$D, 4, FALSE), 0)*Tabla10[[#This Row],[CANTIDAD]]</f>
        <v>0</v>
      </c>
      <c r="I125" t="str">
        <f t="shared" si="6"/>
        <v/>
      </c>
    </row>
    <row r="126" spans="2:9" x14ac:dyDescent="0.3">
      <c r="B126" t="e">
        <f>IFERROR(VLOOKUP(A126,lunes!$A:$I,9,FALSE),VLOOKUP(A126,Configuracion!$A:$B,2,FALSE))</f>
        <v>#N/A</v>
      </c>
      <c r="E126">
        <f>IF(C126="Venta", IFERROR(VLOOKUP(A126, Configuracion!$A:$D, 3, FALSE), 0), 0)</f>
        <v>0</v>
      </c>
      <c r="F126">
        <f t="shared" si="4"/>
        <v>0</v>
      </c>
      <c r="H126">
        <f>IF(AND(G126="Gestor", A126&lt;&gt;""), VLOOKUP(A126, Configuracion!$A:$D, 4, FALSE), 0)*Tabla10[[#This Row],[CANTIDAD]]</f>
        <v>0</v>
      </c>
      <c r="I126" t="str">
        <f t="shared" si="6"/>
        <v/>
      </c>
    </row>
    <row r="127" spans="2:9" x14ac:dyDescent="0.3">
      <c r="B127" t="e">
        <f>IFERROR(VLOOKUP(A127,lunes!$A:$I,9,FALSE),VLOOKUP(A127,Configuracion!$A:$B,2,FALSE))</f>
        <v>#N/A</v>
      </c>
      <c r="E127">
        <f>IF(C127="Venta", IFERROR(VLOOKUP(A127, Configuracion!$A:$D, 3, FALSE), 0), 0)</f>
        <v>0</v>
      </c>
      <c r="F127">
        <f t="shared" si="4"/>
        <v>0</v>
      </c>
      <c r="H127">
        <f>IF(AND(G127="Gestor", A127&lt;&gt;""), VLOOKUP(A127, Configuracion!$A:$D, 4, FALSE), 0)*Tabla10[[#This Row],[CANTIDAD]]</f>
        <v>0</v>
      </c>
      <c r="I127" t="str">
        <f t="shared" si="6"/>
        <v/>
      </c>
    </row>
    <row r="128" spans="2:9" x14ac:dyDescent="0.3">
      <c r="B128" t="e">
        <f>IFERROR(VLOOKUP(A128,lunes!$A:$I,9,FALSE),VLOOKUP(A128,Configuracion!$A:$B,2,FALSE))</f>
        <v>#N/A</v>
      </c>
      <c r="E128">
        <f>IF(C128="Venta", IFERROR(VLOOKUP(A128, Configuracion!$A:$D, 3, FALSE), 0), 0)</f>
        <v>0</v>
      </c>
      <c r="F128">
        <f t="shared" si="4"/>
        <v>0</v>
      </c>
      <c r="H128">
        <f>IF(AND(G128="Gestor", A128&lt;&gt;""), VLOOKUP(A128, Configuracion!$A:$D, 4, FALSE), 0)*Tabla10[[#This Row],[CANTIDAD]]</f>
        <v>0</v>
      </c>
      <c r="I128" t="str">
        <f t="shared" si="6"/>
        <v/>
      </c>
    </row>
    <row r="129" spans="2:9" x14ac:dyDescent="0.3">
      <c r="B129" t="e">
        <f>IFERROR(VLOOKUP(A129,lunes!$A:$I,9,FALSE),VLOOKUP(A129,Configuracion!$A:$B,2,FALSE))</f>
        <v>#N/A</v>
      </c>
      <c r="E129">
        <f>IF(C129="Venta", IFERROR(VLOOKUP(A129, Configuracion!$A:$D, 3, FALSE), 0), 0)</f>
        <v>0</v>
      </c>
      <c r="F129">
        <f t="shared" si="4"/>
        <v>0</v>
      </c>
      <c r="H129">
        <f>IF(AND(G129="Gestor", A129&lt;&gt;""), VLOOKUP(A129, Configuracion!$A:$D, 4, FALSE), 0)*Tabla10[[#This Row],[CANTIDAD]]</f>
        <v>0</v>
      </c>
      <c r="I129" t="str">
        <f t="shared" si="6"/>
        <v/>
      </c>
    </row>
    <row r="130" spans="2:9" x14ac:dyDescent="0.3">
      <c r="B130" t="e">
        <f>IFERROR(VLOOKUP(A130,lunes!$A:$I,9,FALSE),VLOOKUP(A130,Configuracion!$A:$B,2,FALSE))</f>
        <v>#N/A</v>
      </c>
      <c r="E130">
        <f>IF(C130="Venta", IFERROR(VLOOKUP(A130, Configuracion!$A:$D, 3, FALSE), 0), 0)</f>
        <v>0</v>
      </c>
      <c r="F130">
        <f t="shared" si="4"/>
        <v>0</v>
      </c>
      <c r="H130">
        <f>IF(AND(G130="Gestor", A130&lt;&gt;""), VLOOKUP(A130, Configuracion!$A:$D, 4, FALSE), 0)*Tabla10[[#This Row],[CANTIDAD]]</f>
        <v>0</v>
      </c>
      <c r="I130" t="str">
        <f t="shared" si="6"/>
        <v/>
      </c>
    </row>
    <row r="131" spans="2:9" x14ac:dyDescent="0.3">
      <c r="B131" t="e">
        <f>IFERROR(VLOOKUP(A131,lunes!$A:$I,9,FALSE),VLOOKUP(A131,Configuracion!$A:$B,2,FALSE))</f>
        <v>#N/A</v>
      </c>
      <c r="E131">
        <f>IF(C131="Venta", IFERROR(VLOOKUP(A131, Configuracion!$A:$D, 3, FALSE), 0), 0)</f>
        <v>0</v>
      </c>
      <c r="F131">
        <f t="shared" si="4"/>
        <v>0</v>
      </c>
      <c r="H131">
        <f>IF(AND(G131="Gestor", A131&lt;&gt;""), VLOOKUP(A131, Configuracion!$A:$D, 4, FALSE), 0)*Tabla10[[#This Row],[CANTIDAD]]</f>
        <v>0</v>
      </c>
      <c r="I131" t="str">
        <f t="shared" si="6"/>
        <v/>
      </c>
    </row>
    <row r="132" spans="2:9" x14ac:dyDescent="0.3">
      <c r="B132" t="e">
        <f>IFERROR(VLOOKUP(A132,lunes!$A:$I,9,FALSE),VLOOKUP(A132,Configuracion!$A:$B,2,FALSE))</f>
        <v>#N/A</v>
      </c>
      <c r="E132">
        <f>IF(C132="Venta", IFERROR(VLOOKUP(A132, Configuracion!$A:$D, 3, FALSE), 0), 0)</f>
        <v>0</v>
      </c>
      <c r="F132">
        <f t="shared" si="4"/>
        <v>0</v>
      </c>
      <c r="H132">
        <f>IF(AND(G132="Gestor", A132&lt;&gt;""), VLOOKUP(A132, Configuracion!$A:$D, 4, FALSE), 0)*Tabla10[[#This Row],[CANTIDAD]]</f>
        <v>0</v>
      </c>
      <c r="I132" t="str">
        <f t="shared" si="6"/>
        <v/>
      </c>
    </row>
    <row r="133" spans="2:9" x14ac:dyDescent="0.3">
      <c r="B133" t="e">
        <f>IFERROR(VLOOKUP(A133,lunes!$A:$I,9,FALSE),VLOOKUP(A133,Configuracion!$A:$B,2,FALSE))</f>
        <v>#N/A</v>
      </c>
      <c r="E133">
        <f>IF(C133="Venta", IFERROR(VLOOKUP(A133, Configuracion!$A:$D, 3, FALSE), 0), 0)</f>
        <v>0</v>
      </c>
      <c r="F133">
        <f t="shared" ref="F133:F191" si="7">E133*D133</f>
        <v>0</v>
      </c>
      <c r="H133">
        <f>IF(AND(G133="Gestor", A133&lt;&gt;""), VLOOKUP(A133, Configuracion!$A:$D, 4, FALSE), 0)*Tabla10[[#This Row],[CANTIDAD]]</f>
        <v>0</v>
      </c>
      <c r="I133" t="str">
        <f t="shared" si="6"/>
        <v/>
      </c>
    </row>
    <row r="134" spans="2:9" x14ac:dyDescent="0.3">
      <c r="B134" t="e">
        <f>IFERROR(VLOOKUP(A134,lunes!$A:$I,9,FALSE),VLOOKUP(A134,Configuracion!$A:$B,2,FALSE))</f>
        <v>#N/A</v>
      </c>
      <c r="E134">
        <f>IF(C134="Venta", IFERROR(VLOOKUP(A134, Configuracion!$A:$D, 3, FALSE), 0), 0)</f>
        <v>0</v>
      </c>
      <c r="F134">
        <f t="shared" si="7"/>
        <v>0</v>
      </c>
      <c r="H134">
        <f>IF(AND(G134="Gestor", A134&lt;&gt;""), VLOOKUP(A134, Configuracion!$A:$D, 4, FALSE), 0)*Tabla10[[#This Row],[CANTIDAD]]</f>
        <v>0</v>
      </c>
      <c r="I134" t="str">
        <f t="shared" si="6"/>
        <v/>
      </c>
    </row>
    <row r="135" spans="2:9" x14ac:dyDescent="0.3">
      <c r="B135" t="e">
        <f>IFERROR(VLOOKUP(A135,lunes!$A:$I,9,FALSE),VLOOKUP(A135,Configuracion!$A:$B,2,FALSE))</f>
        <v>#N/A</v>
      </c>
      <c r="E135">
        <f>IF(C135="Venta", IFERROR(VLOOKUP(A135, Configuracion!$A:$D, 3, FALSE), 0), 0)</f>
        <v>0</v>
      </c>
      <c r="F135">
        <f t="shared" si="7"/>
        <v>0</v>
      </c>
      <c r="H135">
        <f>IF(AND(G135="Gestor", A135&lt;&gt;""), VLOOKUP(A135, Configuracion!$A:$D, 4, FALSE), 0)*Tabla10[[#This Row],[CANTIDAD]]</f>
        <v>0</v>
      </c>
      <c r="I135" t="str">
        <f t="shared" si="6"/>
        <v/>
      </c>
    </row>
    <row r="136" spans="2:9" x14ac:dyDescent="0.3">
      <c r="B136" t="e">
        <f>IFERROR(VLOOKUP(A136,lunes!$A:$I,9,FALSE),VLOOKUP(A136,Configuracion!$A:$B,2,FALSE))</f>
        <v>#N/A</v>
      </c>
      <c r="E136">
        <f>IF(C136="Venta", IFERROR(VLOOKUP(A136, Configuracion!$A:$D, 3, FALSE), 0), 0)</f>
        <v>0</v>
      </c>
      <c r="F136">
        <f t="shared" si="7"/>
        <v>0</v>
      </c>
      <c r="H136">
        <f>IF(AND(G136="Gestor", A136&lt;&gt;""), VLOOKUP(A136, Configuracion!$A:$D, 4, FALSE), 0)*Tabla10[[#This Row],[CANTIDAD]]</f>
        <v>0</v>
      </c>
      <c r="I136" t="str">
        <f t="shared" si="6"/>
        <v/>
      </c>
    </row>
    <row r="137" spans="2:9" x14ac:dyDescent="0.3">
      <c r="B137" t="e">
        <f>IFERROR(VLOOKUP(A137,lunes!$A:$I,9,FALSE),VLOOKUP(A137,Configuracion!$A:$B,2,FALSE))</f>
        <v>#N/A</v>
      </c>
      <c r="E137">
        <f>IF(C137="Venta", IFERROR(VLOOKUP(A137, Configuracion!$A:$D, 3, FALSE), 0), 0)</f>
        <v>0</v>
      </c>
      <c r="F137">
        <f t="shared" si="7"/>
        <v>0</v>
      </c>
      <c r="H137">
        <f>IF(AND(G137="Gestor", A137&lt;&gt;""), VLOOKUP(A137, Configuracion!$A:$D, 4, FALSE), 0)*Tabla10[[#This Row],[CANTIDAD]]</f>
        <v>0</v>
      </c>
      <c r="I137" t="str">
        <f t="shared" si="6"/>
        <v/>
      </c>
    </row>
    <row r="138" spans="2:9" x14ac:dyDescent="0.3">
      <c r="B138" t="e">
        <f>IFERROR(VLOOKUP(A138,lunes!$A:$I,9,FALSE),VLOOKUP(A138,Configuracion!$A:$B,2,FALSE))</f>
        <v>#N/A</v>
      </c>
      <c r="E138">
        <f>IF(C138="Venta", IFERROR(VLOOKUP(A138, Configuracion!$A:$D, 3, FALSE), 0), 0)</f>
        <v>0</v>
      </c>
      <c r="F138">
        <f t="shared" si="7"/>
        <v>0</v>
      </c>
      <c r="H138">
        <f>IF(AND(G138="Gestor", A138&lt;&gt;""), VLOOKUP(A138, Configuracion!$A:$D, 4, FALSE), 0)*Tabla10[[#This Row],[CANTIDAD]]</f>
        <v>0</v>
      </c>
      <c r="I138" t="str">
        <f t="shared" si="6"/>
        <v/>
      </c>
    </row>
    <row r="139" spans="2:9" x14ac:dyDescent="0.3">
      <c r="B139" t="e">
        <f>IFERROR(VLOOKUP(A139,lunes!$A:$I,9,FALSE),VLOOKUP(A139,Configuracion!$A:$B,2,FALSE))</f>
        <v>#N/A</v>
      </c>
      <c r="E139">
        <f>IF(C139="Venta", IFERROR(VLOOKUP(A139, Configuracion!$A:$D, 3, FALSE), 0), 0)</f>
        <v>0</v>
      </c>
      <c r="F139">
        <f t="shared" si="7"/>
        <v>0</v>
      </c>
      <c r="H139">
        <f>IF(AND(G139="Gestor", A139&lt;&gt;""), VLOOKUP(A139, Configuracion!$A:$D, 4, FALSE), 0)*Tabla10[[#This Row],[CANTIDAD]]</f>
        <v>0</v>
      </c>
      <c r="I139" t="str">
        <f t="shared" si="6"/>
        <v/>
      </c>
    </row>
    <row r="140" spans="2:9" x14ac:dyDescent="0.3">
      <c r="B140" t="e">
        <f>IFERROR(VLOOKUP(A140,lunes!$A:$I,9,FALSE),VLOOKUP(A140,Configuracion!$A:$B,2,FALSE))</f>
        <v>#N/A</v>
      </c>
      <c r="E140">
        <f>IF(C140="Venta", IFERROR(VLOOKUP(A140, Configuracion!$A:$D, 3, FALSE), 0), 0)</f>
        <v>0</v>
      </c>
      <c r="F140">
        <f t="shared" si="7"/>
        <v>0</v>
      </c>
      <c r="H140">
        <f>IF(AND(G140="Gestor", A140&lt;&gt;""), VLOOKUP(A140, Configuracion!$A:$D, 4, FALSE), 0)*Tabla10[[#This Row],[CANTIDAD]]</f>
        <v>0</v>
      </c>
      <c r="I140" t="str">
        <f t="shared" si="6"/>
        <v/>
      </c>
    </row>
    <row r="141" spans="2:9" x14ac:dyDescent="0.3">
      <c r="B141" t="e">
        <f>IFERROR(VLOOKUP(A141,lunes!$A:$I,9,FALSE),VLOOKUP(A141,Configuracion!$A:$B,2,FALSE))</f>
        <v>#N/A</v>
      </c>
      <c r="E141">
        <f>IF(C141="Venta", IFERROR(VLOOKUP(A141, Configuracion!$A:$D, 3, FALSE), 0), 0)</f>
        <v>0</v>
      </c>
      <c r="F141">
        <f t="shared" si="7"/>
        <v>0</v>
      </c>
      <c r="H141">
        <f>IF(AND(G141="Gestor", A141&lt;&gt;""), VLOOKUP(A141, Configuracion!$A:$D, 4, FALSE), 0)*Tabla10[[#This Row],[CANTIDAD]]</f>
        <v>0</v>
      </c>
      <c r="I141" t="str">
        <f t="shared" si="6"/>
        <v/>
      </c>
    </row>
    <row r="142" spans="2:9" x14ac:dyDescent="0.3">
      <c r="B142" t="e">
        <f>IFERROR(VLOOKUP(A142,lunes!$A:$I,9,FALSE),VLOOKUP(A142,Configuracion!$A:$B,2,FALSE))</f>
        <v>#N/A</v>
      </c>
      <c r="E142">
        <f>IF(C142="Venta", IFERROR(VLOOKUP(A142, Configuracion!$A:$D, 3, FALSE), 0), 0)</f>
        <v>0</v>
      </c>
      <c r="F142">
        <f t="shared" si="7"/>
        <v>0</v>
      </c>
      <c r="H142">
        <f>IF(AND(G142="Gestor", A142&lt;&gt;""), VLOOKUP(A142, Configuracion!$A:$D, 4, FALSE), 0)*Tabla10[[#This Row],[CANTIDAD]]</f>
        <v>0</v>
      </c>
      <c r="I142" t="str">
        <f t="shared" si="6"/>
        <v/>
      </c>
    </row>
    <row r="143" spans="2:9" x14ac:dyDescent="0.3">
      <c r="B143" t="e">
        <f>IFERROR(VLOOKUP(A143,lunes!$A:$I,9,FALSE),VLOOKUP(A143,Configuracion!$A:$B,2,FALSE))</f>
        <v>#N/A</v>
      </c>
      <c r="E143">
        <f>IF(C143="Venta", IFERROR(VLOOKUP(A143, Configuracion!$A:$D, 3, FALSE), 0), 0)</f>
        <v>0</v>
      </c>
      <c r="F143">
        <f t="shared" si="7"/>
        <v>0</v>
      </c>
      <c r="H143">
        <f>IF(AND(G143="Gestor", A143&lt;&gt;""), VLOOKUP(A143, Configuracion!$A:$D, 4, FALSE), 0)*Tabla10[[#This Row],[CANTIDAD]]</f>
        <v>0</v>
      </c>
      <c r="I143" t="str">
        <f t="shared" si="6"/>
        <v/>
      </c>
    </row>
    <row r="144" spans="2:9" x14ac:dyDescent="0.3">
      <c r="B144" t="e">
        <f>IFERROR(VLOOKUP(A144,lunes!$A:$I,9,FALSE),VLOOKUP(A144,Configuracion!$A:$B,2,FALSE))</f>
        <v>#N/A</v>
      </c>
      <c r="E144">
        <f>IF(C144="Venta", IFERROR(VLOOKUP(A144, Configuracion!$A:$D, 3, FALSE), 0), 0)</f>
        <v>0</v>
      </c>
      <c r="F144">
        <f t="shared" si="7"/>
        <v>0</v>
      </c>
      <c r="H144">
        <f>IF(AND(G144="Gestor", A144&lt;&gt;""), VLOOKUP(A144, Configuracion!$A:$D, 4, FALSE), 0)*Tabla10[[#This Row],[CANTIDAD]]</f>
        <v>0</v>
      </c>
      <c r="I144" t="str">
        <f t="shared" si="6"/>
        <v/>
      </c>
    </row>
    <row r="145" spans="2:9" x14ac:dyDescent="0.3">
      <c r="B145" t="e">
        <f>IFERROR(VLOOKUP(A145,lunes!$A:$I,9,FALSE),VLOOKUP(A145,Configuracion!$A:$B,2,FALSE))</f>
        <v>#N/A</v>
      </c>
      <c r="E145">
        <f>IF(C145="Venta", IFERROR(VLOOKUP(A145, Configuracion!$A:$D, 3, FALSE), 0), 0)</f>
        <v>0</v>
      </c>
      <c r="F145">
        <f t="shared" si="7"/>
        <v>0</v>
      </c>
      <c r="H145">
        <f>IF(AND(G145="Gestor", A145&lt;&gt;""), VLOOKUP(A145, Configuracion!$A:$D, 4, FALSE), 0)*Tabla10[[#This Row],[CANTIDAD]]</f>
        <v>0</v>
      </c>
      <c r="I145" t="str">
        <f t="shared" ref="I145:I176" si="8">IF(OR(A145="", D145=""), "", IF(C145="Entrada", B145+D145, IF(OR(C145="Venta", C145="Salida"), B145-D145, B145)))</f>
        <v/>
      </c>
    </row>
    <row r="146" spans="2:9" x14ac:dyDescent="0.3">
      <c r="B146" t="e">
        <f>IFERROR(VLOOKUP(A146,lunes!$A:$I,9,FALSE),VLOOKUP(A146,Configuracion!$A:$B,2,FALSE))</f>
        <v>#N/A</v>
      </c>
      <c r="E146">
        <f>IF(C146="Venta", IFERROR(VLOOKUP(A146, Configuracion!$A:$D, 3, FALSE), 0), 0)</f>
        <v>0</v>
      </c>
      <c r="F146">
        <f t="shared" si="7"/>
        <v>0</v>
      </c>
      <c r="H146">
        <f>IF(AND(G146="Gestor", A146&lt;&gt;""), VLOOKUP(A146, Configuracion!$A:$D, 4, FALSE), 0)*Tabla10[[#This Row],[CANTIDAD]]</f>
        <v>0</v>
      </c>
      <c r="I146" t="str">
        <f t="shared" si="8"/>
        <v/>
      </c>
    </row>
    <row r="147" spans="2:9" x14ac:dyDescent="0.3">
      <c r="B147" t="e">
        <f>IFERROR(VLOOKUP(A147,lunes!$A:$I,9,FALSE),VLOOKUP(A147,Configuracion!$A:$B,2,FALSE))</f>
        <v>#N/A</v>
      </c>
      <c r="E147">
        <f>IF(C147="Venta", IFERROR(VLOOKUP(A147, Configuracion!$A:$D, 3, FALSE), 0), 0)</f>
        <v>0</v>
      </c>
      <c r="F147">
        <f t="shared" si="7"/>
        <v>0</v>
      </c>
      <c r="H147">
        <f>IF(AND(G147="Gestor", A147&lt;&gt;""), VLOOKUP(A147, Configuracion!$A:$D, 4, FALSE), 0)*Tabla10[[#This Row],[CANTIDAD]]</f>
        <v>0</v>
      </c>
      <c r="I147" t="str">
        <f t="shared" si="8"/>
        <v/>
      </c>
    </row>
    <row r="148" spans="2:9" x14ac:dyDescent="0.3">
      <c r="B148" t="e">
        <f>IFERROR(VLOOKUP(A148,lunes!$A:$I,9,FALSE),VLOOKUP(A148,Configuracion!$A:$B,2,FALSE))</f>
        <v>#N/A</v>
      </c>
      <c r="E148">
        <f>IF(C148="Venta", IFERROR(VLOOKUP(A148, Configuracion!$A:$D, 3, FALSE), 0), 0)</f>
        <v>0</v>
      </c>
      <c r="F148">
        <f t="shared" si="7"/>
        <v>0</v>
      </c>
      <c r="H148">
        <f>IF(AND(G148="Gestor", A148&lt;&gt;""), VLOOKUP(A148, Configuracion!$A:$D, 4, FALSE), 0)*Tabla10[[#This Row],[CANTIDAD]]</f>
        <v>0</v>
      </c>
      <c r="I148" t="str">
        <f t="shared" si="8"/>
        <v/>
      </c>
    </row>
    <row r="149" spans="2:9" x14ac:dyDescent="0.3">
      <c r="B149" t="e">
        <f>IFERROR(VLOOKUP(A149,lunes!$A:$I,9,FALSE),VLOOKUP(A149,Configuracion!$A:$B,2,FALSE))</f>
        <v>#N/A</v>
      </c>
      <c r="E149">
        <f>IF(C149="Venta", IFERROR(VLOOKUP(A149, Configuracion!$A:$D, 3, FALSE), 0), 0)</f>
        <v>0</v>
      </c>
      <c r="F149">
        <f t="shared" si="7"/>
        <v>0</v>
      </c>
      <c r="H149">
        <f>IF(AND(G149="Gestor", A149&lt;&gt;""), VLOOKUP(A149, Configuracion!$A:$D, 4, FALSE), 0)*Tabla10[[#This Row],[CANTIDAD]]</f>
        <v>0</v>
      </c>
      <c r="I149" t="str">
        <f t="shared" si="8"/>
        <v/>
      </c>
    </row>
    <row r="150" spans="2:9" x14ac:dyDescent="0.3">
      <c r="B150" t="e">
        <f>IFERROR(VLOOKUP(A150,lunes!$A:$I,9,FALSE),VLOOKUP(A150,Configuracion!$A:$B,2,FALSE))</f>
        <v>#N/A</v>
      </c>
      <c r="E150">
        <f>IF(C150="Venta", IFERROR(VLOOKUP(A150, Configuracion!$A:$D, 3, FALSE), 0), 0)</f>
        <v>0</v>
      </c>
      <c r="F150">
        <f t="shared" si="7"/>
        <v>0</v>
      </c>
      <c r="H150">
        <f>IF(AND(G150="Gestor", A150&lt;&gt;""), VLOOKUP(A150, Configuracion!$A:$D, 4, FALSE), 0)*Tabla10[[#This Row],[CANTIDAD]]</f>
        <v>0</v>
      </c>
      <c r="I150" t="str">
        <f t="shared" si="8"/>
        <v/>
      </c>
    </row>
    <row r="151" spans="2:9" x14ac:dyDescent="0.3">
      <c r="B151" t="e">
        <f>IFERROR(VLOOKUP(A151,lunes!$A:$I,9,FALSE),VLOOKUP(A151,Configuracion!$A:$B,2,FALSE))</f>
        <v>#N/A</v>
      </c>
      <c r="E151">
        <f>IF(C151="Venta", IFERROR(VLOOKUP(A151, Configuracion!$A:$D, 3, FALSE), 0), 0)</f>
        <v>0</v>
      </c>
      <c r="F151">
        <f t="shared" si="7"/>
        <v>0</v>
      </c>
      <c r="H151">
        <f>IF(AND(G151="Gestor", A151&lt;&gt;""), VLOOKUP(A151, Configuracion!$A:$D, 4, FALSE), 0)*Tabla10[[#This Row],[CANTIDAD]]</f>
        <v>0</v>
      </c>
      <c r="I151" t="str">
        <f t="shared" si="8"/>
        <v/>
      </c>
    </row>
    <row r="152" spans="2:9" x14ac:dyDescent="0.3">
      <c r="B152" t="e">
        <f>IFERROR(VLOOKUP(A152,lunes!$A:$I,9,FALSE),VLOOKUP(A152,Configuracion!$A:$B,2,FALSE))</f>
        <v>#N/A</v>
      </c>
      <c r="E152">
        <f>IF(C152="Venta", IFERROR(VLOOKUP(A152, Configuracion!$A:$D, 3, FALSE), 0), 0)</f>
        <v>0</v>
      </c>
      <c r="F152">
        <f t="shared" si="7"/>
        <v>0</v>
      </c>
      <c r="H152">
        <f>IF(AND(G152="Gestor", A152&lt;&gt;""), VLOOKUP(A152, Configuracion!$A:$D, 4, FALSE), 0)*Tabla10[[#This Row],[CANTIDAD]]</f>
        <v>0</v>
      </c>
      <c r="I152" t="str">
        <f t="shared" si="8"/>
        <v/>
      </c>
    </row>
    <row r="153" spans="2:9" x14ac:dyDescent="0.3">
      <c r="B153" t="e">
        <f>IFERROR(VLOOKUP(A153,lunes!$A:$I,9,FALSE),VLOOKUP(A153,Configuracion!$A:$B,2,FALSE))</f>
        <v>#N/A</v>
      </c>
      <c r="E153">
        <f>IF(C153="Venta", IFERROR(VLOOKUP(A153, Configuracion!$A:$D, 3, FALSE), 0), 0)</f>
        <v>0</v>
      </c>
      <c r="F153">
        <f t="shared" si="7"/>
        <v>0</v>
      </c>
      <c r="H153">
        <f>IF(AND(G153="Gestor", A153&lt;&gt;""), VLOOKUP(A153, Configuracion!$A:$D, 4, FALSE), 0)*Tabla10[[#This Row],[CANTIDAD]]</f>
        <v>0</v>
      </c>
      <c r="I153" t="str">
        <f t="shared" si="8"/>
        <v/>
      </c>
    </row>
    <row r="154" spans="2:9" x14ac:dyDescent="0.3">
      <c r="B154" t="e">
        <f>IFERROR(VLOOKUP(A154,lunes!$A:$I,9,FALSE),VLOOKUP(A154,Configuracion!$A:$B,2,FALSE))</f>
        <v>#N/A</v>
      </c>
      <c r="E154">
        <f>IF(C154="Venta", IFERROR(VLOOKUP(A154, Configuracion!$A:$D, 3, FALSE), 0), 0)</f>
        <v>0</v>
      </c>
      <c r="F154">
        <f t="shared" si="7"/>
        <v>0</v>
      </c>
      <c r="H154">
        <f>IF(AND(G154="Gestor", A154&lt;&gt;""), VLOOKUP(A154, Configuracion!$A:$D, 4, FALSE), 0)*Tabla10[[#This Row],[CANTIDAD]]</f>
        <v>0</v>
      </c>
      <c r="I154" t="str">
        <f t="shared" si="8"/>
        <v/>
      </c>
    </row>
    <row r="155" spans="2:9" x14ac:dyDescent="0.3">
      <c r="B155" t="e">
        <f>IFERROR(VLOOKUP(A155,lunes!$A:$I,9,FALSE),VLOOKUP(A155,Configuracion!$A:$B,2,FALSE))</f>
        <v>#N/A</v>
      </c>
      <c r="E155">
        <f>IF(C155="Venta", IFERROR(VLOOKUP(A155, Configuracion!$A:$D, 3, FALSE), 0), 0)</f>
        <v>0</v>
      </c>
      <c r="F155">
        <f t="shared" si="7"/>
        <v>0</v>
      </c>
      <c r="H155">
        <f>IF(AND(G155="Gestor", A155&lt;&gt;""), VLOOKUP(A155, Configuracion!$A:$D, 4, FALSE), 0)*Tabla10[[#This Row],[CANTIDAD]]</f>
        <v>0</v>
      </c>
      <c r="I155" t="str">
        <f t="shared" si="8"/>
        <v/>
      </c>
    </row>
    <row r="156" spans="2:9" x14ac:dyDescent="0.3">
      <c r="B156" t="e">
        <f>IFERROR(VLOOKUP(A156,lunes!$A:$I,9,FALSE),VLOOKUP(A156,Configuracion!$A:$B,2,FALSE))</f>
        <v>#N/A</v>
      </c>
      <c r="E156">
        <f>IF(C156="Venta", IFERROR(VLOOKUP(A156, Configuracion!$A:$D, 3, FALSE), 0), 0)</f>
        <v>0</v>
      </c>
      <c r="F156">
        <f t="shared" si="7"/>
        <v>0</v>
      </c>
      <c r="H156">
        <f>IF(AND(G156="Gestor", A156&lt;&gt;""), VLOOKUP(A156, Configuracion!$A:$D, 4, FALSE), 0)*Tabla10[[#This Row],[CANTIDAD]]</f>
        <v>0</v>
      </c>
      <c r="I156" t="str">
        <f t="shared" si="8"/>
        <v/>
      </c>
    </row>
    <row r="157" spans="2:9" x14ac:dyDescent="0.3">
      <c r="B157" t="e">
        <f>IFERROR(VLOOKUP(A157,lunes!$A:$I,9,FALSE),VLOOKUP(A157,Configuracion!$A:$B,2,FALSE))</f>
        <v>#N/A</v>
      </c>
      <c r="E157">
        <f>IF(C157="Venta", IFERROR(VLOOKUP(A157, Configuracion!$A:$D, 3, FALSE), 0), 0)</f>
        <v>0</v>
      </c>
      <c r="F157">
        <f t="shared" si="7"/>
        <v>0</v>
      </c>
      <c r="H157">
        <f>IF(AND(G157="Gestor", A157&lt;&gt;""), VLOOKUP(A157, Configuracion!$A:$D, 4, FALSE), 0)*Tabla10[[#This Row],[CANTIDAD]]</f>
        <v>0</v>
      </c>
      <c r="I157" t="str">
        <f t="shared" si="8"/>
        <v/>
      </c>
    </row>
    <row r="158" spans="2:9" x14ac:dyDescent="0.3">
      <c r="B158" t="e">
        <f>IFERROR(VLOOKUP(A158,lunes!$A:$I,9,FALSE),VLOOKUP(A158,Configuracion!$A:$B,2,FALSE))</f>
        <v>#N/A</v>
      </c>
      <c r="E158">
        <f>IF(C158="Venta", IFERROR(VLOOKUP(A158, Configuracion!$A:$D, 3, FALSE), 0), 0)</f>
        <v>0</v>
      </c>
      <c r="F158">
        <f t="shared" si="7"/>
        <v>0</v>
      </c>
      <c r="H158">
        <f>IF(AND(G158="Gestor", A158&lt;&gt;""), VLOOKUP(A158, Configuracion!$A:$D, 4, FALSE), 0)*Tabla10[[#This Row],[CANTIDAD]]</f>
        <v>0</v>
      </c>
      <c r="I158" t="str">
        <f t="shared" si="8"/>
        <v/>
      </c>
    </row>
    <row r="159" spans="2:9" x14ac:dyDescent="0.3">
      <c r="B159" t="e">
        <f>IFERROR(VLOOKUP(A159,lunes!$A:$I,9,FALSE),VLOOKUP(A159,Configuracion!$A:$B,2,FALSE))</f>
        <v>#N/A</v>
      </c>
      <c r="E159">
        <f>IF(C159="Venta", IFERROR(VLOOKUP(A159, Configuracion!$A:$D, 3, FALSE), 0), 0)</f>
        <v>0</v>
      </c>
      <c r="F159">
        <f t="shared" si="7"/>
        <v>0</v>
      </c>
      <c r="H159">
        <f>IF(AND(G159="Gestor", A159&lt;&gt;""), VLOOKUP(A159, Configuracion!$A:$D, 4, FALSE), 0)*Tabla10[[#This Row],[CANTIDAD]]</f>
        <v>0</v>
      </c>
      <c r="I159" t="str">
        <f t="shared" si="8"/>
        <v/>
      </c>
    </row>
    <row r="160" spans="2:9" x14ac:dyDescent="0.3">
      <c r="B160" t="e">
        <f>IFERROR(VLOOKUP(A160,lunes!$A:$I,9,FALSE),VLOOKUP(A160,Configuracion!$A:$B,2,FALSE))</f>
        <v>#N/A</v>
      </c>
      <c r="E160">
        <f>IF(C160="Venta", IFERROR(VLOOKUP(A160, Configuracion!$A:$D, 3, FALSE), 0), 0)</f>
        <v>0</v>
      </c>
      <c r="F160">
        <f t="shared" si="7"/>
        <v>0</v>
      </c>
      <c r="H160">
        <f>IF(AND(G160="Gestor", A160&lt;&gt;""), VLOOKUP(A160, Configuracion!$A:$D, 4, FALSE), 0)*Tabla10[[#This Row],[CANTIDAD]]</f>
        <v>0</v>
      </c>
      <c r="I160" t="str">
        <f t="shared" si="8"/>
        <v/>
      </c>
    </row>
    <row r="161" spans="2:9" x14ac:dyDescent="0.3">
      <c r="B161" t="e">
        <f>IFERROR(VLOOKUP(A161,lunes!$A:$I,9,FALSE),VLOOKUP(A161,Configuracion!$A:$B,2,FALSE))</f>
        <v>#N/A</v>
      </c>
      <c r="E161">
        <f>IF(C161="Venta", IFERROR(VLOOKUP(A161, Configuracion!$A:$D, 3, FALSE), 0), 0)</f>
        <v>0</v>
      </c>
      <c r="F161">
        <f t="shared" si="7"/>
        <v>0</v>
      </c>
      <c r="H161">
        <f>IF(AND(G161="Gestor", A161&lt;&gt;""), VLOOKUP(A161, Configuracion!$A:$D, 4, FALSE), 0)*Tabla10[[#This Row],[CANTIDAD]]</f>
        <v>0</v>
      </c>
      <c r="I161" t="str">
        <f t="shared" si="8"/>
        <v/>
      </c>
    </row>
    <row r="162" spans="2:9" x14ac:dyDescent="0.3">
      <c r="B162" t="e">
        <f>IFERROR(VLOOKUP(A162,lunes!$A:$I,9,FALSE),VLOOKUP(A162,Configuracion!$A:$B,2,FALSE))</f>
        <v>#N/A</v>
      </c>
      <c r="E162">
        <f>IF(C162="Venta", IFERROR(VLOOKUP(A162, Configuracion!$A:$D, 3, FALSE), 0), 0)</f>
        <v>0</v>
      </c>
      <c r="F162">
        <f t="shared" si="7"/>
        <v>0</v>
      </c>
      <c r="H162">
        <f>IF(AND(G162="Gestor", A162&lt;&gt;""), VLOOKUP(A162, Configuracion!$A:$D, 4, FALSE), 0)*Tabla10[[#This Row],[CANTIDAD]]</f>
        <v>0</v>
      </c>
      <c r="I162" t="str">
        <f t="shared" si="8"/>
        <v/>
      </c>
    </row>
    <row r="163" spans="2:9" x14ac:dyDescent="0.3">
      <c r="B163" t="e">
        <f>IFERROR(VLOOKUP(A163,lunes!$A:$I,9,FALSE),VLOOKUP(A163,Configuracion!$A:$B,2,FALSE))</f>
        <v>#N/A</v>
      </c>
      <c r="E163">
        <f>IF(C163="Venta", IFERROR(VLOOKUP(A163, Configuracion!$A:$D, 3, FALSE), 0), 0)</f>
        <v>0</v>
      </c>
      <c r="F163">
        <f t="shared" si="7"/>
        <v>0</v>
      </c>
      <c r="H163">
        <f>IF(AND(G163="Gestor", A163&lt;&gt;""), VLOOKUP(A163, Configuracion!$A:$D, 4, FALSE), 0)*Tabla10[[#This Row],[CANTIDAD]]</f>
        <v>0</v>
      </c>
      <c r="I163" t="str">
        <f t="shared" si="8"/>
        <v/>
      </c>
    </row>
    <row r="164" spans="2:9" x14ac:dyDescent="0.3">
      <c r="B164" t="e">
        <f>IFERROR(VLOOKUP(A164,lunes!$A:$I,9,FALSE),VLOOKUP(A164,Configuracion!$A:$B,2,FALSE))</f>
        <v>#N/A</v>
      </c>
      <c r="E164">
        <f>IF(C164="Venta", IFERROR(VLOOKUP(A164, Configuracion!$A:$D, 3, FALSE), 0), 0)</f>
        <v>0</v>
      </c>
      <c r="F164">
        <f t="shared" si="7"/>
        <v>0</v>
      </c>
      <c r="H164">
        <f>IF(AND(G164="Gestor", A164&lt;&gt;""), VLOOKUP(A164, Configuracion!$A:$D, 4, FALSE), 0)*Tabla10[[#This Row],[CANTIDAD]]</f>
        <v>0</v>
      </c>
      <c r="I164" t="str">
        <f t="shared" si="8"/>
        <v/>
      </c>
    </row>
    <row r="165" spans="2:9" x14ac:dyDescent="0.3">
      <c r="B165" t="e">
        <f>IFERROR(VLOOKUP(A165,lunes!$A:$I,9,FALSE),VLOOKUP(A165,Configuracion!$A:$B,2,FALSE))</f>
        <v>#N/A</v>
      </c>
      <c r="E165">
        <f>IF(C165="Venta", IFERROR(VLOOKUP(A165, Configuracion!$A:$D, 3, FALSE), 0), 0)</f>
        <v>0</v>
      </c>
      <c r="F165">
        <f t="shared" si="7"/>
        <v>0</v>
      </c>
      <c r="H165">
        <f>IF(AND(G165="Gestor", A165&lt;&gt;""), VLOOKUP(A165, Configuracion!$A:$D, 4, FALSE), 0)*Tabla10[[#This Row],[CANTIDAD]]</f>
        <v>0</v>
      </c>
      <c r="I165" t="str">
        <f t="shared" si="8"/>
        <v/>
      </c>
    </row>
    <row r="166" spans="2:9" x14ac:dyDescent="0.3">
      <c r="B166" t="e">
        <f>IFERROR(VLOOKUP(A166,lunes!$A:$I,9,FALSE),VLOOKUP(A166,Configuracion!$A:$B,2,FALSE))</f>
        <v>#N/A</v>
      </c>
      <c r="E166">
        <f>IF(C166="Venta", IFERROR(VLOOKUP(A166, Configuracion!$A:$D, 3, FALSE), 0), 0)</f>
        <v>0</v>
      </c>
      <c r="F166">
        <f t="shared" si="7"/>
        <v>0</v>
      </c>
      <c r="H166">
        <f>IF(AND(G166="Gestor", A166&lt;&gt;""), VLOOKUP(A166, Configuracion!$A:$D, 4, FALSE), 0)*Tabla10[[#This Row],[CANTIDAD]]</f>
        <v>0</v>
      </c>
      <c r="I166" t="str">
        <f t="shared" si="8"/>
        <v/>
      </c>
    </row>
    <row r="167" spans="2:9" x14ac:dyDescent="0.3">
      <c r="B167" t="e">
        <f>IFERROR(VLOOKUP(A167,lunes!$A:$I,9,FALSE),VLOOKUP(A167,Configuracion!$A:$B,2,FALSE))</f>
        <v>#N/A</v>
      </c>
      <c r="E167">
        <f>IF(C167="Venta", IFERROR(VLOOKUP(A167, Configuracion!$A:$D, 3, FALSE), 0), 0)</f>
        <v>0</v>
      </c>
      <c r="F167">
        <f t="shared" si="7"/>
        <v>0</v>
      </c>
      <c r="H167">
        <f>IF(AND(G167="Gestor", A167&lt;&gt;""), VLOOKUP(A167, Configuracion!$A:$D, 4, FALSE), 0)*Tabla10[[#This Row],[CANTIDAD]]</f>
        <v>0</v>
      </c>
      <c r="I167" t="str">
        <f t="shared" si="8"/>
        <v/>
      </c>
    </row>
    <row r="168" spans="2:9" x14ac:dyDescent="0.3">
      <c r="B168" t="e">
        <f>IFERROR(VLOOKUP(A168,lunes!$A:$I,9,FALSE),VLOOKUP(A168,Configuracion!$A:$B,2,FALSE))</f>
        <v>#N/A</v>
      </c>
      <c r="E168">
        <f>IF(C168="Venta", IFERROR(VLOOKUP(A168, Configuracion!$A:$D, 3, FALSE), 0), 0)</f>
        <v>0</v>
      </c>
      <c r="F168">
        <f t="shared" si="7"/>
        <v>0</v>
      </c>
      <c r="H168">
        <f>IF(AND(G168="Gestor", A168&lt;&gt;""), VLOOKUP(A168, Configuracion!$A:$D, 4, FALSE), 0)*Tabla10[[#This Row],[CANTIDAD]]</f>
        <v>0</v>
      </c>
      <c r="I168" t="str">
        <f t="shared" si="8"/>
        <v/>
      </c>
    </row>
    <row r="169" spans="2:9" x14ac:dyDescent="0.3">
      <c r="B169" t="e">
        <f>IFERROR(VLOOKUP(A169,lunes!$A:$I,9,FALSE),VLOOKUP(A169,Configuracion!$A:$B,2,FALSE))</f>
        <v>#N/A</v>
      </c>
      <c r="E169">
        <f>IF(C169="Venta", IFERROR(VLOOKUP(A169, Configuracion!$A:$D, 3, FALSE), 0), 0)</f>
        <v>0</v>
      </c>
      <c r="F169">
        <f t="shared" si="7"/>
        <v>0</v>
      </c>
      <c r="H169">
        <f>IF(AND(G169="Gestor", A169&lt;&gt;""), VLOOKUP(A169, Configuracion!$A:$D, 4, FALSE), 0)*Tabla10[[#This Row],[CANTIDAD]]</f>
        <v>0</v>
      </c>
      <c r="I169" t="str">
        <f t="shared" si="8"/>
        <v/>
      </c>
    </row>
    <row r="170" spans="2:9" x14ac:dyDescent="0.3">
      <c r="B170" t="e">
        <f>IFERROR(VLOOKUP(A170,lunes!$A:$I,9,FALSE),VLOOKUP(A170,Configuracion!$A:$B,2,FALSE))</f>
        <v>#N/A</v>
      </c>
      <c r="E170">
        <f>IF(C170="Venta", IFERROR(VLOOKUP(A170, Configuracion!$A:$D, 3, FALSE), 0), 0)</f>
        <v>0</v>
      </c>
      <c r="F170">
        <f t="shared" si="7"/>
        <v>0</v>
      </c>
      <c r="H170">
        <f>IF(AND(G170="Gestor", A170&lt;&gt;""), VLOOKUP(A170, Configuracion!$A:$D, 4, FALSE), 0)*Tabla10[[#This Row],[CANTIDAD]]</f>
        <v>0</v>
      </c>
      <c r="I170" t="str">
        <f t="shared" si="8"/>
        <v/>
      </c>
    </row>
    <row r="171" spans="2:9" x14ac:dyDescent="0.3">
      <c r="B171" t="e">
        <f>IFERROR(VLOOKUP(A171,lunes!$A:$I,9,FALSE),VLOOKUP(A171,Configuracion!$A:$B,2,FALSE))</f>
        <v>#N/A</v>
      </c>
      <c r="E171">
        <f>IF(C171="Venta", IFERROR(VLOOKUP(A171, Configuracion!$A:$D, 3, FALSE), 0), 0)</f>
        <v>0</v>
      </c>
      <c r="F171">
        <f t="shared" si="7"/>
        <v>0</v>
      </c>
      <c r="H171">
        <f>IF(AND(G171="Gestor", A171&lt;&gt;""), VLOOKUP(A171, Configuracion!$A:$D, 4, FALSE), 0)*Tabla10[[#This Row],[CANTIDAD]]</f>
        <v>0</v>
      </c>
      <c r="I171" t="str">
        <f t="shared" si="8"/>
        <v/>
      </c>
    </row>
    <row r="172" spans="2:9" x14ac:dyDescent="0.3">
      <c r="B172" t="e">
        <f>IFERROR(VLOOKUP(A172,lunes!$A:$I,9,FALSE),VLOOKUP(A172,Configuracion!$A:$B,2,FALSE))</f>
        <v>#N/A</v>
      </c>
      <c r="E172">
        <f>IF(C172="Venta", IFERROR(VLOOKUP(A172, Configuracion!$A:$D, 3, FALSE), 0), 0)</f>
        <v>0</v>
      </c>
      <c r="F172">
        <f t="shared" si="7"/>
        <v>0</v>
      </c>
      <c r="H172">
        <f>IF(AND(G172="Gestor", A172&lt;&gt;""), VLOOKUP(A172, Configuracion!$A:$D, 4, FALSE), 0)*Tabla10[[#This Row],[CANTIDAD]]</f>
        <v>0</v>
      </c>
      <c r="I172" t="str">
        <f t="shared" si="8"/>
        <v/>
      </c>
    </row>
    <row r="173" spans="2:9" x14ac:dyDescent="0.3">
      <c r="B173" t="e">
        <f>IFERROR(VLOOKUP(A173,lunes!$A:$I,9,FALSE),VLOOKUP(A173,Configuracion!$A:$B,2,FALSE))</f>
        <v>#N/A</v>
      </c>
      <c r="E173">
        <f>IF(C173="Venta", IFERROR(VLOOKUP(A173, Configuracion!$A:$D, 3, FALSE), 0), 0)</f>
        <v>0</v>
      </c>
      <c r="F173">
        <f t="shared" si="7"/>
        <v>0</v>
      </c>
      <c r="H173">
        <f>IF(AND(G173="Gestor", A173&lt;&gt;""), VLOOKUP(A173, Configuracion!$A:$D, 4, FALSE), 0)*Tabla10[[#This Row],[CANTIDAD]]</f>
        <v>0</v>
      </c>
      <c r="I173" t="str">
        <f t="shared" si="8"/>
        <v/>
      </c>
    </row>
    <row r="174" spans="2:9" x14ac:dyDescent="0.3">
      <c r="B174" t="e">
        <f>IFERROR(VLOOKUP(A174,lunes!$A:$I,9,FALSE),VLOOKUP(A174,Configuracion!$A:$B,2,FALSE))</f>
        <v>#N/A</v>
      </c>
      <c r="E174">
        <f>IF(C174="Venta", IFERROR(VLOOKUP(A174, Configuracion!$A:$D, 3, FALSE), 0), 0)</f>
        <v>0</v>
      </c>
      <c r="F174">
        <f t="shared" si="7"/>
        <v>0</v>
      </c>
      <c r="H174">
        <f>IF(AND(G174="Gestor", A174&lt;&gt;""), VLOOKUP(A174, Configuracion!$A:$D, 4, FALSE), 0)*Tabla10[[#This Row],[CANTIDAD]]</f>
        <v>0</v>
      </c>
      <c r="I174" t="str">
        <f t="shared" si="8"/>
        <v/>
      </c>
    </row>
    <row r="175" spans="2:9" x14ac:dyDescent="0.3">
      <c r="B175" t="e">
        <f>IFERROR(VLOOKUP(A175,lunes!$A:$I,9,FALSE),VLOOKUP(A175,Configuracion!$A:$B,2,FALSE))</f>
        <v>#N/A</v>
      </c>
      <c r="E175">
        <f>IF(C175="Venta", IFERROR(VLOOKUP(A175, Configuracion!$A:$D, 3, FALSE), 0), 0)</f>
        <v>0</v>
      </c>
      <c r="F175">
        <f t="shared" si="7"/>
        <v>0</v>
      </c>
      <c r="H175">
        <f>IF(AND(G175="Gestor", A175&lt;&gt;""), VLOOKUP(A175, Configuracion!$A:$D, 4, FALSE), 0)*Tabla10[[#This Row],[CANTIDAD]]</f>
        <v>0</v>
      </c>
      <c r="I175" t="str">
        <f t="shared" si="8"/>
        <v/>
      </c>
    </row>
    <row r="176" spans="2:9" x14ac:dyDescent="0.3">
      <c r="B176" t="e">
        <f>IFERROR(VLOOKUP(A176,lunes!$A:$I,9,FALSE),VLOOKUP(A176,Configuracion!$A:$B,2,FALSE))</f>
        <v>#N/A</v>
      </c>
      <c r="E176">
        <f>IF(C176="Venta", IFERROR(VLOOKUP(A176, Configuracion!$A:$D, 3, FALSE), 0), 0)</f>
        <v>0</v>
      </c>
      <c r="F176">
        <f t="shared" si="7"/>
        <v>0</v>
      </c>
      <c r="H176">
        <f>IF(AND(G176="Gestor", A176&lt;&gt;""), VLOOKUP(A176, Configuracion!$A:$D, 4, FALSE), 0)*Tabla10[[#This Row],[CANTIDAD]]</f>
        <v>0</v>
      </c>
      <c r="I176" t="str">
        <f t="shared" si="8"/>
        <v/>
      </c>
    </row>
    <row r="177" spans="2:9" x14ac:dyDescent="0.3">
      <c r="B177" t="e">
        <f>IFERROR(VLOOKUP(A177,lunes!$A:$I,9,FALSE),VLOOKUP(A177,Configuracion!$A:$B,2,FALSE))</f>
        <v>#N/A</v>
      </c>
      <c r="E177">
        <f>IF(C177="Venta", IFERROR(VLOOKUP(A177, Configuracion!$A:$D, 3, FALSE), 0), 0)</f>
        <v>0</v>
      </c>
      <c r="F177">
        <f t="shared" si="7"/>
        <v>0</v>
      </c>
      <c r="H177">
        <f>IF(AND(G177="Gestor", A177&lt;&gt;""), VLOOKUP(A177, Configuracion!$A:$D, 4, FALSE), 0)*Tabla10[[#This Row],[CANTIDAD]]</f>
        <v>0</v>
      </c>
      <c r="I177" t="str">
        <f t="shared" ref="I177:I190" si="9">IF(OR(A177="", D177=""), "", IF(C177="Entrada", B177+D177, IF(OR(C177="Venta", C177="Salida"), B177-D177, B177)))</f>
        <v/>
      </c>
    </row>
    <row r="178" spans="2:9" x14ac:dyDescent="0.3">
      <c r="B178" t="e">
        <f>IFERROR(VLOOKUP(A178,lunes!$A:$I,9,FALSE),VLOOKUP(A178,Configuracion!$A:$B,2,FALSE))</f>
        <v>#N/A</v>
      </c>
      <c r="E178">
        <f>IF(C178="Venta", IFERROR(VLOOKUP(A178, Configuracion!$A:$D, 3, FALSE), 0), 0)</f>
        <v>0</v>
      </c>
      <c r="F178">
        <f t="shared" si="7"/>
        <v>0</v>
      </c>
      <c r="H178">
        <f>IF(AND(G178="Gestor", A178&lt;&gt;""), VLOOKUP(A178, Configuracion!$A:$D, 4, FALSE), 0)*Tabla10[[#This Row],[CANTIDAD]]</f>
        <v>0</v>
      </c>
      <c r="I178" t="str">
        <f t="shared" si="9"/>
        <v/>
      </c>
    </row>
    <row r="179" spans="2:9" x14ac:dyDescent="0.3">
      <c r="B179" t="e">
        <f>IFERROR(VLOOKUP(A179,lunes!$A:$I,9,FALSE),VLOOKUP(A179,Configuracion!$A:$B,2,FALSE))</f>
        <v>#N/A</v>
      </c>
      <c r="E179">
        <f>IF(C179="Venta", IFERROR(VLOOKUP(A179, Configuracion!$A:$D, 3, FALSE), 0), 0)</f>
        <v>0</v>
      </c>
      <c r="F179">
        <f t="shared" si="7"/>
        <v>0</v>
      </c>
      <c r="H179">
        <f>IF(AND(G179="Gestor", A179&lt;&gt;""), VLOOKUP(A179, Configuracion!$A:$D, 4, FALSE), 0)*Tabla10[[#This Row],[CANTIDAD]]</f>
        <v>0</v>
      </c>
      <c r="I179" t="str">
        <f t="shared" si="9"/>
        <v/>
      </c>
    </row>
    <row r="180" spans="2:9" x14ac:dyDescent="0.3">
      <c r="B180" t="e">
        <f>IFERROR(VLOOKUP(A180,lunes!$A:$I,9,FALSE),VLOOKUP(A180,Configuracion!$A:$B,2,FALSE))</f>
        <v>#N/A</v>
      </c>
      <c r="E180">
        <f>IF(C180="Venta", IFERROR(VLOOKUP(A180, Configuracion!$A:$D, 3, FALSE), 0), 0)</f>
        <v>0</v>
      </c>
      <c r="F180">
        <f t="shared" si="7"/>
        <v>0</v>
      </c>
      <c r="H180">
        <f>IF(AND(G180="Gestor", A180&lt;&gt;""), VLOOKUP(A180, Configuracion!$A:$D, 4, FALSE), 0)*Tabla10[[#This Row],[CANTIDAD]]</f>
        <v>0</v>
      </c>
      <c r="I180" t="str">
        <f t="shared" si="9"/>
        <v/>
      </c>
    </row>
    <row r="181" spans="2:9" x14ac:dyDescent="0.3">
      <c r="B181" t="e">
        <f>IFERROR(VLOOKUP(A181,lunes!$A:$I,9,FALSE),VLOOKUP(A181,Configuracion!$A:$B,2,FALSE))</f>
        <v>#N/A</v>
      </c>
      <c r="E181">
        <f>IF(C181="Venta", IFERROR(VLOOKUP(A181, Configuracion!$A:$D, 3, FALSE), 0), 0)</f>
        <v>0</v>
      </c>
      <c r="F181">
        <f t="shared" si="7"/>
        <v>0</v>
      </c>
      <c r="H181">
        <f>IF(AND(G181="Gestor", A181&lt;&gt;""), VLOOKUP(A181, Configuracion!$A:$D, 4, FALSE), 0)*Tabla10[[#This Row],[CANTIDAD]]</f>
        <v>0</v>
      </c>
      <c r="I181" t="str">
        <f t="shared" si="9"/>
        <v/>
      </c>
    </row>
    <row r="182" spans="2:9" x14ac:dyDescent="0.3">
      <c r="B182" t="e">
        <f>IFERROR(VLOOKUP(A182,lunes!$A:$I,9,FALSE),VLOOKUP(A182,Configuracion!$A:$B,2,FALSE))</f>
        <v>#N/A</v>
      </c>
      <c r="E182">
        <f>IF(C182="Venta", IFERROR(VLOOKUP(A182, Configuracion!$A:$D, 3, FALSE), 0), 0)</f>
        <v>0</v>
      </c>
      <c r="F182">
        <f t="shared" si="7"/>
        <v>0</v>
      </c>
      <c r="H182">
        <f>IF(AND(G182="Gestor", A182&lt;&gt;""), VLOOKUP(A182, Configuracion!$A:$D, 4, FALSE), 0)*Tabla10[[#This Row],[CANTIDAD]]</f>
        <v>0</v>
      </c>
      <c r="I182" t="str">
        <f t="shared" si="9"/>
        <v/>
      </c>
    </row>
    <row r="183" spans="2:9" x14ac:dyDescent="0.3">
      <c r="B183" t="e">
        <f>IFERROR(VLOOKUP(A183,lunes!$A:$I,9,FALSE),VLOOKUP(A183,Configuracion!$A:$B,2,FALSE))</f>
        <v>#N/A</v>
      </c>
      <c r="E183">
        <f>IF(C183="Venta", IFERROR(VLOOKUP(A183, Configuracion!$A:$D, 3, FALSE), 0), 0)</f>
        <v>0</v>
      </c>
      <c r="F183">
        <f t="shared" si="7"/>
        <v>0</v>
      </c>
      <c r="H183">
        <f>IF(AND(G183="Gestor", A183&lt;&gt;""), VLOOKUP(A183, Configuracion!$A:$D, 4, FALSE), 0)*Tabla10[[#This Row],[CANTIDAD]]</f>
        <v>0</v>
      </c>
      <c r="I183" t="str">
        <f t="shared" si="9"/>
        <v/>
      </c>
    </row>
    <row r="184" spans="2:9" x14ac:dyDescent="0.3">
      <c r="B184" t="e">
        <f>IFERROR(VLOOKUP(A184,lunes!$A:$I,9,FALSE),VLOOKUP(A184,Configuracion!$A:$B,2,FALSE))</f>
        <v>#N/A</v>
      </c>
      <c r="E184">
        <f>IF(C184="Venta", IFERROR(VLOOKUP(A184, Configuracion!$A:$D, 3, FALSE), 0), 0)</f>
        <v>0</v>
      </c>
      <c r="F184">
        <f t="shared" si="7"/>
        <v>0</v>
      </c>
      <c r="H184">
        <f>IF(AND(G184="Gestor", A184&lt;&gt;""), VLOOKUP(A184, Configuracion!$A:$D, 4, FALSE), 0)*Tabla10[[#This Row],[CANTIDAD]]</f>
        <v>0</v>
      </c>
      <c r="I184" t="str">
        <f t="shared" si="9"/>
        <v/>
      </c>
    </row>
    <row r="185" spans="2:9" x14ac:dyDescent="0.3">
      <c r="B185" t="e">
        <f>IFERROR(VLOOKUP(A185,lunes!$A:$I,9,FALSE),VLOOKUP(A185,Configuracion!$A:$B,2,FALSE))</f>
        <v>#N/A</v>
      </c>
      <c r="E185">
        <f>IF(C185="Venta", IFERROR(VLOOKUP(A185, Configuracion!$A:$D, 3, FALSE), 0), 0)</f>
        <v>0</v>
      </c>
      <c r="F185">
        <f t="shared" si="7"/>
        <v>0</v>
      </c>
      <c r="H185">
        <f>IF(AND(G185="Gestor", A185&lt;&gt;""), VLOOKUP(A185, Configuracion!$A:$D, 4, FALSE), 0)*Tabla10[[#This Row],[CANTIDAD]]</f>
        <v>0</v>
      </c>
      <c r="I185" t="str">
        <f t="shared" si="9"/>
        <v/>
      </c>
    </row>
    <row r="186" spans="2:9" x14ac:dyDescent="0.3">
      <c r="B186" t="e">
        <f>IFERROR(VLOOKUP(A186,lunes!$A:$I,9,FALSE),VLOOKUP(A186,Configuracion!$A:$B,2,FALSE))</f>
        <v>#N/A</v>
      </c>
      <c r="E186">
        <f>IF(C186="Venta", IFERROR(VLOOKUP(A186, Configuracion!$A:$D, 3, FALSE), 0), 0)</f>
        <v>0</v>
      </c>
      <c r="F186">
        <f t="shared" si="7"/>
        <v>0</v>
      </c>
      <c r="H186">
        <f>IF(AND(G186="Gestor", A186&lt;&gt;""), VLOOKUP(A186, Configuracion!$A:$D, 4, FALSE), 0)*Tabla10[[#This Row],[CANTIDAD]]</f>
        <v>0</v>
      </c>
      <c r="I186" t="str">
        <f t="shared" si="9"/>
        <v/>
      </c>
    </row>
    <row r="187" spans="2:9" x14ac:dyDescent="0.3">
      <c r="B187" t="e">
        <f>IFERROR(VLOOKUP(A187,lunes!$A:$I,9,FALSE),VLOOKUP(A187,Configuracion!$A:$B,2,FALSE))</f>
        <v>#N/A</v>
      </c>
      <c r="E187">
        <f>IF(C187="Venta", IFERROR(VLOOKUP(A187, Configuracion!$A:$D, 3, FALSE), 0), 0)</f>
        <v>0</v>
      </c>
      <c r="F187">
        <f t="shared" si="7"/>
        <v>0</v>
      </c>
      <c r="H187">
        <f>IF(AND(G187="Gestor", A187&lt;&gt;""), VLOOKUP(A187, Configuracion!$A:$D, 4, FALSE), 0)*Tabla10[[#This Row],[CANTIDAD]]</f>
        <v>0</v>
      </c>
      <c r="I187" t="str">
        <f t="shared" si="9"/>
        <v/>
      </c>
    </row>
    <row r="188" spans="2:9" x14ac:dyDescent="0.3">
      <c r="B188" t="e">
        <f>IFERROR(VLOOKUP(A188,lunes!$A:$I,9,FALSE),VLOOKUP(A188,Configuracion!$A:$B,2,FALSE))</f>
        <v>#N/A</v>
      </c>
      <c r="E188">
        <f>IF(C188="Venta", IFERROR(VLOOKUP(A188, Configuracion!$A:$D, 3, FALSE), 0), 0)</f>
        <v>0</v>
      </c>
      <c r="F188">
        <f t="shared" si="7"/>
        <v>0</v>
      </c>
      <c r="H188">
        <f>IF(AND(G188="Gestor", A188&lt;&gt;""), VLOOKUP(A188, Configuracion!$A:$D, 4, FALSE), 0)*Tabla10[[#This Row],[CANTIDAD]]</f>
        <v>0</v>
      </c>
      <c r="I188" t="str">
        <f t="shared" si="9"/>
        <v/>
      </c>
    </row>
    <row r="189" spans="2:9" x14ac:dyDescent="0.3">
      <c r="B189" t="e">
        <f>IFERROR(VLOOKUP(A189,lunes!$A:$I,9,FALSE),VLOOKUP(A189,Configuracion!$A:$B,2,FALSE))</f>
        <v>#N/A</v>
      </c>
      <c r="E189">
        <f>IF(C189="Venta", IFERROR(VLOOKUP(A189, Configuracion!$A:$D, 3, FALSE), 0), 0)</f>
        <v>0</v>
      </c>
      <c r="F189">
        <f t="shared" si="7"/>
        <v>0</v>
      </c>
      <c r="H189">
        <f>IF(AND(G189="Gestor", A189&lt;&gt;""), VLOOKUP(A189, Configuracion!$A:$D, 4, FALSE), 0)*Tabla10[[#This Row],[CANTIDAD]]</f>
        <v>0</v>
      </c>
      <c r="I189" t="str">
        <f t="shared" si="9"/>
        <v/>
      </c>
    </row>
    <row r="190" spans="2:9" x14ac:dyDescent="0.3">
      <c r="B190" t="e">
        <f>IFERROR(VLOOKUP(A190,lunes!$A:$I,9,FALSE),VLOOKUP(A190,Configuracion!$A:$B,2,FALSE))</f>
        <v>#N/A</v>
      </c>
      <c r="E190">
        <f>IF(C190="Venta", IFERROR(VLOOKUP(A190, Configuracion!$A:$D, 3, FALSE), 0), 0)</f>
        <v>0</v>
      </c>
      <c r="F190">
        <f t="shared" si="7"/>
        <v>0</v>
      </c>
      <c r="H190">
        <f>IF(AND(G190="Gestor", A190&lt;&gt;""), VLOOKUP(A190, Configuracion!$A:$D, 4, FALSE), 0)*Tabla10[[#This Row],[CANTIDAD]]</f>
        <v>0</v>
      </c>
      <c r="I190" t="str">
        <f t="shared" si="9"/>
        <v/>
      </c>
    </row>
    <row r="191" spans="2:9" x14ac:dyDescent="0.3">
      <c r="B191">
        <f>IFERROR(VLOOKUP(A191, lunes!$A:$I, 9, FALSE), 0)</f>
        <v>0</v>
      </c>
      <c r="E191">
        <f>IF(C191="Venta", IFERROR(VLOOKUP(A191, Configuracion!$A:$D, 3, FALSE), 0), 0)</f>
        <v>0</v>
      </c>
      <c r="F191">
        <f t="shared" si="7"/>
        <v>0</v>
      </c>
      <c r="H191">
        <f>IF(AND(G191="Gestor", A191&lt;&gt;""), VLOOKUP(A191, Configuracion!$A:$D, 4, FALSE), 0)*Tabla10[[#This Row],[CANTIDAD]]</f>
        <v>0</v>
      </c>
    </row>
    <row r="192" spans="2:9" x14ac:dyDescent="0.3">
      <c r="F192">
        <f>SUM(F2:F191)</f>
        <v>2075</v>
      </c>
      <c r="H192">
        <f>SUM(H2:H191)</f>
        <v>14000</v>
      </c>
    </row>
  </sheetData>
  <mergeCells count="1">
    <mergeCell ref="P19:Q19"/>
  </mergeCells>
  <dataValidations count="3">
    <dataValidation type="list" allowBlank="1" showInputMessage="1" showErrorMessage="1" sqref="C2:C191 C193:C195" xr:uid="{00000000-0002-0000-0200-000000000000}">
      <formula1>"ENTRADA, SALIDA, VENTA"</formula1>
    </dataValidation>
    <dataValidation type="list" allowBlank="1" showInputMessage="1" showErrorMessage="1" sqref="A2:A191 A193:A195" xr:uid="{00000000-0002-0000-0200-000001000000}">
      <formula1>LISTA_PRODUCTOS</formula1>
    </dataValidation>
    <dataValidation type="list" allowBlank="1" showInputMessage="1" showErrorMessage="1" sqref="G2:G191 G193:G195" xr:uid="{00000000-0002-0000-0200-000002000000}">
      <formula1>"TIENDA, GESTOR, MOV"</formula1>
    </dataValidation>
  </dataValidations>
  <pageMargins left="0.7" right="0.7" top="0.75" bottom="0.75" header="0.3" footer="0.3"/>
  <pageSetup paperSize="9" orientation="portrait" horizontalDpi="1200" verticalDpi="1200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90"/>
  <sheetViews>
    <sheetView workbookViewId="0">
      <selection activeCell="L14" sqref="L14"/>
    </sheetView>
  </sheetViews>
  <sheetFormatPr baseColWidth="10" defaultColWidth="11.5546875" defaultRowHeight="14.4" x14ac:dyDescent="0.3"/>
  <cols>
    <col min="1" max="1" width="28.88671875" customWidth="1"/>
    <col min="2" max="2" width="15.109375" customWidth="1"/>
    <col min="3" max="3" width="14.6640625" customWidth="1"/>
    <col min="4" max="4" width="11.6640625" style="17" customWidth="1"/>
    <col min="5" max="5" width="15.33203125" customWidth="1"/>
    <col min="6" max="6" width="10.6640625" customWidth="1"/>
    <col min="7" max="7" width="22.33203125" customWidth="1"/>
    <col min="8" max="8" width="11.88671875" customWidth="1"/>
    <col min="9" max="9" width="13.6640625" customWidth="1"/>
    <col min="10" max="10" width="5.33203125" customWidth="1"/>
    <col min="11" max="11" width="14.44140625" customWidth="1"/>
    <col min="12" max="12" width="12.6640625" customWidth="1"/>
    <col min="14" max="14" width="15.6640625" customWidth="1"/>
  </cols>
  <sheetData>
    <row r="1" spans="1:19" x14ac:dyDescent="0.3">
      <c r="A1" s="1" t="s">
        <v>7</v>
      </c>
      <c r="B1" s="1" t="s">
        <v>3</v>
      </c>
      <c r="C1" s="1" t="s">
        <v>8</v>
      </c>
      <c r="D1" s="16" t="s">
        <v>9</v>
      </c>
      <c r="E1" s="1" t="s">
        <v>1</v>
      </c>
      <c r="F1" s="1" t="s">
        <v>185</v>
      </c>
      <c r="G1" s="1" t="s">
        <v>189</v>
      </c>
      <c r="H1" s="1" t="s">
        <v>2</v>
      </c>
      <c r="I1" s="1" t="s">
        <v>6</v>
      </c>
      <c r="J1" s="1"/>
      <c r="K1" s="8" t="s">
        <v>200</v>
      </c>
      <c r="L1" s="9" t="s">
        <v>218</v>
      </c>
      <c r="M1" s="1"/>
      <c r="N1" s="1"/>
      <c r="O1" s="1" t="s">
        <v>9</v>
      </c>
      <c r="P1" s="1" t="s">
        <v>192</v>
      </c>
      <c r="Q1" s="1" t="s">
        <v>244</v>
      </c>
      <c r="R1" s="23" t="s">
        <v>192</v>
      </c>
      <c r="S1" s="23" t="s">
        <v>226</v>
      </c>
    </row>
    <row r="2" spans="1:19" x14ac:dyDescent="0.3">
      <c r="B2" t="e">
        <f>IFERROR(VLOOKUP(A2,martes!$A:$I,9,FALSE),IFERROR(VLOOKUP(A2,lunes!$A:$I,9,FALSE),VLOOKUP(A2,Configuracion!$A:$B,2,FALSE)))</f>
        <v>#N/A</v>
      </c>
      <c r="C2" t="s">
        <v>184</v>
      </c>
      <c r="D2" s="17">
        <v>1</v>
      </c>
      <c r="E2">
        <f>IF(C2="Venta", IFERROR(VLOOKUP(A2, Configuracion!$A:$D, 3, FALSE), 0), 0)</f>
        <v>0</v>
      </c>
      <c r="F2">
        <f>E2*D2</f>
        <v>0</v>
      </c>
      <c r="G2" t="s">
        <v>188</v>
      </c>
      <c r="H2">
        <f>IF(AND(G2="Gestor", A2&lt;&gt;""), VLOOKUP(A2, Configuracion!$A:$D, 4, FALSE), 0)*Tabla1021[[#This Row],[CANTIDAD]]</f>
        <v>0</v>
      </c>
      <c r="I2" t="str">
        <f t="shared" ref="I2:I33" si="0">IF(OR(A2="", D2=""), "", IF(C2="Entrada", B2+D2, IF(OR(C2="Venta", C2="Salida"), B2-D2, B2)))</f>
        <v/>
      </c>
      <c r="K2" s="6" t="s">
        <v>205</v>
      </c>
      <c r="L2" s="7">
        <v>540</v>
      </c>
      <c r="N2" s="2" t="s">
        <v>191</v>
      </c>
      <c r="O2" s="2">
        <f>Tabla15[[#Totals],[IMPORTE]]</f>
        <v>9440</v>
      </c>
      <c r="P2" s="2">
        <f>O2</f>
        <v>9440</v>
      </c>
      <c r="Q2" s="1"/>
    </row>
    <row r="3" spans="1:19" x14ac:dyDescent="0.3">
      <c r="B3" t="e">
        <f>IFERROR(VLOOKUP(A3,martes!$A:$I,9,FALSE),IFERROR(VLOOKUP(A3,lunes!$A:$I,9,FALSE),VLOOKUP(A3,Configuracion!$A:$B,2,FALSE)))</f>
        <v>#N/A</v>
      </c>
      <c r="C3" t="s">
        <v>184</v>
      </c>
      <c r="D3" s="17">
        <v>1</v>
      </c>
      <c r="E3">
        <f>IF(C3="Venta", IFERROR(VLOOKUP(A3, Configuracion!$A:$D, 3, FALSE), 0), 0)</f>
        <v>0</v>
      </c>
      <c r="F3">
        <f>E3*D3</f>
        <v>0</v>
      </c>
      <c r="G3" t="s">
        <v>10</v>
      </c>
      <c r="H3">
        <f>IF(AND(G3="Gestor", A3&lt;&gt;""), VLOOKUP(A3, Configuracion!$A:$D, 4, FALSE), 0)*Tabla1021[[#This Row],[CANTIDAD]]</f>
        <v>0</v>
      </c>
      <c r="I3" t="str">
        <f t="shared" si="0"/>
        <v/>
      </c>
      <c r="K3" s="10" t="s">
        <v>206</v>
      </c>
      <c r="L3" s="11">
        <v>20</v>
      </c>
      <c r="N3" s="3" t="s">
        <v>194</v>
      </c>
      <c r="O3" s="3">
        <v>4710</v>
      </c>
      <c r="P3" s="3">
        <f>O3</f>
        <v>4710</v>
      </c>
    </row>
    <row r="4" spans="1:19" x14ac:dyDescent="0.3">
      <c r="B4" t="e">
        <f>IFERROR(VLOOKUP(A4,martes!$A:$I,9,FALSE),IFERROR(VLOOKUP(A4,lunes!$A:$I,9,FALSE),VLOOKUP(A4,Configuracion!$A:$B,2,FALSE)))</f>
        <v>#N/A</v>
      </c>
      <c r="C4" t="s">
        <v>186</v>
      </c>
      <c r="D4" s="17">
        <v>2</v>
      </c>
      <c r="E4">
        <f>IF(C4="Venta", IFERROR(VLOOKUP(A4, Configuracion!$A:$D, 3, FALSE), 0), 0)</f>
        <v>0</v>
      </c>
      <c r="F4">
        <f t="shared" ref="F4:F67" si="1">E4*D4</f>
        <v>0</v>
      </c>
      <c r="H4">
        <f>IF(AND(G4="Gestor", A4&lt;&gt;""), VLOOKUP(A4, Configuracion!$A:$D, 4, FALSE), 0)*Tabla1021[[#This Row],[CANTIDAD]]</f>
        <v>0</v>
      </c>
      <c r="I4" t="str">
        <f t="shared" si="0"/>
        <v/>
      </c>
      <c r="N4" s="3" t="s">
        <v>195</v>
      </c>
      <c r="O4" s="3">
        <v>380</v>
      </c>
      <c r="P4" s="3">
        <f>O4</f>
        <v>380</v>
      </c>
    </row>
    <row r="5" spans="1:19" x14ac:dyDescent="0.3">
      <c r="B5" t="e">
        <f>IFERROR(VLOOKUP(A5,martes!$A:$I,9,FALSE),IFERROR(VLOOKUP(A5,lunes!$A:$I,9,FALSE),VLOOKUP(A5,Configuracion!$A:$B,2,FALSE)))</f>
        <v>#N/A</v>
      </c>
      <c r="E5">
        <f>IF(C5="Venta", IFERROR(VLOOKUP(A5, Configuracion!$A:$D, 3, FALSE), 0), 0)</f>
        <v>0</v>
      </c>
      <c r="F5">
        <f t="shared" si="1"/>
        <v>0</v>
      </c>
      <c r="H5">
        <f>IF(AND(G5="Gestor", A5&lt;&gt;""), VLOOKUP(A5, Configuracion!$A:$D, 4, FALSE), 0)*Tabla1021[[#This Row],[CANTIDAD]]</f>
        <v>0</v>
      </c>
      <c r="I5" t="str">
        <f t="shared" si="0"/>
        <v/>
      </c>
      <c r="N5" s="3" t="s">
        <v>196</v>
      </c>
      <c r="O5" s="3"/>
      <c r="P5" s="3">
        <f>O5/L3</f>
        <v>0</v>
      </c>
    </row>
    <row r="6" spans="1:19" x14ac:dyDescent="0.3">
      <c r="B6" t="e">
        <f>IFERROR(VLOOKUP(A6,martes!$A:$I,9,FALSE),IFERROR(VLOOKUP(A6,lunes!$A:$I,9,FALSE),VLOOKUP(A6,Configuracion!$A:$B,2,FALSE)))</f>
        <v>#N/A</v>
      </c>
      <c r="E6">
        <f>IF(C6="Venta", IFERROR(VLOOKUP(A6, Configuracion!$A:$D, 3, FALSE), 0), 0)</f>
        <v>0</v>
      </c>
      <c r="F6">
        <f t="shared" si="1"/>
        <v>0</v>
      </c>
      <c r="H6">
        <f>IF(AND(G6="Gestor", A6&lt;&gt;""), VLOOKUP(A6, Configuracion!$A:$D, 4, FALSE), 0)*Tabla1021[[#This Row],[CANTIDAD]]</f>
        <v>0</v>
      </c>
      <c r="I6" t="str">
        <f t="shared" si="0"/>
        <v/>
      </c>
      <c r="N6" s="3" t="s">
        <v>197</v>
      </c>
      <c r="O6" s="3">
        <v>1252800</v>
      </c>
      <c r="P6" s="3">
        <f>O6/L2</f>
        <v>2320</v>
      </c>
    </row>
    <row r="7" spans="1:19" x14ac:dyDescent="0.3">
      <c r="B7" t="e">
        <f>IFERROR(VLOOKUP(A7,martes!$A:$I,9,FALSE),IFERROR(VLOOKUP(A7,lunes!$A:$I,9,FALSE),VLOOKUP(A7,Configuracion!$A:$B,2,FALSE)))</f>
        <v>#N/A</v>
      </c>
      <c r="E7">
        <f>IF(C7="Venta", IFERROR(VLOOKUP(A7, Configuracion!$A:$D, 3, FALSE), 0), 0)</f>
        <v>0</v>
      </c>
      <c r="F7">
        <f t="shared" si="1"/>
        <v>0</v>
      </c>
      <c r="H7">
        <f>IF(AND(G7="Gestor", A7&lt;&gt;""), VLOOKUP(A7, Configuracion!$A:$D, 4, FALSE), 0)*Tabla1021[[#This Row],[CANTIDAD]]</f>
        <v>0</v>
      </c>
      <c r="I7" t="str">
        <f t="shared" si="0"/>
        <v/>
      </c>
      <c r="N7" s="3" t="s">
        <v>198</v>
      </c>
      <c r="O7" s="3"/>
      <c r="P7" s="3">
        <f>O7/L2</f>
        <v>0</v>
      </c>
    </row>
    <row r="8" spans="1:19" x14ac:dyDescent="0.3">
      <c r="B8" t="e">
        <f>IFERROR(VLOOKUP(A8,martes!$A:$I,9,FALSE),IFERROR(VLOOKUP(A8,lunes!$A:$I,9,FALSE),VLOOKUP(A8,Configuracion!$A:$B,2,FALSE)))</f>
        <v>#N/A</v>
      </c>
      <c r="E8">
        <f>IF(C8="Venta", IFERROR(VLOOKUP(A8, Configuracion!$A:$D, 3, FALSE), 0), 0)</f>
        <v>0</v>
      </c>
      <c r="F8">
        <f t="shared" si="1"/>
        <v>0</v>
      </c>
      <c r="H8">
        <f>IF(AND(G8="Gestor", A8&lt;&gt;""), VLOOKUP(A8, Configuracion!$A:$D, 4, FALSE), 0)*Tabla1021[[#This Row],[CANTIDAD]]</f>
        <v>0</v>
      </c>
      <c r="I8" t="str">
        <f t="shared" si="0"/>
        <v/>
      </c>
      <c r="N8" s="3" t="s">
        <v>199</v>
      </c>
      <c r="O8" s="3"/>
      <c r="P8" s="3">
        <f>O8</f>
        <v>0</v>
      </c>
    </row>
    <row r="9" spans="1:19" x14ac:dyDescent="0.3">
      <c r="B9" t="e">
        <f>IFERROR(VLOOKUP(A9,martes!$A:$I,9,FALSE),IFERROR(VLOOKUP(A9,lunes!$A:$I,9,FALSE),VLOOKUP(A9,Configuracion!$A:$B,2,FALSE)))</f>
        <v>#N/A</v>
      </c>
      <c r="E9">
        <f>IF(C9="Venta", IFERROR(VLOOKUP(A9, Configuracion!$A:$D, 3, FALSE), 0), 0)</f>
        <v>0</v>
      </c>
      <c r="F9">
        <f t="shared" si="1"/>
        <v>0</v>
      </c>
      <c r="H9">
        <f>IF(AND(G9="Gestor", A9&lt;&gt;""), VLOOKUP(A9, Configuracion!$A:$D, 4, FALSE), 0)*Tabla1021[[#This Row],[CANTIDAD]]</f>
        <v>0</v>
      </c>
      <c r="I9" t="str">
        <f t="shared" si="0"/>
        <v/>
      </c>
      <c r="N9" s="2" t="s">
        <v>193</v>
      </c>
      <c r="O9" s="3"/>
      <c r="P9" s="5">
        <f>P3+P4+P5+P6+P7+P8</f>
        <v>7410</v>
      </c>
      <c r="Q9" s="27"/>
    </row>
    <row r="10" spans="1:19" x14ac:dyDescent="0.3">
      <c r="B10" t="e">
        <f>IFERROR(VLOOKUP(A10,martes!$A:$I,9,FALSE),IFERROR(VLOOKUP(A10,lunes!$A:$I,9,FALSE),VLOOKUP(A10,Configuracion!$A:$B,2,FALSE)))</f>
        <v>#N/A</v>
      </c>
      <c r="E10">
        <f>IF(C10="Venta", IFERROR(VLOOKUP(A10, Configuracion!$A:$D, 3, FALSE), 0), 0)</f>
        <v>0</v>
      </c>
      <c r="F10">
        <f t="shared" si="1"/>
        <v>0</v>
      </c>
      <c r="H10">
        <f>IF(AND(G10="Gestor", A10&lt;&gt;""), VLOOKUP(A10, Configuracion!$A:$D, 4, FALSE), 0)*Tabla1021[[#This Row],[CANTIDAD]]</f>
        <v>0</v>
      </c>
      <c r="I10" t="str">
        <f t="shared" si="0"/>
        <v/>
      </c>
      <c r="N10" s="2" t="s">
        <v>208</v>
      </c>
      <c r="O10" s="3"/>
      <c r="P10" s="3">
        <f>P12+P11</f>
        <v>20</v>
      </c>
    </row>
    <row r="11" spans="1:19" x14ac:dyDescent="0.3">
      <c r="B11" t="e">
        <f>IFERROR(VLOOKUP(A11,martes!$A:$I,9,FALSE),IFERROR(VLOOKUP(A11,lunes!$A:$I,9,FALSE),VLOOKUP(A11,Configuracion!$A:$B,2,FALSE)))</f>
        <v>#N/A</v>
      </c>
      <c r="E11">
        <f>IF(C11="Venta", IFERROR(VLOOKUP(A11, Configuracion!$A:$D, 3, FALSE), 0), 0)</f>
        <v>0</v>
      </c>
      <c r="F11">
        <f t="shared" si="1"/>
        <v>0</v>
      </c>
      <c r="H11">
        <f>IF(AND(G11="Gestor", A11&lt;&gt;""), VLOOKUP(A11, Configuracion!$A:$D, 4, FALSE), 0)*Tabla1021[[#This Row],[CANTIDAD]]</f>
        <v>0</v>
      </c>
      <c r="I11" t="str">
        <f t="shared" si="0"/>
        <v/>
      </c>
      <c r="N11" s="3" t="s">
        <v>212</v>
      </c>
      <c r="O11" s="3"/>
      <c r="P11" s="3">
        <f>O11/L2</f>
        <v>0</v>
      </c>
    </row>
    <row r="12" spans="1:19" x14ac:dyDescent="0.3">
      <c r="B12" t="e">
        <f>IFERROR(VLOOKUP(A12,martes!$A:$I,9,FALSE),IFERROR(VLOOKUP(A12,lunes!$A:$I,9,FALSE),VLOOKUP(A12,Configuracion!$A:$B,2,FALSE)))</f>
        <v>#N/A</v>
      </c>
      <c r="E12">
        <f>IF(C12="Venta", IFERROR(VLOOKUP(A12, Configuracion!$A:$D, 3, FALSE), 0), 0)</f>
        <v>0</v>
      </c>
      <c r="F12">
        <f t="shared" si="1"/>
        <v>0</v>
      </c>
      <c r="H12">
        <f>IF(AND(G12="Gestor", A12&lt;&gt;""), VLOOKUP(A12, Configuracion!$A:$D, 4, FALSE), 0)*Tabla1021[[#This Row],[CANTIDAD]]</f>
        <v>0</v>
      </c>
      <c r="I12" t="str">
        <f t="shared" si="0"/>
        <v/>
      </c>
      <c r="N12" s="3" t="s">
        <v>194</v>
      </c>
      <c r="O12" s="3">
        <v>20</v>
      </c>
      <c r="P12" s="3">
        <f>O12</f>
        <v>20</v>
      </c>
      <c r="Q12" t="s">
        <v>245</v>
      </c>
    </row>
    <row r="13" spans="1:19" x14ac:dyDescent="0.3">
      <c r="B13" t="e">
        <f>IFERROR(VLOOKUP(A13,martes!$A:$I,9,FALSE),IFERROR(VLOOKUP(A13,lunes!$A:$I,9,FALSE),VLOOKUP(A13,Configuracion!$A:$B,2,FALSE)))</f>
        <v>#N/A</v>
      </c>
      <c r="E13">
        <f>IF(C13="Venta", IFERROR(VLOOKUP(A13, Configuracion!$A:$D, 3, FALSE), 0), 0)</f>
        <v>0</v>
      </c>
      <c r="F13">
        <f t="shared" si="1"/>
        <v>0</v>
      </c>
      <c r="H13">
        <f>IF(AND(G13="Gestor", A13&lt;&gt;""), VLOOKUP(A13, Configuracion!$A:$D, 4, FALSE), 0)*Tabla1021[[#This Row],[CANTIDAD]]</f>
        <v>0</v>
      </c>
      <c r="I13" t="str">
        <f t="shared" si="0"/>
        <v/>
      </c>
      <c r="N13" s="2" t="s">
        <v>201</v>
      </c>
      <c r="O13" s="3"/>
      <c r="P13" s="3">
        <f>P15+P14</f>
        <v>2050</v>
      </c>
    </row>
    <row r="14" spans="1:19" x14ac:dyDescent="0.3">
      <c r="B14" t="e">
        <f>IFERROR(VLOOKUP(A14,martes!$A:$I,9,FALSE),IFERROR(VLOOKUP(A14,lunes!$A:$I,9,FALSE),VLOOKUP(A14,Configuracion!$A:$B,2,FALSE)))</f>
        <v>#N/A</v>
      </c>
      <c r="E14">
        <f>IF(C14="Venta", IFERROR(VLOOKUP(A14, Configuracion!$A:$D, 3, FALSE), 0), 0)</f>
        <v>0</v>
      </c>
      <c r="F14">
        <f t="shared" si="1"/>
        <v>0</v>
      </c>
      <c r="H14">
        <f>IF(AND(G14="Gestor", A14&lt;&gt;""), VLOOKUP(A14, Configuracion!$A:$D, 4, FALSE), 0)*Tabla1021[[#This Row],[CANTIDAD]]</f>
        <v>0</v>
      </c>
      <c r="I14" t="str">
        <f t="shared" si="0"/>
        <v/>
      </c>
      <c r="N14" s="3" t="s">
        <v>212</v>
      </c>
      <c r="O14" s="3"/>
      <c r="P14" s="3">
        <f>O14/L2</f>
        <v>0</v>
      </c>
    </row>
    <row r="15" spans="1:19" x14ac:dyDescent="0.3">
      <c r="B15" t="e">
        <f>IFERROR(VLOOKUP(A15,martes!$A:$I,9,FALSE),IFERROR(VLOOKUP(A15,lunes!$A:$I,9,FALSE),VLOOKUP(A15,Configuracion!$A:$B,2,FALSE)))</f>
        <v>#N/A</v>
      </c>
      <c r="E15">
        <f>IF(C15="Venta", IFERROR(VLOOKUP(A15, Configuracion!$A:$D, 3, FALSE), 0), 0)</f>
        <v>0</v>
      </c>
      <c r="F15">
        <f t="shared" si="1"/>
        <v>0</v>
      </c>
      <c r="H15">
        <f>IF(AND(G15="Gestor", A15&lt;&gt;""), VLOOKUP(A15, Configuracion!$A:$D, 4, FALSE), 0)*Tabla1021[[#This Row],[CANTIDAD]]</f>
        <v>0</v>
      </c>
      <c r="I15" t="str">
        <f t="shared" si="0"/>
        <v/>
      </c>
      <c r="N15" s="3" t="s">
        <v>194</v>
      </c>
      <c r="O15" s="3">
        <v>2050</v>
      </c>
      <c r="P15" s="3">
        <v>2050</v>
      </c>
    </row>
    <row r="16" spans="1:19" x14ac:dyDescent="0.3">
      <c r="B16" t="e">
        <f>IFERROR(VLOOKUP(A16,martes!$A:$I,9,FALSE),IFERROR(VLOOKUP(A16,lunes!$A:$I,9,FALSE),VLOOKUP(A16,Configuracion!$A:$B,2,FALSE)))</f>
        <v>#N/A</v>
      </c>
      <c r="E16">
        <f>IF(C16="Venta", IFERROR(VLOOKUP(A16, Configuracion!$A:$D, 3, FALSE), 0), 0)</f>
        <v>0</v>
      </c>
      <c r="F16">
        <f t="shared" si="1"/>
        <v>0</v>
      </c>
      <c r="H16">
        <f>IF(AND(G16="Gestor", A16&lt;&gt;""), VLOOKUP(A16, Configuracion!$A:$D, 4, FALSE), 0)*Tabla1021[[#This Row],[CANTIDAD]]</f>
        <v>0</v>
      </c>
      <c r="I16" t="str">
        <f t="shared" si="0"/>
        <v/>
      </c>
      <c r="N16" s="2" t="s">
        <v>211</v>
      </c>
      <c r="O16" s="3"/>
      <c r="P16" s="5">
        <f>P9+P13-P10</f>
        <v>9440</v>
      </c>
      <c r="Q16" s="27"/>
      <c r="R16" s="24">
        <f>P2-P16</f>
        <v>0</v>
      </c>
      <c r="S16" s="25">
        <f>R16*L2</f>
        <v>0</v>
      </c>
    </row>
    <row r="17" spans="2:17" x14ac:dyDescent="0.3">
      <c r="B17" t="e">
        <f>IFERROR(VLOOKUP(A17,martes!$A:$I,9,FALSE),IFERROR(VLOOKUP(A17,lunes!$A:$I,9,FALSE),VLOOKUP(A17,Configuracion!$A:$B,2,FALSE)))</f>
        <v>#N/A</v>
      </c>
      <c r="E17">
        <f>IF(C17="Venta", IFERROR(VLOOKUP(A17, Configuracion!$A:$D, 3, FALSE), 0), 0)</f>
        <v>0</v>
      </c>
      <c r="F17">
        <f t="shared" si="1"/>
        <v>0</v>
      </c>
      <c r="H17">
        <f>IF(AND(G17="Gestor", A17&lt;&gt;""), VLOOKUP(A17, Configuracion!$A:$D, 4, FALSE), 0)*Tabla1021[[#This Row],[CANTIDAD]]</f>
        <v>0</v>
      </c>
      <c r="I17" t="str">
        <f t="shared" si="0"/>
        <v/>
      </c>
      <c r="N17" s="4"/>
      <c r="O17" s="4"/>
      <c r="P17" s="4"/>
      <c r="Q17" s="28"/>
    </row>
    <row r="18" spans="2:17" x14ac:dyDescent="0.3">
      <c r="B18" t="e">
        <f>IFERROR(VLOOKUP(A18,martes!$A:$I,9,FALSE),IFERROR(VLOOKUP(A18,lunes!$A:$I,9,FALSE),VLOOKUP(A18,Configuracion!$A:$B,2,FALSE)))</f>
        <v>#N/A</v>
      </c>
      <c r="E18">
        <f>IF(C18="Venta", IFERROR(VLOOKUP(A18, Configuracion!$A:$D, 3, FALSE), 0), 0)</f>
        <v>0</v>
      </c>
      <c r="F18">
        <f t="shared" si="1"/>
        <v>0</v>
      </c>
      <c r="H18">
        <f>IF(AND(G18="Gestor", A18&lt;&gt;""), VLOOKUP(A18, Configuracion!$A:$D, 4, FALSE), 0)*Tabla1021[[#This Row],[CANTIDAD]]</f>
        <v>0</v>
      </c>
      <c r="I18" t="str">
        <f t="shared" si="0"/>
        <v/>
      </c>
      <c r="O18" t="s">
        <v>202</v>
      </c>
      <c r="P18" t="s">
        <v>192</v>
      </c>
    </row>
    <row r="19" spans="2:17" x14ac:dyDescent="0.3">
      <c r="B19" t="e">
        <f>IFERROR(VLOOKUP(A19,martes!$A:$I,9,FALSE),IFERROR(VLOOKUP(A19,lunes!$A:$I,9,FALSE),VLOOKUP(A19,Configuracion!$A:$B,2,FALSE)))</f>
        <v>#N/A</v>
      </c>
      <c r="E19">
        <f>IF(C19="Venta", IFERROR(VLOOKUP(A19, Configuracion!$A:$D, 3, FALSE), 0), 0)</f>
        <v>0</v>
      </c>
      <c r="F19">
        <f t="shared" si="1"/>
        <v>0</v>
      </c>
      <c r="H19">
        <f>IF(AND(G19="Gestor", A19&lt;&gt;""), VLOOKUP(A19, Configuracion!$A:$D, 4, FALSE), 0)*Tabla1021[[#This Row],[CANTIDAD]]</f>
        <v>0</v>
      </c>
      <c r="I19" t="str">
        <f t="shared" si="0"/>
        <v/>
      </c>
      <c r="N19" s="2" t="s">
        <v>207</v>
      </c>
      <c r="O19" s="3">
        <v>100000</v>
      </c>
      <c r="P19" s="3">
        <v>150</v>
      </c>
    </row>
    <row r="20" spans="2:17" x14ac:dyDescent="0.3">
      <c r="B20" t="e">
        <f>IFERROR(VLOOKUP(A20,martes!$A:$I,9,FALSE),IFERROR(VLOOKUP(A20,lunes!$A:$I,9,FALSE),VLOOKUP(A20,Configuracion!$A:$B,2,FALSE)))</f>
        <v>#N/A</v>
      </c>
      <c r="E20">
        <f>IF(C20="Venta", IFERROR(VLOOKUP(A20, Configuracion!$A:$D, 3, FALSE), 0), 0)</f>
        <v>0</v>
      </c>
      <c r="F20">
        <f t="shared" si="1"/>
        <v>0</v>
      </c>
      <c r="H20">
        <f>IF(AND(G20="Gestor", A20&lt;&gt;""), VLOOKUP(A20, Configuracion!$A:$D, 4, FALSE), 0)*Tabla1021[[#This Row],[CANTIDAD]]</f>
        <v>0</v>
      </c>
      <c r="I20" t="str">
        <f t="shared" si="0"/>
        <v/>
      </c>
      <c r="N20" s="3" t="s">
        <v>221</v>
      </c>
      <c r="O20" s="3"/>
      <c r="P20" s="3"/>
    </row>
    <row r="21" spans="2:17" x14ac:dyDescent="0.3">
      <c r="B21" t="e">
        <f>IFERROR(VLOOKUP(A21,martes!$A:$I,9,FALSE),IFERROR(VLOOKUP(A21,lunes!$A:$I,9,FALSE),VLOOKUP(A21,Configuracion!$A:$B,2,FALSE)))</f>
        <v>#N/A</v>
      </c>
      <c r="E21">
        <f>IF(C21="Venta", IFERROR(VLOOKUP(A21, Configuracion!$A:$D, 3, FALSE), 0), 0)</f>
        <v>0</v>
      </c>
      <c r="F21">
        <f t="shared" si="1"/>
        <v>0</v>
      </c>
      <c r="H21">
        <f>IF(AND(G21="Gestor", A21&lt;&gt;""), VLOOKUP(A21, Configuracion!$A:$D, 4, FALSE), 0)*Tabla1021[[#This Row],[CANTIDAD]]</f>
        <v>0</v>
      </c>
      <c r="I21" t="str">
        <f t="shared" si="0"/>
        <v/>
      </c>
      <c r="N21" s="3" t="s">
        <v>203</v>
      </c>
      <c r="O21" s="3"/>
      <c r="P21" s="3"/>
    </row>
    <row r="22" spans="2:17" x14ac:dyDescent="0.3">
      <c r="B22" t="e">
        <f>IFERROR(VLOOKUP(A22,martes!$A:$I,9,FALSE),IFERROR(VLOOKUP(A22,lunes!$A:$I,9,FALSE),VLOOKUP(A22,Configuracion!$A:$B,2,FALSE)))</f>
        <v>#N/A</v>
      </c>
      <c r="E22">
        <f>IF(C22="Venta", IFERROR(VLOOKUP(A22, Configuracion!$A:$D, 3, FALSE), 0), 0)</f>
        <v>0</v>
      </c>
      <c r="F22">
        <f t="shared" si="1"/>
        <v>0</v>
      </c>
      <c r="H22">
        <f>IF(AND(G22="Gestor", A22&lt;&gt;""), VLOOKUP(A22, Configuracion!$A:$D, 4, FALSE), 0)*Tabla1021[[#This Row],[CANTIDAD]]</f>
        <v>0</v>
      </c>
      <c r="I22" t="str">
        <f t="shared" si="0"/>
        <v/>
      </c>
      <c r="N22" s="3" t="s">
        <v>204</v>
      </c>
      <c r="O22" s="3"/>
      <c r="P22" s="3"/>
    </row>
    <row r="23" spans="2:17" x14ac:dyDescent="0.3">
      <c r="B23" t="e">
        <f>IFERROR(VLOOKUP(A23,martes!$A:$I,9,FALSE),IFERROR(VLOOKUP(A23,lunes!$A:$I,9,FALSE),VLOOKUP(A23,Configuracion!$A:$B,2,FALSE)))</f>
        <v>#N/A</v>
      </c>
      <c r="E23">
        <f>IF(C23="Venta", IFERROR(VLOOKUP(A23, Configuracion!$A:$D, 3, FALSE), 0), 0)</f>
        <v>0</v>
      </c>
      <c r="F23">
        <f t="shared" si="1"/>
        <v>0</v>
      </c>
      <c r="H23">
        <f>IF(AND(G23="Gestor", A23&lt;&gt;""), VLOOKUP(A23, Configuracion!$A:$D, 4, FALSE), 0)*Tabla1021[[#This Row],[CANTIDAD]]</f>
        <v>0</v>
      </c>
      <c r="I23" t="str">
        <f t="shared" si="0"/>
        <v/>
      </c>
      <c r="N23" s="3" t="s">
        <v>210</v>
      </c>
      <c r="O23" s="3"/>
      <c r="P23" s="3"/>
    </row>
    <row r="24" spans="2:17" x14ac:dyDescent="0.3">
      <c r="B24" t="e">
        <f>IFERROR(VLOOKUP(A24,martes!$A:$I,9,FALSE),IFERROR(VLOOKUP(A24,lunes!$A:$I,9,FALSE),VLOOKUP(A24,Configuracion!$A:$B,2,FALSE)))</f>
        <v>#N/A</v>
      </c>
      <c r="E24">
        <f>IF(C24="Venta", IFERROR(VLOOKUP(A24, Configuracion!$A:$D, 3, FALSE), 0), 0)</f>
        <v>0</v>
      </c>
      <c r="F24">
        <f t="shared" si="1"/>
        <v>0</v>
      </c>
      <c r="H24">
        <f>IF(AND(G24="Gestor", A24&lt;&gt;""), VLOOKUP(A24, Configuracion!$A:$D, 4, FALSE), 0)*Tabla1021[[#This Row],[CANTIDAD]]</f>
        <v>0</v>
      </c>
      <c r="I24" t="str">
        <f t="shared" si="0"/>
        <v/>
      </c>
      <c r="N24" s="2" t="s">
        <v>209</v>
      </c>
      <c r="O24" s="3">
        <f>O19-O21-O22-O23-O20</f>
        <v>100000</v>
      </c>
      <c r="P24" s="3">
        <f>P19-P21-P22-P23-P20</f>
        <v>150</v>
      </c>
    </row>
    <row r="25" spans="2:17" x14ac:dyDescent="0.3">
      <c r="B25" t="e">
        <f>IFERROR(VLOOKUP(A25,martes!$A:$I,9,FALSE),IFERROR(VLOOKUP(A25,lunes!$A:$I,9,FALSE),VLOOKUP(A25,Configuracion!$A:$B,2,FALSE)))</f>
        <v>#N/A</v>
      </c>
      <c r="E25">
        <f>IF(C25="Venta", IFERROR(VLOOKUP(A25, Configuracion!$A:$D, 3, FALSE), 0), 0)</f>
        <v>0</v>
      </c>
      <c r="F25">
        <f t="shared" si="1"/>
        <v>0</v>
      </c>
      <c r="H25">
        <f>IF(AND(G25="Gestor", A25&lt;&gt;""), VLOOKUP(A25, Configuracion!$A:$D, 4, FALSE), 0)*Tabla1021[[#This Row],[CANTIDAD]]</f>
        <v>0</v>
      </c>
      <c r="I25" t="str">
        <f t="shared" si="0"/>
        <v/>
      </c>
    </row>
    <row r="26" spans="2:17" x14ac:dyDescent="0.3">
      <c r="B26" t="e">
        <f>IFERROR(VLOOKUP(A26,martes!$A:$I,9,FALSE),IFERROR(VLOOKUP(A26,lunes!$A:$I,9,FALSE),VLOOKUP(A26,Configuracion!$A:$B,2,FALSE)))</f>
        <v>#N/A</v>
      </c>
      <c r="E26">
        <f>IF(C26="Venta", IFERROR(VLOOKUP(A26, Configuracion!$A:$D, 3, FALSE), 0), 0)</f>
        <v>0</v>
      </c>
      <c r="F26">
        <f t="shared" si="1"/>
        <v>0</v>
      </c>
      <c r="H26">
        <f>IF(AND(G26="Gestor", A26&lt;&gt;""), VLOOKUP(A26, Configuracion!$A:$D, 4, FALSE), 0)*Tabla1021[[#This Row],[CANTIDAD]]</f>
        <v>0</v>
      </c>
      <c r="I26" t="str">
        <f t="shared" si="0"/>
        <v/>
      </c>
    </row>
    <row r="27" spans="2:17" x14ac:dyDescent="0.3">
      <c r="B27" t="e">
        <f>IFERROR(VLOOKUP(A27,martes!$A:$I,9,FALSE),IFERROR(VLOOKUP(A27,lunes!$A:$I,9,FALSE),VLOOKUP(A27,Configuracion!$A:$B,2,FALSE)))</f>
        <v>#N/A</v>
      </c>
      <c r="E27">
        <f>IF(C27="Venta", IFERROR(VLOOKUP(A27, Configuracion!$A:$D, 3, FALSE), 0), 0)</f>
        <v>0</v>
      </c>
      <c r="F27">
        <f t="shared" si="1"/>
        <v>0</v>
      </c>
      <c r="H27">
        <f>IF(AND(G27="Gestor", A27&lt;&gt;""), VLOOKUP(A27, Configuracion!$A:$D, 4, FALSE), 0)*Tabla1021[[#This Row],[CANTIDAD]]</f>
        <v>0</v>
      </c>
      <c r="I27" t="str">
        <f t="shared" si="0"/>
        <v/>
      </c>
    </row>
    <row r="28" spans="2:17" x14ac:dyDescent="0.3">
      <c r="B28" t="e">
        <f>IFERROR(VLOOKUP(A28,martes!$A:$I,9,FALSE),IFERROR(VLOOKUP(A28,lunes!$A:$I,9,FALSE),VLOOKUP(A28,Configuracion!$A:$B,2,FALSE)))</f>
        <v>#N/A</v>
      </c>
      <c r="E28">
        <f>IF(C28="Venta", IFERROR(VLOOKUP(A28, Configuracion!$A:$D, 3, FALSE), 0), 0)</f>
        <v>0</v>
      </c>
      <c r="F28">
        <f t="shared" si="1"/>
        <v>0</v>
      </c>
      <c r="H28">
        <f>IF(AND(G28="Gestor", A28&lt;&gt;""), VLOOKUP(A28, Configuracion!$A:$D, 4, FALSE), 0)*Tabla1021[[#This Row],[CANTIDAD]]</f>
        <v>0</v>
      </c>
      <c r="I28" t="str">
        <f t="shared" si="0"/>
        <v/>
      </c>
      <c r="N28" s="1"/>
      <c r="O28" s="1"/>
      <c r="P28" s="1"/>
    </row>
    <row r="29" spans="2:17" x14ac:dyDescent="0.3">
      <c r="B29" t="e">
        <f>IFERROR(VLOOKUP(A29,martes!$A:$I,9,FALSE),IFERROR(VLOOKUP(A29,lunes!$A:$I,9,FALSE),VLOOKUP(A29,Configuracion!$A:$B,2,FALSE)))</f>
        <v>#N/A</v>
      </c>
      <c r="E29">
        <f>IF(C29="Venta", IFERROR(VLOOKUP(A29, Configuracion!$A:$D, 3, FALSE), 0), 0)</f>
        <v>0</v>
      </c>
      <c r="F29">
        <f t="shared" si="1"/>
        <v>0</v>
      </c>
      <c r="H29">
        <f>IF(AND(G29="Gestor", A29&lt;&gt;""), VLOOKUP(A29, Configuracion!$A:$D, 4, FALSE), 0)*Tabla1021[[#This Row],[CANTIDAD]]</f>
        <v>0</v>
      </c>
      <c r="I29" t="str">
        <f t="shared" si="0"/>
        <v/>
      </c>
    </row>
    <row r="30" spans="2:17" x14ac:dyDescent="0.3">
      <c r="B30" t="e">
        <f>IFERROR(VLOOKUP(A30,martes!$A:$I,9,FALSE),IFERROR(VLOOKUP(A30,lunes!$A:$I,9,FALSE),VLOOKUP(A30,Configuracion!$A:$B,2,FALSE)))</f>
        <v>#N/A</v>
      </c>
      <c r="E30">
        <f>IF(C30="Venta", IFERROR(VLOOKUP(A30, Configuracion!$A:$D, 3, FALSE), 0), 0)</f>
        <v>0</v>
      </c>
      <c r="F30">
        <f t="shared" si="1"/>
        <v>0</v>
      </c>
      <c r="H30">
        <f>IF(AND(G30="Gestor", A30&lt;&gt;""), VLOOKUP(A30, Configuracion!$A:$D, 4, FALSE), 0)*Tabla1021[[#This Row],[CANTIDAD]]</f>
        <v>0</v>
      </c>
      <c r="I30" t="str">
        <f t="shared" si="0"/>
        <v/>
      </c>
    </row>
    <row r="31" spans="2:17" x14ac:dyDescent="0.3">
      <c r="B31" t="e">
        <f>IFERROR(VLOOKUP(A31,martes!$A:$I,9,FALSE),IFERROR(VLOOKUP(A31,lunes!$A:$I,9,FALSE),VLOOKUP(A31,Configuracion!$A:$B,2,FALSE)))</f>
        <v>#N/A</v>
      </c>
      <c r="E31">
        <f>IF(C31="Venta", IFERROR(VLOOKUP(A31, Configuracion!$A:$D, 3, FALSE), 0), 0)</f>
        <v>0</v>
      </c>
      <c r="F31">
        <f t="shared" si="1"/>
        <v>0</v>
      </c>
      <c r="H31">
        <f>IF(AND(G31="Gestor", A31&lt;&gt;""), VLOOKUP(A31, Configuracion!$A:$D, 4, FALSE), 0)*Tabla1021[[#This Row],[CANTIDAD]]</f>
        <v>0</v>
      </c>
      <c r="I31" t="str">
        <f t="shared" si="0"/>
        <v/>
      </c>
    </row>
    <row r="32" spans="2:17" x14ac:dyDescent="0.3">
      <c r="B32" t="e">
        <f>IFERROR(VLOOKUP(A32,martes!$A:$I,9,FALSE),IFERROR(VLOOKUP(A32,lunes!$A:$I,9,FALSE),VLOOKUP(A32,Configuracion!$A:$B,2,FALSE)))</f>
        <v>#N/A</v>
      </c>
      <c r="E32">
        <f>IF(C32="Venta", IFERROR(VLOOKUP(A32, Configuracion!$A:$D, 3, FALSE), 0), 0)</f>
        <v>0</v>
      </c>
      <c r="F32">
        <f t="shared" si="1"/>
        <v>0</v>
      </c>
      <c r="H32">
        <f>IF(AND(G32="Gestor", A32&lt;&gt;""), VLOOKUP(A32, Configuracion!$A:$D, 4, FALSE), 0)*Tabla1021[[#This Row],[CANTIDAD]]</f>
        <v>0</v>
      </c>
      <c r="I32" t="str">
        <f t="shared" si="0"/>
        <v/>
      </c>
    </row>
    <row r="33" spans="2:14" x14ac:dyDescent="0.3">
      <c r="B33" t="e">
        <f>IFERROR(VLOOKUP(A33,martes!$A:$I,9,FALSE),IFERROR(VLOOKUP(A33,lunes!$A:$I,9,FALSE),VLOOKUP(A33,Configuracion!$A:$B,2,FALSE)))</f>
        <v>#N/A</v>
      </c>
      <c r="E33">
        <f>IF(C33="Venta", IFERROR(VLOOKUP(A33, Configuracion!$A:$D, 3, FALSE), 0), 0)</f>
        <v>0</v>
      </c>
      <c r="F33">
        <f t="shared" si="1"/>
        <v>0</v>
      </c>
      <c r="H33">
        <f>IF(AND(G33="Gestor", A33&lt;&gt;""), VLOOKUP(A33, Configuracion!$A:$D, 4, FALSE), 0)*Tabla1021[[#This Row],[CANTIDAD]]</f>
        <v>0</v>
      </c>
      <c r="I33" t="str">
        <f t="shared" si="0"/>
        <v/>
      </c>
    </row>
    <row r="34" spans="2:14" x14ac:dyDescent="0.3">
      <c r="B34" t="e">
        <f>IFERROR(VLOOKUP(A34,martes!$A:$I,9,FALSE),IFERROR(VLOOKUP(A34,lunes!$A:$I,9,FALSE),VLOOKUP(A34,Configuracion!$A:$B,2,FALSE)))</f>
        <v>#N/A</v>
      </c>
      <c r="E34">
        <f>IF(C34="Venta", IFERROR(VLOOKUP(A34, Configuracion!$A:$D, 3, FALSE), 0), 0)</f>
        <v>0</v>
      </c>
      <c r="F34">
        <f t="shared" si="1"/>
        <v>0</v>
      </c>
      <c r="H34">
        <f>IF(AND(G34="Gestor", A34&lt;&gt;""), VLOOKUP(A34, Configuracion!$A:$D, 4, FALSE), 0)*Tabla1021[[#This Row],[CANTIDAD]]</f>
        <v>0</v>
      </c>
      <c r="I34" t="str">
        <f t="shared" ref="I34:I65" si="2">IF(OR(A34="", D34=""), "", IF(C34="Entrada", B34+D34, IF(OR(C34="Venta", C34="Salida"), B34-D34, B34)))</f>
        <v/>
      </c>
    </row>
    <row r="35" spans="2:14" x14ac:dyDescent="0.3">
      <c r="B35" t="e">
        <f>IFERROR(VLOOKUP(A35,martes!$A:$I,9,FALSE),IFERROR(VLOOKUP(A35,lunes!$A:$I,9,FALSE),VLOOKUP(A35,Configuracion!$A:$B,2,FALSE)))</f>
        <v>#N/A</v>
      </c>
      <c r="E35">
        <f>IF(C35="Venta", IFERROR(VLOOKUP(A35, Configuracion!$A:$D, 3, FALSE), 0), 0)</f>
        <v>0</v>
      </c>
      <c r="F35">
        <f t="shared" si="1"/>
        <v>0</v>
      </c>
      <c r="H35">
        <f>IF(AND(G35="Gestor", A35&lt;&gt;""), VLOOKUP(A35, Configuracion!$A:$D, 4, FALSE), 0)*Tabla1021[[#This Row],[CANTIDAD]]</f>
        <v>0</v>
      </c>
      <c r="I35" t="str">
        <f t="shared" si="2"/>
        <v/>
      </c>
      <c r="N35" s="1"/>
    </row>
    <row r="36" spans="2:14" x14ac:dyDescent="0.3">
      <c r="B36" t="e">
        <f>IFERROR(VLOOKUP(A36,martes!$A:$I,9,FALSE),IFERROR(VLOOKUP(A36,lunes!$A:$I,9,FALSE),VLOOKUP(A36,Configuracion!$A:$B,2,FALSE)))</f>
        <v>#N/A</v>
      </c>
      <c r="E36">
        <f>IF(C36="Venta", IFERROR(VLOOKUP(A36, Configuracion!$A:$D, 3, FALSE), 0), 0)</f>
        <v>0</v>
      </c>
      <c r="F36">
        <f t="shared" si="1"/>
        <v>0</v>
      </c>
      <c r="H36">
        <f>IF(AND(G36="Gestor", A36&lt;&gt;""), VLOOKUP(A36, Configuracion!$A:$D, 4, FALSE), 0)*Tabla1021[[#This Row],[CANTIDAD]]</f>
        <v>0</v>
      </c>
      <c r="I36" t="str">
        <f t="shared" si="2"/>
        <v/>
      </c>
      <c r="N36" s="1"/>
    </row>
    <row r="37" spans="2:14" x14ac:dyDescent="0.3">
      <c r="B37" t="e">
        <f>IFERROR(VLOOKUP(A37,martes!$A:$I,9,FALSE),IFERROR(VLOOKUP(A37,lunes!$A:$I,9,FALSE),VLOOKUP(A37,Configuracion!$A:$B,2,FALSE)))</f>
        <v>#N/A</v>
      </c>
      <c r="E37">
        <f>IF(C37="Venta", IFERROR(VLOOKUP(A37, Configuracion!$A:$D, 3, FALSE), 0), 0)</f>
        <v>0</v>
      </c>
      <c r="F37">
        <f t="shared" si="1"/>
        <v>0</v>
      </c>
      <c r="H37">
        <f>IF(AND(G37="Gestor", A37&lt;&gt;""), VLOOKUP(A37, Configuracion!$A:$D, 4, FALSE), 0)*Tabla1021[[#This Row],[CANTIDAD]]</f>
        <v>0</v>
      </c>
      <c r="I37" t="str">
        <f t="shared" si="2"/>
        <v/>
      </c>
      <c r="N37" s="1"/>
    </row>
    <row r="38" spans="2:14" x14ac:dyDescent="0.3">
      <c r="B38" t="e">
        <f>IFERROR(VLOOKUP(A38,martes!$A:$I,9,FALSE),IFERROR(VLOOKUP(A38,lunes!$A:$I,9,FALSE),VLOOKUP(A38,Configuracion!$A:$B,2,FALSE)))</f>
        <v>#N/A</v>
      </c>
      <c r="E38">
        <f>IF(C38="Venta", IFERROR(VLOOKUP(A38, Configuracion!$A:$D, 3, FALSE), 0), 0)</f>
        <v>0</v>
      </c>
      <c r="F38">
        <f t="shared" si="1"/>
        <v>0</v>
      </c>
      <c r="H38">
        <f>IF(AND(G38="Gestor", A38&lt;&gt;""), VLOOKUP(A38, Configuracion!$A:$D, 4, FALSE), 0)*Tabla1021[[#This Row],[CANTIDAD]]</f>
        <v>0</v>
      </c>
      <c r="I38" t="str">
        <f t="shared" si="2"/>
        <v/>
      </c>
      <c r="N38" s="1"/>
    </row>
    <row r="39" spans="2:14" x14ac:dyDescent="0.3">
      <c r="B39" t="e">
        <f>IFERROR(VLOOKUP(A39,martes!$A:$I,9,FALSE),IFERROR(VLOOKUP(A39,lunes!$A:$I,9,FALSE),VLOOKUP(A39,Configuracion!$A:$B,2,FALSE)))</f>
        <v>#N/A</v>
      </c>
      <c r="E39">
        <f>IF(C39="Venta", IFERROR(VLOOKUP(A39, Configuracion!$A:$D, 3, FALSE), 0), 0)</f>
        <v>0</v>
      </c>
      <c r="F39">
        <f t="shared" si="1"/>
        <v>0</v>
      </c>
      <c r="H39">
        <f>IF(AND(G39="Gestor", A39&lt;&gt;""), VLOOKUP(A39, Configuracion!$A:$D, 4, FALSE), 0)*Tabla1021[[#This Row],[CANTIDAD]]</f>
        <v>0</v>
      </c>
      <c r="I39" t="str">
        <f t="shared" si="2"/>
        <v/>
      </c>
      <c r="N39" s="1"/>
    </row>
    <row r="40" spans="2:14" x14ac:dyDescent="0.3">
      <c r="B40" t="e">
        <f>IFERROR(VLOOKUP(A40,martes!$A:$I,9,FALSE),IFERROR(VLOOKUP(A40,lunes!$A:$I,9,FALSE),VLOOKUP(A40,Configuracion!$A:$B,2,FALSE)))</f>
        <v>#N/A</v>
      </c>
      <c r="E40">
        <f>IF(C40="Venta", IFERROR(VLOOKUP(A40, Configuracion!$A:$D, 3, FALSE), 0), 0)</f>
        <v>0</v>
      </c>
      <c r="F40">
        <f t="shared" si="1"/>
        <v>0</v>
      </c>
      <c r="H40">
        <f>IF(AND(G40="Gestor", A40&lt;&gt;""), VLOOKUP(A40, Configuracion!$A:$D, 4, FALSE), 0)*Tabla1021[[#This Row],[CANTIDAD]]</f>
        <v>0</v>
      </c>
      <c r="I40" t="str">
        <f t="shared" si="2"/>
        <v/>
      </c>
      <c r="N40" s="1"/>
    </row>
    <row r="41" spans="2:14" x14ac:dyDescent="0.3">
      <c r="B41" t="e">
        <f>IFERROR(VLOOKUP(A41,martes!$A:$I,9,FALSE),IFERROR(VLOOKUP(A41,lunes!$A:$I,9,FALSE),VLOOKUP(A41,Configuracion!$A:$B,2,FALSE)))</f>
        <v>#N/A</v>
      </c>
      <c r="E41">
        <f>IF(C41="Venta", IFERROR(VLOOKUP(A41, Configuracion!$A:$D, 3, FALSE), 0), 0)</f>
        <v>0</v>
      </c>
      <c r="F41">
        <f t="shared" si="1"/>
        <v>0</v>
      </c>
      <c r="H41">
        <f>IF(AND(G41="Gestor", A41&lt;&gt;""), VLOOKUP(A41, Configuracion!$A:$D, 4, FALSE), 0)*Tabla1021[[#This Row],[CANTIDAD]]</f>
        <v>0</v>
      </c>
      <c r="I41" t="str">
        <f t="shared" si="2"/>
        <v/>
      </c>
    </row>
    <row r="42" spans="2:14" x14ac:dyDescent="0.3">
      <c r="B42" t="e">
        <f>IFERROR(VLOOKUP(A42,martes!$A:$I,9,FALSE),IFERROR(VLOOKUP(A42,lunes!$A:$I,9,FALSE),VLOOKUP(A42,Configuracion!$A:$B,2,FALSE)))</f>
        <v>#N/A</v>
      </c>
      <c r="E42">
        <f>IF(C42="Venta", IFERROR(VLOOKUP(A42, Configuracion!$A:$D, 3, FALSE), 0), 0)</f>
        <v>0</v>
      </c>
      <c r="F42">
        <f t="shared" si="1"/>
        <v>0</v>
      </c>
      <c r="H42">
        <f>IF(AND(G42="Gestor", A42&lt;&gt;""), VLOOKUP(A42, Configuracion!$A:$D, 4, FALSE), 0)*Tabla1021[[#This Row],[CANTIDAD]]</f>
        <v>0</v>
      </c>
      <c r="I42" t="str">
        <f t="shared" si="2"/>
        <v/>
      </c>
    </row>
    <row r="43" spans="2:14" x14ac:dyDescent="0.3">
      <c r="B43" t="e">
        <f>IFERROR(VLOOKUP(A43,martes!$A:$I,9,FALSE),IFERROR(VLOOKUP(A43,lunes!$A:$I,9,FALSE),VLOOKUP(A43,Configuracion!$A:$B,2,FALSE)))</f>
        <v>#N/A</v>
      </c>
      <c r="E43">
        <f>IF(C43="Venta", IFERROR(VLOOKUP(A43, Configuracion!$A:$D, 3, FALSE), 0), 0)</f>
        <v>0</v>
      </c>
      <c r="F43">
        <f t="shared" si="1"/>
        <v>0</v>
      </c>
      <c r="H43">
        <f>IF(AND(G43="Gestor", A43&lt;&gt;""), VLOOKUP(A43, Configuracion!$A:$D, 4, FALSE), 0)*Tabla1021[[#This Row],[CANTIDAD]]</f>
        <v>0</v>
      </c>
      <c r="I43" t="str">
        <f t="shared" si="2"/>
        <v/>
      </c>
    </row>
    <row r="44" spans="2:14" x14ac:dyDescent="0.3">
      <c r="B44" t="e">
        <f>IFERROR(VLOOKUP(A44,martes!$A:$I,9,FALSE),IFERROR(VLOOKUP(A44,lunes!$A:$I,9,FALSE),VLOOKUP(A44,Configuracion!$A:$B,2,FALSE)))</f>
        <v>#N/A</v>
      </c>
      <c r="E44">
        <f>IF(C44="Venta", IFERROR(VLOOKUP(A44, Configuracion!$A:$D, 3, FALSE), 0), 0)</f>
        <v>0</v>
      </c>
      <c r="F44">
        <f t="shared" si="1"/>
        <v>0</v>
      </c>
      <c r="H44">
        <f>IF(AND(G44="Gestor", A44&lt;&gt;""), VLOOKUP(A44, Configuracion!$A:$D, 4, FALSE), 0)*Tabla1021[[#This Row],[CANTIDAD]]</f>
        <v>0</v>
      </c>
      <c r="I44" t="str">
        <f t="shared" si="2"/>
        <v/>
      </c>
      <c r="N44" s="1"/>
    </row>
    <row r="45" spans="2:14" x14ac:dyDescent="0.3">
      <c r="B45" t="e">
        <f>IFERROR(VLOOKUP(A45,martes!$A:$I,9,FALSE),IFERROR(VLOOKUP(A45,lunes!$A:$I,9,FALSE),VLOOKUP(A45,Configuracion!$A:$B,2,FALSE)))</f>
        <v>#N/A</v>
      </c>
      <c r="E45">
        <f>IF(C45="Venta", IFERROR(VLOOKUP(A45, Configuracion!$A:$D, 3, FALSE), 0), 0)</f>
        <v>0</v>
      </c>
      <c r="F45">
        <f t="shared" si="1"/>
        <v>0</v>
      </c>
      <c r="H45">
        <f>IF(AND(G45="Gestor", A45&lt;&gt;""), VLOOKUP(A45, Configuracion!$A:$D, 4, FALSE), 0)*Tabla1021[[#This Row],[CANTIDAD]]</f>
        <v>0</v>
      </c>
      <c r="I45" t="str">
        <f t="shared" si="2"/>
        <v/>
      </c>
    </row>
    <row r="46" spans="2:14" x14ac:dyDescent="0.3">
      <c r="B46" t="e">
        <f>IFERROR(VLOOKUP(A46,martes!$A:$I,9,FALSE),IFERROR(VLOOKUP(A46,lunes!$A:$I,9,FALSE),VLOOKUP(A46,Configuracion!$A:$B,2,FALSE)))</f>
        <v>#N/A</v>
      </c>
      <c r="E46">
        <f>IF(C46="Venta", IFERROR(VLOOKUP(A46, Configuracion!$A:$D, 3, FALSE), 0), 0)</f>
        <v>0</v>
      </c>
      <c r="F46">
        <f t="shared" si="1"/>
        <v>0</v>
      </c>
      <c r="H46">
        <f>IF(AND(G46="Gestor", A46&lt;&gt;""), VLOOKUP(A46, Configuracion!$A:$D, 4, FALSE), 0)*Tabla1021[[#This Row],[CANTIDAD]]</f>
        <v>0</v>
      </c>
      <c r="I46" t="str">
        <f t="shared" si="2"/>
        <v/>
      </c>
    </row>
    <row r="47" spans="2:14" x14ac:dyDescent="0.3">
      <c r="B47" t="e">
        <f>IFERROR(VLOOKUP(A47,martes!$A:$I,9,FALSE),IFERROR(VLOOKUP(A47,lunes!$A:$I,9,FALSE),VLOOKUP(A47,Configuracion!$A:$B,2,FALSE)))</f>
        <v>#N/A</v>
      </c>
      <c r="E47">
        <f>IF(C47="Venta", IFERROR(VLOOKUP(A47, Configuracion!$A:$D, 3, FALSE), 0), 0)</f>
        <v>0</v>
      </c>
      <c r="F47">
        <f t="shared" si="1"/>
        <v>0</v>
      </c>
      <c r="H47">
        <f>IF(AND(G47="Gestor", A47&lt;&gt;""), VLOOKUP(A47, Configuracion!$A:$D, 4, FALSE), 0)*Tabla1021[[#This Row],[CANTIDAD]]</f>
        <v>0</v>
      </c>
      <c r="I47" t="str">
        <f t="shared" si="2"/>
        <v/>
      </c>
    </row>
    <row r="48" spans="2:14" x14ac:dyDescent="0.3">
      <c r="B48" t="e">
        <f>IFERROR(VLOOKUP(A48,martes!$A:$I,9,FALSE),IFERROR(VLOOKUP(A48,lunes!$A:$I,9,FALSE),VLOOKUP(A48,Configuracion!$A:$B,2,FALSE)))</f>
        <v>#N/A</v>
      </c>
      <c r="E48">
        <f>IF(C48="Venta", IFERROR(VLOOKUP(A48, Configuracion!$A:$D, 3, FALSE), 0), 0)</f>
        <v>0</v>
      </c>
      <c r="F48">
        <f t="shared" si="1"/>
        <v>0</v>
      </c>
      <c r="H48">
        <f>IF(AND(G48="Gestor", A48&lt;&gt;""), VLOOKUP(A48, Configuracion!$A:$D, 4, FALSE), 0)*Tabla1021[[#This Row],[CANTIDAD]]</f>
        <v>0</v>
      </c>
      <c r="I48" t="str">
        <f t="shared" si="2"/>
        <v/>
      </c>
    </row>
    <row r="49" spans="2:9" x14ac:dyDescent="0.3">
      <c r="B49" t="e">
        <f>IFERROR(VLOOKUP(A49,martes!$A:$I,9,FALSE),IFERROR(VLOOKUP(A49,lunes!$A:$I,9,FALSE),VLOOKUP(A49,Configuracion!$A:$B,2,FALSE)))</f>
        <v>#N/A</v>
      </c>
      <c r="E49">
        <f>IF(C49="Venta", IFERROR(VLOOKUP(A49, Configuracion!$A:$D, 3, FALSE), 0), 0)</f>
        <v>0</v>
      </c>
      <c r="F49">
        <f t="shared" si="1"/>
        <v>0</v>
      </c>
      <c r="H49">
        <f>IF(AND(G49="Gestor", A49&lt;&gt;""), VLOOKUP(A49, Configuracion!$A:$D, 4, FALSE), 0)*Tabla1021[[#This Row],[CANTIDAD]]</f>
        <v>0</v>
      </c>
      <c r="I49" t="str">
        <f t="shared" si="2"/>
        <v/>
      </c>
    </row>
    <row r="50" spans="2:9" x14ac:dyDescent="0.3">
      <c r="B50" t="e">
        <f>IFERROR(VLOOKUP(A50,martes!$A:$I,9,FALSE),IFERROR(VLOOKUP(A50,lunes!$A:$I,9,FALSE),VLOOKUP(A50,Configuracion!$A:$B,2,FALSE)))</f>
        <v>#N/A</v>
      </c>
      <c r="E50">
        <f>IF(C50="Venta", IFERROR(VLOOKUP(A50, Configuracion!$A:$D, 3, FALSE), 0), 0)</f>
        <v>0</v>
      </c>
      <c r="F50">
        <f t="shared" si="1"/>
        <v>0</v>
      </c>
      <c r="H50">
        <f>IF(AND(G50="Gestor", A50&lt;&gt;""), VLOOKUP(A50, Configuracion!$A:$D, 4, FALSE), 0)*Tabla1021[[#This Row],[CANTIDAD]]</f>
        <v>0</v>
      </c>
      <c r="I50" t="str">
        <f t="shared" si="2"/>
        <v/>
      </c>
    </row>
    <row r="51" spans="2:9" x14ac:dyDescent="0.3">
      <c r="B51" t="e">
        <f>IFERROR(VLOOKUP(A51,martes!$A:$I,9,FALSE),IFERROR(VLOOKUP(A51,lunes!$A:$I,9,FALSE),VLOOKUP(A51,Configuracion!$A:$B,2,FALSE)))</f>
        <v>#N/A</v>
      </c>
      <c r="E51">
        <f>IF(C51="Venta", IFERROR(VLOOKUP(A51, Configuracion!$A:$D, 3, FALSE), 0), 0)</f>
        <v>0</v>
      </c>
      <c r="F51">
        <f t="shared" si="1"/>
        <v>0</v>
      </c>
      <c r="H51">
        <f>IF(AND(G51="Gestor", A51&lt;&gt;""), VLOOKUP(A51, Configuracion!$A:$D, 4, FALSE), 0)*Tabla1021[[#This Row],[CANTIDAD]]</f>
        <v>0</v>
      </c>
      <c r="I51" t="str">
        <f t="shared" si="2"/>
        <v/>
      </c>
    </row>
    <row r="52" spans="2:9" x14ac:dyDescent="0.3">
      <c r="B52" t="e">
        <f>IFERROR(VLOOKUP(A52,martes!$A:$I,9,FALSE),IFERROR(VLOOKUP(A52,lunes!$A:$I,9,FALSE),VLOOKUP(A52,Configuracion!$A:$B,2,FALSE)))</f>
        <v>#N/A</v>
      </c>
      <c r="E52">
        <f>IF(C52="Venta", IFERROR(VLOOKUP(A52, Configuracion!$A:$D, 3, FALSE), 0), 0)</f>
        <v>0</v>
      </c>
      <c r="F52">
        <f t="shared" si="1"/>
        <v>0</v>
      </c>
      <c r="H52">
        <f>IF(AND(G52="Gestor", A52&lt;&gt;""), VLOOKUP(A52, Configuracion!$A:$D, 4, FALSE), 0)*Tabla1021[[#This Row],[CANTIDAD]]</f>
        <v>0</v>
      </c>
      <c r="I52" t="str">
        <f t="shared" si="2"/>
        <v/>
      </c>
    </row>
    <row r="53" spans="2:9" x14ac:dyDescent="0.3">
      <c r="B53" t="e">
        <f>IFERROR(VLOOKUP(A53,martes!$A:$I,9,FALSE),IFERROR(VLOOKUP(A53,lunes!$A:$I,9,FALSE),VLOOKUP(A53,Configuracion!$A:$B,2,FALSE)))</f>
        <v>#N/A</v>
      </c>
      <c r="E53">
        <f>IF(C53="Venta", IFERROR(VLOOKUP(A53, Configuracion!$A:$D, 3, FALSE), 0), 0)</f>
        <v>0</v>
      </c>
      <c r="F53">
        <f t="shared" si="1"/>
        <v>0</v>
      </c>
      <c r="H53">
        <f>IF(AND(G53="Gestor", A53&lt;&gt;""), VLOOKUP(A53, Configuracion!$A:$D, 4, FALSE), 0)*Tabla1021[[#This Row],[CANTIDAD]]</f>
        <v>0</v>
      </c>
      <c r="I53" t="str">
        <f t="shared" si="2"/>
        <v/>
      </c>
    </row>
    <row r="54" spans="2:9" x14ac:dyDescent="0.3">
      <c r="B54" t="e">
        <f>IFERROR(VLOOKUP(A54,martes!$A:$I,9,FALSE),IFERROR(VLOOKUP(A54,lunes!$A:$I,9,FALSE),VLOOKUP(A54,Configuracion!$A:$B,2,FALSE)))</f>
        <v>#N/A</v>
      </c>
      <c r="E54">
        <f>IF(C54="Venta", IFERROR(VLOOKUP(A54, Configuracion!$A:$D, 3, FALSE), 0), 0)</f>
        <v>0</v>
      </c>
      <c r="F54">
        <f t="shared" si="1"/>
        <v>0</v>
      </c>
      <c r="H54">
        <f>IF(AND(G54="Gestor", A54&lt;&gt;""), VLOOKUP(A54, Configuracion!$A:$D, 4, FALSE), 0)*Tabla1021[[#This Row],[CANTIDAD]]</f>
        <v>0</v>
      </c>
      <c r="I54" t="str">
        <f t="shared" si="2"/>
        <v/>
      </c>
    </row>
    <row r="55" spans="2:9" x14ac:dyDescent="0.3">
      <c r="B55" t="e">
        <f>IFERROR(VLOOKUP(A55,martes!$A:$I,9,FALSE),IFERROR(VLOOKUP(A55,lunes!$A:$I,9,FALSE),VLOOKUP(A55,Configuracion!$A:$B,2,FALSE)))</f>
        <v>#N/A</v>
      </c>
      <c r="E55">
        <f>IF(C55="Venta", IFERROR(VLOOKUP(A55, Configuracion!$A:$D, 3, FALSE), 0), 0)</f>
        <v>0</v>
      </c>
      <c r="F55">
        <f t="shared" si="1"/>
        <v>0</v>
      </c>
      <c r="H55">
        <f>IF(AND(G55="Gestor", A55&lt;&gt;""), VLOOKUP(A55, Configuracion!$A:$D, 4, FALSE), 0)*Tabla1021[[#This Row],[CANTIDAD]]</f>
        <v>0</v>
      </c>
      <c r="I55" t="str">
        <f t="shared" si="2"/>
        <v/>
      </c>
    </row>
    <row r="56" spans="2:9" x14ac:dyDescent="0.3">
      <c r="B56" t="e">
        <f>IFERROR(VLOOKUP(A56,martes!$A:$I,9,FALSE),IFERROR(VLOOKUP(A56,lunes!$A:$I,9,FALSE),VLOOKUP(A56,Configuracion!$A:$B,2,FALSE)))</f>
        <v>#N/A</v>
      </c>
      <c r="E56">
        <f>IF(C56="Venta", IFERROR(VLOOKUP(A56, Configuracion!$A:$D, 3, FALSE), 0), 0)</f>
        <v>0</v>
      </c>
      <c r="F56">
        <f t="shared" si="1"/>
        <v>0</v>
      </c>
      <c r="H56">
        <f>IF(AND(G56="Gestor", A56&lt;&gt;""), VLOOKUP(A56, Configuracion!$A:$D, 4, FALSE), 0)*Tabla1021[[#This Row],[CANTIDAD]]</f>
        <v>0</v>
      </c>
      <c r="I56" t="str">
        <f t="shared" si="2"/>
        <v/>
      </c>
    </row>
    <row r="57" spans="2:9" x14ac:dyDescent="0.3">
      <c r="B57" t="e">
        <f>IFERROR(VLOOKUP(A57,martes!$A:$I,9,FALSE),IFERROR(VLOOKUP(A57,lunes!$A:$I,9,FALSE),VLOOKUP(A57,Configuracion!$A:$B,2,FALSE)))</f>
        <v>#N/A</v>
      </c>
      <c r="E57">
        <f>IF(C57="Venta", IFERROR(VLOOKUP(A57, Configuracion!$A:$D, 3, FALSE), 0), 0)</f>
        <v>0</v>
      </c>
      <c r="F57">
        <f t="shared" si="1"/>
        <v>0</v>
      </c>
      <c r="H57">
        <f>IF(AND(G57="Gestor", A57&lt;&gt;""), VLOOKUP(A57, Configuracion!$A:$D, 4, FALSE), 0)*Tabla1021[[#This Row],[CANTIDAD]]</f>
        <v>0</v>
      </c>
      <c r="I57" t="str">
        <f t="shared" si="2"/>
        <v/>
      </c>
    </row>
    <row r="58" spans="2:9" x14ac:dyDescent="0.3">
      <c r="B58" t="e">
        <f>IFERROR(VLOOKUP(A58,martes!$A:$I,9,FALSE),IFERROR(VLOOKUP(A58,lunes!$A:$I,9,FALSE),VLOOKUP(A58,Configuracion!$A:$B,2,FALSE)))</f>
        <v>#N/A</v>
      </c>
      <c r="E58">
        <f>IF(C58="Venta", IFERROR(VLOOKUP(A58, Configuracion!$A:$D, 3, FALSE), 0), 0)</f>
        <v>0</v>
      </c>
      <c r="F58">
        <f t="shared" si="1"/>
        <v>0</v>
      </c>
      <c r="H58">
        <f>IF(AND(G58="Gestor", A58&lt;&gt;""), VLOOKUP(A58, Configuracion!$A:$D, 4, FALSE), 0)*Tabla1021[[#This Row],[CANTIDAD]]</f>
        <v>0</v>
      </c>
      <c r="I58" t="str">
        <f t="shared" si="2"/>
        <v/>
      </c>
    </row>
    <row r="59" spans="2:9" x14ac:dyDescent="0.3">
      <c r="B59" t="e">
        <f>IFERROR(VLOOKUP(A59,martes!$A:$I,9,FALSE),IFERROR(VLOOKUP(A59,lunes!$A:$I,9,FALSE),VLOOKUP(A59,Configuracion!$A:$B,2,FALSE)))</f>
        <v>#N/A</v>
      </c>
      <c r="E59">
        <f>IF(C59="Venta", IFERROR(VLOOKUP(A59, Configuracion!$A:$D, 3, FALSE), 0), 0)</f>
        <v>0</v>
      </c>
      <c r="F59">
        <f t="shared" si="1"/>
        <v>0</v>
      </c>
      <c r="H59">
        <f>IF(AND(G59="Gestor", A59&lt;&gt;""), VLOOKUP(A59, Configuracion!$A:$D, 4, FALSE), 0)*Tabla1021[[#This Row],[CANTIDAD]]</f>
        <v>0</v>
      </c>
      <c r="I59" t="str">
        <f t="shared" si="2"/>
        <v/>
      </c>
    </row>
    <row r="60" spans="2:9" x14ac:dyDescent="0.3">
      <c r="B60" t="e">
        <f>IFERROR(VLOOKUP(A60,martes!$A:$I,9,FALSE),IFERROR(VLOOKUP(A60,lunes!$A:$I,9,FALSE),VLOOKUP(A60,Configuracion!$A:$B,2,FALSE)))</f>
        <v>#N/A</v>
      </c>
      <c r="E60">
        <f>IF(C60="Venta", IFERROR(VLOOKUP(A60, Configuracion!$A:$D, 3, FALSE), 0), 0)</f>
        <v>0</v>
      </c>
      <c r="F60">
        <f t="shared" si="1"/>
        <v>0</v>
      </c>
      <c r="H60">
        <f>IF(AND(G60="Gestor", A60&lt;&gt;""), VLOOKUP(A60, Configuracion!$A:$D, 4, FALSE), 0)*Tabla1021[[#This Row],[CANTIDAD]]</f>
        <v>0</v>
      </c>
      <c r="I60" t="str">
        <f t="shared" si="2"/>
        <v/>
      </c>
    </row>
    <row r="61" spans="2:9" x14ac:dyDescent="0.3">
      <c r="B61" t="e">
        <f>IFERROR(VLOOKUP(A61,martes!$A:$I,9,FALSE),IFERROR(VLOOKUP(A61,lunes!$A:$I,9,FALSE),VLOOKUP(A61,Configuracion!$A:$B,2,FALSE)))</f>
        <v>#N/A</v>
      </c>
      <c r="E61">
        <f>IF(C61="Venta", IFERROR(VLOOKUP(A61, Configuracion!$A:$D, 3, FALSE), 0), 0)</f>
        <v>0</v>
      </c>
      <c r="F61">
        <f t="shared" si="1"/>
        <v>0</v>
      </c>
      <c r="H61">
        <f>IF(AND(G61="Gestor", A61&lt;&gt;""), VLOOKUP(A61, Configuracion!$A:$D, 4, FALSE), 0)*Tabla1021[[#This Row],[CANTIDAD]]</f>
        <v>0</v>
      </c>
      <c r="I61" t="str">
        <f t="shared" si="2"/>
        <v/>
      </c>
    </row>
    <row r="62" spans="2:9" x14ac:dyDescent="0.3">
      <c r="B62" t="e">
        <f>IFERROR(VLOOKUP(A62,martes!$A:$I,9,FALSE),IFERROR(VLOOKUP(A62,lunes!$A:$I,9,FALSE),VLOOKUP(A62,Configuracion!$A:$B,2,FALSE)))</f>
        <v>#N/A</v>
      </c>
      <c r="E62">
        <f>IF(C62="Venta", IFERROR(VLOOKUP(A62, Configuracion!$A:$D, 3, FALSE), 0), 0)</f>
        <v>0</v>
      </c>
      <c r="F62">
        <f t="shared" si="1"/>
        <v>0</v>
      </c>
      <c r="H62">
        <f>IF(AND(G62="Gestor", A62&lt;&gt;""), VLOOKUP(A62, Configuracion!$A:$D, 4, FALSE), 0)*Tabla1021[[#This Row],[CANTIDAD]]</f>
        <v>0</v>
      </c>
      <c r="I62" t="str">
        <f t="shared" si="2"/>
        <v/>
      </c>
    </row>
    <row r="63" spans="2:9" x14ac:dyDescent="0.3">
      <c r="B63" t="e">
        <f>IFERROR(VLOOKUP(A63,martes!$A:$I,9,FALSE),IFERROR(VLOOKUP(A63,lunes!$A:$I,9,FALSE),VLOOKUP(A63,Configuracion!$A:$B,2,FALSE)))</f>
        <v>#N/A</v>
      </c>
      <c r="E63">
        <f>IF(C63="Venta", IFERROR(VLOOKUP(A63, Configuracion!$A:$D, 3, FALSE), 0), 0)</f>
        <v>0</v>
      </c>
      <c r="F63">
        <f t="shared" si="1"/>
        <v>0</v>
      </c>
      <c r="H63">
        <f>IF(AND(G63="Gestor", A63&lt;&gt;""), VLOOKUP(A63, Configuracion!$A:$D, 4, FALSE), 0)*Tabla1021[[#This Row],[CANTIDAD]]</f>
        <v>0</v>
      </c>
      <c r="I63" t="str">
        <f t="shared" si="2"/>
        <v/>
      </c>
    </row>
    <row r="64" spans="2:9" x14ac:dyDescent="0.3">
      <c r="B64" t="e">
        <f>IFERROR(VLOOKUP(A64,martes!$A:$I,9,FALSE),IFERROR(VLOOKUP(A64,lunes!$A:$I,9,FALSE),VLOOKUP(A64,Configuracion!$A:$B,2,FALSE)))</f>
        <v>#N/A</v>
      </c>
      <c r="E64">
        <f>IF(C64="Venta", IFERROR(VLOOKUP(A64, Configuracion!$A:$D, 3, FALSE), 0), 0)</f>
        <v>0</v>
      </c>
      <c r="F64">
        <f t="shared" si="1"/>
        <v>0</v>
      </c>
      <c r="H64">
        <f>IF(AND(G64="Gestor", A64&lt;&gt;""), VLOOKUP(A64, Configuracion!$A:$D, 4, FALSE), 0)*Tabla1021[[#This Row],[CANTIDAD]]</f>
        <v>0</v>
      </c>
      <c r="I64" t="str">
        <f t="shared" si="2"/>
        <v/>
      </c>
    </row>
    <row r="65" spans="2:9" x14ac:dyDescent="0.3">
      <c r="B65" t="e">
        <f>IFERROR(VLOOKUP(A65,martes!$A:$I,9,FALSE),IFERROR(VLOOKUP(A65,lunes!$A:$I,9,FALSE),VLOOKUP(A65,Configuracion!$A:$B,2,FALSE)))</f>
        <v>#N/A</v>
      </c>
      <c r="E65">
        <f>IF(C65="Venta", IFERROR(VLOOKUP(A65, Configuracion!$A:$D, 3, FALSE), 0), 0)</f>
        <v>0</v>
      </c>
      <c r="F65">
        <f t="shared" si="1"/>
        <v>0</v>
      </c>
      <c r="H65">
        <f>IF(AND(G65="Gestor", A65&lt;&gt;""), VLOOKUP(A65, Configuracion!$A:$D, 4, FALSE), 0)*Tabla1021[[#This Row],[CANTIDAD]]</f>
        <v>0</v>
      </c>
      <c r="I65" t="str">
        <f t="shared" si="2"/>
        <v/>
      </c>
    </row>
    <row r="66" spans="2:9" x14ac:dyDescent="0.3">
      <c r="B66" t="e">
        <f>IFERROR(VLOOKUP(A66,martes!$A:$I,9,FALSE),IFERROR(VLOOKUP(A66,lunes!$A:$I,9,FALSE),VLOOKUP(A66,Configuracion!$A:$B,2,FALSE)))</f>
        <v>#N/A</v>
      </c>
      <c r="E66">
        <f>IF(C66="Venta", IFERROR(VLOOKUP(A66, Configuracion!$A:$D, 3, FALSE), 0), 0)</f>
        <v>0</v>
      </c>
      <c r="F66">
        <f t="shared" si="1"/>
        <v>0</v>
      </c>
      <c r="H66">
        <f>IF(AND(G66="Gestor", A66&lt;&gt;""), VLOOKUP(A66, Configuracion!$A:$D, 4, FALSE), 0)*Tabla1021[[#This Row],[CANTIDAD]]</f>
        <v>0</v>
      </c>
      <c r="I66" t="str">
        <f t="shared" ref="I66:I97" si="3">IF(OR(A66="", D66=""), "", IF(C66="Entrada", B66+D66, IF(OR(C66="Venta", C66="Salida"), B66-D66, B66)))</f>
        <v/>
      </c>
    </row>
    <row r="67" spans="2:9" x14ac:dyDescent="0.3">
      <c r="B67" t="e">
        <f>IFERROR(VLOOKUP(A67,martes!$A:$I,9,FALSE),IFERROR(VLOOKUP(A67,lunes!$A:$I,9,FALSE),VLOOKUP(A67,Configuracion!$A:$B,2,FALSE)))</f>
        <v>#N/A</v>
      </c>
      <c r="E67">
        <f>IF(C67="Venta", IFERROR(VLOOKUP(A67, Configuracion!$A:$D, 3, FALSE), 0), 0)</f>
        <v>0</v>
      </c>
      <c r="F67">
        <f t="shared" si="1"/>
        <v>0</v>
      </c>
      <c r="H67">
        <f>IF(AND(G67="Gestor", A67&lt;&gt;""), VLOOKUP(A67, Configuracion!$A:$D, 4, FALSE), 0)*Tabla1021[[#This Row],[CANTIDAD]]</f>
        <v>0</v>
      </c>
      <c r="I67" t="str">
        <f t="shared" si="3"/>
        <v/>
      </c>
    </row>
    <row r="68" spans="2:9" x14ac:dyDescent="0.3">
      <c r="B68" t="e">
        <f>IFERROR(VLOOKUP(A68,martes!$A:$I,9,FALSE),IFERROR(VLOOKUP(A68,lunes!$A:$I,9,FALSE),VLOOKUP(A68,Configuracion!$A:$B,2,FALSE)))</f>
        <v>#N/A</v>
      </c>
      <c r="E68">
        <f>IF(C68="Venta", IFERROR(VLOOKUP(A68, Configuracion!$A:$D, 3, FALSE), 0), 0)</f>
        <v>0</v>
      </c>
      <c r="F68">
        <f t="shared" ref="F68:F131" si="4">E68*D68</f>
        <v>0</v>
      </c>
      <c r="H68">
        <f>IF(AND(G68="Gestor", A68&lt;&gt;""), VLOOKUP(A68, Configuracion!$A:$D, 4, FALSE), 0)*Tabla1021[[#This Row],[CANTIDAD]]</f>
        <v>0</v>
      </c>
      <c r="I68" t="str">
        <f t="shared" si="3"/>
        <v/>
      </c>
    </row>
    <row r="69" spans="2:9" x14ac:dyDescent="0.3">
      <c r="B69" t="e">
        <f>IFERROR(VLOOKUP(A69,martes!$A:$I,9,FALSE),IFERROR(VLOOKUP(A69,lunes!$A:$I,9,FALSE),VLOOKUP(A69,Configuracion!$A:$B,2,FALSE)))</f>
        <v>#N/A</v>
      </c>
      <c r="E69">
        <f>IF(C69="Venta", IFERROR(VLOOKUP(A69, Configuracion!$A:$D, 3, FALSE), 0), 0)</f>
        <v>0</v>
      </c>
      <c r="F69">
        <f t="shared" si="4"/>
        <v>0</v>
      </c>
      <c r="H69">
        <f>IF(AND(G69="Gestor", A69&lt;&gt;""), VLOOKUP(A69, Configuracion!$A:$D, 4, FALSE), 0)*Tabla1021[[#This Row],[CANTIDAD]]</f>
        <v>0</v>
      </c>
      <c r="I69" t="str">
        <f t="shared" si="3"/>
        <v/>
      </c>
    </row>
    <row r="70" spans="2:9" x14ac:dyDescent="0.3">
      <c r="B70" t="e">
        <f>IFERROR(VLOOKUP(A70,martes!$A:$I,9,FALSE),IFERROR(VLOOKUP(A70,lunes!$A:$I,9,FALSE),VLOOKUP(A70,Configuracion!$A:$B,2,FALSE)))</f>
        <v>#N/A</v>
      </c>
      <c r="E70">
        <f>IF(C70="Venta", IFERROR(VLOOKUP(A70, Configuracion!$A:$D, 3, FALSE), 0), 0)</f>
        <v>0</v>
      </c>
      <c r="F70">
        <f t="shared" si="4"/>
        <v>0</v>
      </c>
      <c r="H70">
        <f>IF(AND(G70="Gestor", A70&lt;&gt;""), VLOOKUP(A70, Configuracion!$A:$D, 4, FALSE), 0)*Tabla1021[[#This Row],[CANTIDAD]]</f>
        <v>0</v>
      </c>
      <c r="I70" t="str">
        <f t="shared" si="3"/>
        <v/>
      </c>
    </row>
    <row r="71" spans="2:9" x14ac:dyDescent="0.3">
      <c r="B71" t="e">
        <f>IFERROR(VLOOKUP(A71,martes!$A:$I,9,FALSE),IFERROR(VLOOKUP(A71,lunes!$A:$I,9,FALSE),VLOOKUP(A71,Configuracion!$A:$B,2,FALSE)))</f>
        <v>#N/A</v>
      </c>
      <c r="E71">
        <f>IF(C71="Venta", IFERROR(VLOOKUP(A71, Configuracion!$A:$D, 3, FALSE), 0), 0)</f>
        <v>0</v>
      </c>
      <c r="F71">
        <f t="shared" si="4"/>
        <v>0</v>
      </c>
      <c r="H71">
        <f>IF(AND(G71="Gestor", A71&lt;&gt;""), VLOOKUP(A71, Configuracion!$A:$D, 4, FALSE), 0)*Tabla1021[[#This Row],[CANTIDAD]]</f>
        <v>0</v>
      </c>
      <c r="I71" t="str">
        <f t="shared" si="3"/>
        <v/>
      </c>
    </row>
    <row r="72" spans="2:9" x14ac:dyDescent="0.3">
      <c r="B72" t="e">
        <f>IFERROR(VLOOKUP(A72,martes!$A:$I,9,FALSE),IFERROR(VLOOKUP(A72,lunes!$A:$I,9,FALSE),VLOOKUP(A72,Configuracion!$A:$B,2,FALSE)))</f>
        <v>#N/A</v>
      </c>
      <c r="E72">
        <f>IF(C72="Venta", IFERROR(VLOOKUP(A72, Configuracion!$A:$D, 3, FALSE), 0), 0)</f>
        <v>0</v>
      </c>
      <c r="F72">
        <f t="shared" si="4"/>
        <v>0</v>
      </c>
      <c r="H72">
        <f>IF(AND(G72="Gestor", A72&lt;&gt;""), VLOOKUP(A72, Configuracion!$A:$D, 4, FALSE), 0)*Tabla1021[[#This Row],[CANTIDAD]]</f>
        <v>0</v>
      </c>
      <c r="I72" t="str">
        <f t="shared" si="3"/>
        <v/>
      </c>
    </row>
    <row r="73" spans="2:9" x14ac:dyDescent="0.3">
      <c r="B73" t="e">
        <f>IFERROR(VLOOKUP(A73,martes!$A:$I,9,FALSE),IFERROR(VLOOKUP(A73,lunes!$A:$I,9,FALSE),VLOOKUP(A73,Configuracion!$A:$B,2,FALSE)))</f>
        <v>#N/A</v>
      </c>
      <c r="E73">
        <f>IF(C73="Venta", IFERROR(VLOOKUP(A73, Configuracion!$A:$D, 3, FALSE), 0), 0)</f>
        <v>0</v>
      </c>
      <c r="F73">
        <f t="shared" si="4"/>
        <v>0</v>
      </c>
      <c r="H73">
        <f>IF(AND(G73="Gestor", A73&lt;&gt;""), VLOOKUP(A73, Configuracion!$A:$D, 4, FALSE), 0)*Tabla1021[[#This Row],[CANTIDAD]]</f>
        <v>0</v>
      </c>
      <c r="I73" t="str">
        <f t="shared" si="3"/>
        <v/>
      </c>
    </row>
    <row r="74" spans="2:9" x14ac:dyDescent="0.3">
      <c r="B74" t="e">
        <f>IFERROR(VLOOKUP(A74,martes!$A:$I,9,FALSE),IFERROR(VLOOKUP(A74,lunes!$A:$I,9,FALSE),VLOOKUP(A74,Configuracion!$A:$B,2,FALSE)))</f>
        <v>#N/A</v>
      </c>
      <c r="E74">
        <f>IF(C74="Venta", IFERROR(VLOOKUP(A74, Configuracion!$A:$D, 3, FALSE), 0), 0)</f>
        <v>0</v>
      </c>
      <c r="F74">
        <f t="shared" si="4"/>
        <v>0</v>
      </c>
      <c r="H74">
        <f>IF(AND(G74="Gestor", A74&lt;&gt;""), VLOOKUP(A74, Configuracion!$A:$D, 4, FALSE), 0)*Tabla1021[[#This Row],[CANTIDAD]]</f>
        <v>0</v>
      </c>
      <c r="I74" t="str">
        <f t="shared" si="3"/>
        <v/>
      </c>
    </row>
    <row r="75" spans="2:9" x14ac:dyDescent="0.3">
      <c r="B75" t="e">
        <f>IFERROR(VLOOKUP(A75,martes!$A:$I,9,FALSE),IFERROR(VLOOKUP(A75,lunes!$A:$I,9,FALSE),VLOOKUP(A75,Configuracion!$A:$B,2,FALSE)))</f>
        <v>#N/A</v>
      </c>
      <c r="E75">
        <f>IF(C75="Venta", IFERROR(VLOOKUP(A75, Configuracion!$A:$D, 3, FALSE), 0), 0)</f>
        <v>0</v>
      </c>
      <c r="F75">
        <f t="shared" si="4"/>
        <v>0</v>
      </c>
      <c r="H75">
        <f>IF(AND(G75="Gestor", A75&lt;&gt;""), VLOOKUP(A75, Configuracion!$A:$D, 4, FALSE), 0)*Tabla1021[[#This Row],[CANTIDAD]]</f>
        <v>0</v>
      </c>
      <c r="I75" t="str">
        <f t="shared" si="3"/>
        <v/>
      </c>
    </row>
    <row r="76" spans="2:9" x14ac:dyDescent="0.3">
      <c r="B76" t="e">
        <f>IFERROR(VLOOKUP(A76,martes!$A:$I,9,FALSE),IFERROR(VLOOKUP(A76,lunes!$A:$I,9,FALSE),VLOOKUP(A76,Configuracion!$A:$B,2,FALSE)))</f>
        <v>#N/A</v>
      </c>
      <c r="E76">
        <f>IF(C76="Venta", IFERROR(VLOOKUP(A76, Configuracion!$A:$D, 3, FALSE), 0), 0)</f>
        <v>0</v>
      </c>
      <c r="F76">
        <f t="shared" si="4"/>
        <v>0</v>
      </c>
      <c r="H76">
        <f>IF(AND(G76="Gestor", A76&lt;&gt;""), VLOOKUP(A76, Configuracion!$A:$D, 4, FALSE), 0)*Tabla1021[[#This Row],[CANTIDAD]]</f>
        <v>0</v>
      </c>
      <c r="I76" t="str">
        <f t="shared" si="3"/>
        <v/>
      </c>
    </row>
    <row r="77" spans="2:9" x14ac:dyDescent="0.3">
      <c r="B77" t="e">
        <f>IFERROR(VLOOKUP(A77,martes!$A:$I,9,FALSE),IFERROR(VLOOKUP(A77,lunes!$A:$I,9,FALSE),VLOOKUP(A77,Configuracion!$A:$B,2,FALSE)))</f>
        <v>#N/A</v>
      </c>
      <c r="E77">
        <f>IF(C77="Venta", IFERROR(VLOOKUP(A77, Configuracion!$A:$D, 3, FALSE), 0), 0)</f>
        <v>0</v>
      </c>
      <c r="F77">
        <f t="shared" si="4"/>
        <v>0</v>
      </c>
      <c r="H77">
        <f>IF(AND(G77="Gestor", A77&lt;&gt;""), VLOOKUP(A77, Configuracion!$A:$D, 4, FALSE), 0)*Tabla1021[[#This Row],[CANTIDAD]]</f>
        <v>0</v>
      </c>
      <c r="I77" t="str">
        <f t="shared" si="3"/>
        <v/>
      </c>
    </row>
    <row r="78" spans="2:9" x14ac:dyDescent="0.3">
      <c r="B78" t="e">
        <f>IFERROR(VLOOKUP(A78,martes!$A:$I,9,FALSE),IFERROR(VLOOKUP(A78,lunes!$A:$I,9,FALSE),VLOOKUP(A78,Configuracion!$A:$B,2,FALSE)))</f>
        <v>#N/A</v>
      </c>
      <c r="E78">
        <f>IF(C78="Venta", IFERROR(VLOOKUP(A78, Configuracion!$A:$D, 3, FALSE), 0), 0)</f>
        <v>0</v>
      </c>
      <c r="F78">
        <f t="shared" si="4"/>
        <v>0</v>
      </c>
      <c r="H78">
        <f>IF(AND(G78="Gestor", A78&lt;&gt;""), VLOOKUP(A78, Configuracion!$A:$D, 4, FALSE), 0)*Tabla1021[[#This Row],[CANTIDAD]]</f>
        <v>0</v>
      </c>
      <c r="I78" t="str">
        <f t="shared" si="3"/>
        <v/>
      </c>
    </row>
    <row r="79" spans="2:9" x14ac:dyDescent="0.3">
      <c r="B79" t="e">
        <f>IFERROR(VLOOKUP(A79,martes!$A:$I,9,FALSE),IFERROR(VLOOKUP(A79,lunes!$A:$I,9,FALSE),VLOOKUP(A79,Configuracion!$A:$B,2,FALSE)))</f>
        <v>#N/A</v>
      </c>
      <c r="E79">
        <f>IF(C79="Venta", IFERROR(VLOOKUP(A79, Configuracion!$A:$D, 3, FALSE), 0), 0)</f>
        <v>0</v>
      </c>
      <c r="F79">
        <f t="shared" si="4"/>
        <v>0</v>
      </c>
      <c r="H79">
        <f>IF(AND(G79="Gestor", A79&lt;&gt;""), VLOOKUP(A79, Configuracion!$A:$D, 4, FALSE), 0)*Tabla1021[[#This Row],[CANTIDAD]]</f>
        <v>0</v>
      </c>
      <c r="I79" t="str">
        <f t="shared" si="3"/>
        <v/>
      </c>
    </row>
    <row r="80" spans="2:9" x14ac:dyDescent="0.3">
      <c r="B80" t="e">
        <f>IFERROR(VLOOKUP(A80,martes!$A:$I,9,FALSE),IFERROR(VLOOKUP(A80,lunes!$A:$I,9,FALSE),VLOOKUP(A80,Configuracion!$A:$B,2,FALSE)))</f>
        <v>#N/A</v>
      </c>
      <c r="E80">
        <f>IF(C80="Venta", IFERROR(VLOOKUP(A80, Configuracion!$A:$D, 3, FALSE), 0), 0)</f>
        <v>0</v>
      </c>
      <c r="F80">
        <f t="shared" si="4"/>
        <v>0</v>
      </c>
      <c r="H80">
        <f>IF(AND(G80="Gestor", A80&lt;&gt;""), VLOOKUP(A80, Configuracion!$A:$D, 4, FALSE), 0)*Tabla1021[[#This Row],[CANTIDAD]]</f>
        <v>0</v>
      </c>
      <c r="I80" t="str">
        <f t="shared" si="3"/>
        <v/>
      </c>
    </row>
    <row r="81" spans="2:9" x14ac:dyDescent="0.3">
      <c r="B81" t="e">
        <f>IFERROR(VLOOKUP(A81,martes!$A:$I,9,FALSE),IFERROR(VLOOKUP(A81,lunes!$A:$I,9,FALSE),VLOOKUP(A81,Configuracion!$A:$B,2,FALSE)))</f>
        <v>#N/A</v>
      </c>
      <c r="E81">
        <f>IF(C81="Venta", IFERROR(VLOOKUP(A81, Configuracion!$A:$D, 3, FALSE), 0), 0)</f>
        <v>0</v>
      </c>
      <c r="F81">
        <f t="shared" si="4"/>
        <v>0</v>
      </c>
      <c r="H81">
        <f>IF(AND(G81="Gestor", A81&lt;&gt;""), VLOOKUP(A81, Configuracion!$A:$D, 4, FALSE), 0)*Tabla1021[[#This Row],[CANTIDAD]]</f>
        <v>0</v>
      </c>
      <c r="I81" t="str">
        <f t="shared" si="3"/>
        <v/>
      </c>
    </row>
    <row r="82" spans="2:9" x14ac:dyDescent="0.3">
      <c r="B82" t="e">
        <f>IFERROR(VLOOKUP(A82,martes!$A:$I,9,FALSE),IFERROR(VLOOKUP(A82,lunes!$A:$I,9,FALSE),VLOOKUP(A82,Configuracion!$A:$B,2,FALSE)))</f>
        <v>#N/A</v>
      </c>
      <c r="E82">
        <f>IF(C82="Venta", IFERROR(VLOOKUP(A82, Configuracion!$A:$D, 3, FALSE), 0), 0)</f>
        <v>0</v>
      </c>
      <c r="F82">
        <f t="shared" si="4"/>
        <v>0</v>
      </c>
      <c r="H82">
        <f>IF(AND(G82="Gestor", A82&lt;&gt;""), VLOOKUP(A82, Configuracion!$A:$D, 4, FALSE), 0)*Tabla1021[[#This Row],[CANTIDAD]]</f>
        <v>0</v>
      </c>
      <c r="I82" t="str">
        <f t="shared" si="3"/>
        <v/>
      </c>
    </row>
    <row r="83" spans="2:9" x14ac:dyDescent="0.3">
      <c r="B83" t="e">
        <f>IFERROR(VLOOKUP(A83,martes!$A:$I,9,FALSE),IFERROR(VLOOKUP(A83,lunes!$A:$I,9,FALSE),VLOOKUP(A83,Configuracion!$A:$B,2,FALSE)))</f>
        <v>#N/A</v>
      </c>
      <c r="E83">
        <f>IF(C83="Venta", IFERROR(VLOOKUP(A83, Configuracion!$A:$D, 3, FALSE), 0), 0)</f>
        <v>0</v>
      </c>
      <c r="F83">
        <f t="shared" si="4"/>
        <v>0</v>
      </c>
      <c r="H83">
        <f>IF(AND(G83="Gestor", A83&lt;&gt;""), VLOOKUP(A83, Configuracion!$A:$D, 4, FALSE), 0)*Tabla1021[[#This Row],[CANTIDAD]]</f>
        <v>0</v>
      </c>
      <c r="I83" t="str">
        <f t="shared" si="3"/>
        <v/>
      </c>
    </row>
    <row r="84" spans="2:9" x14ac:dyDescent="0.3">
      <c r="B84" t="e">
        <f>IFERROR(VLOOKUP(A84,martes!$A:$I,9,FALSE),IFERROR(VLOOKUP(A84,lunes!$A:$I,9,FALSE),VLOOKUP(A84,Configuracion!$A:$B,2,FALSE)))</f>
        <v>#N/A</v>
      </c>
      <c r="E84">
        <f>IF(C84="Venta", IFERROR(VLOOKUP(A84, Configuracion!$A:$D, 3, FALSE), 0), 0)</f>
        <v>0</v>
      </c>
      <c r="F84">
        <f t="shared" si="4"/>
        <v>0</v>
      </c>
      <c r="H84">
        <f>IF(AND(G84="Gestor", A84&lt;&gt;""), VLOOKUP(A84, Configuracion!$A:$D, 4, FALSE), 0)*Tabla1021[[#This Row],[CANTIDAD]]</f>
        <v>0</v>
      </c>
      <c r="I84" t="str">
        <f t="shared" si="3"/>
        <v/>
      </c>
    </row>
    <row r="85" spans="2:9" x14ac:dyDescent="0.3">
      <c r="B85" t="e">
        <f>IFERROR(VLOOKUP(A85,martes!$A:$I,9,FALSE),IFERROR(VLOOKUP(A85,lunes!$A:$I,9,FALSE),VLOOKUP(A85,Configuracion!$A:$B,2,FALSE)))</f>
        <v>#N/A</v>
      </c>
      <c r="E85">
        <f>IF(C85="Venta", IFERROR(VLOOKUP(A85, Configuracion!$A:$D, 3, FALSE), 0), 0)</f>
        <v>0</v>
      </c>
      <c r="F85">
        <f t="shared" si="4"/>
        <v>0</v>
      </c>
      <c r="H85">
        <f>IF(AND(G85="Gestor", A85&lt;&gt;""), VLOOKUP(A85, Configuracion!$A:$D, 4, FALSE), 0)*Tabla1021[[#This Row],[CANTIDAD]]</f>
        <v>0</v>
      </c>
      <c r="I85" t="str">
        <f t="shared" si="3"/>
        <v/>
      </c>
    </row>
    <row r="86" spans="2:9" x14ac:dyDescent="0.3">
      <c r="B86" t="e">
        <f>IFERROR(VLOOKUP(A86,martes!$A:$I,9,FALSE),IFERROR(VLOOKUP(A86,lunes!$A:$I,9,FALSE),VLOOKUP(A86,Configuracion!$A:$B,2,FALSE)))</f>
        <v>#N/A</v>
      </c>
      <c r="E86">
        <f>IF(C86="Venta", IFERROR(VLOOKUP(A86, Configuracion!$A:$D, 3, FALSE), 0), 0)</f>
        <v>0</v>
      </c>
      <c r="F86">
        <f t="shared" si="4"/>
        <v>0</v>
      </c>
      <c r="H86">
        <f>IF(AND(G86="Gestor", A86&lt;&gt;""), VLOOKUP(A86, Configuracion!$A:$D, 4, FALSE), 0)*Tabla1021[[#This Row],[CANTIDAD]]</f>
        <v>0</v>
      </c>
      <c r="I86" t="str">
        <f t="shared" si="3"/>
        <v/>
      </c>
    </row>
    <row r="87" spans="2:9" x14ac:dyDescent="0.3">
      <c r="B87" t="e">
        <f>IFERROR(VLOOKUP(A87,martes!$A:$I,9,FALSE),IFERROR(VLOOKUP(A87,lunes!$A:$I,9,FALSE),VLOOKUP(A87,Configuracion!$A:$B,2,FALSE)))</f>
        <v>#N/A</v>
      </c>
      <c r="E87">
        <f>IF(C87="Venta", IFERROR(VLOOKUP(A87, Configuracion!$A:$D, 3, FALSE), 0), 0)</f>
        <v>0</v>
      </c>
      <c r="F87">
        <f t="shared" si="4"/>
        <v>0</v>
      </c>
      <c r="H87">
        <f>IF(AND(G87="Gestor", A87&lt;&gt;""), VLOOKUP(A87, Configuracion!$A:$D, 4, FALSE), 0)*Tabla1021[[#This Row],[CANTIDAD]]</f>
        <v>0</v>
      </c>
      <c r="I87" t="str">
        <f t="shared" si="3"/>
        <v/>
      </c>
    </row>
    <row r="88" spans="2:9" x14ac:dyDescent="0.3">
      <c r="B88" t="e">
        <f>IFERROR(VLOOKUP(A88,martes!$A:$I,9,FALSE),IFERROR(VLOOKUP(A88,lunes!$A:$I,9,FALSE),VLOOKUP(A88,Configuracion!$A:$B,2,FALSE)))</f>
        <v>#N/A</v>
      </c>
      <c r="E88">
        <f>IF(C88="Venta", IFERROR(VLOOKUP(A88, Configuracion!$A:$D, 3, FALSE), 0), 0)</f>
        <v>0</v>
      </c>
      <c r="F88">
        <f t="shared" si="4"/>
        <v>0</v>
      </c>
      <c r="H88">
        <f>IF(AND(G88="Gestor", A88&lt;&gt;""), VLOOKUP(A88, Configuracion!$A:$D, 4, FALSE), 0)*Tabla1021[[#This Row],[CANTIDAD]]</f>
        <v>0</v>
      </c>
      <c r="I88" t="str">
        <f t="shared" si="3"/>
        <v/>
      </c>
    </row>
    <row r="89" spans="2:9" x14ac:dyDescent="0.3">
      <c r="B89" t="e">
        <f>IFERROR(VLOOKUP(A89,martes!$A:$I,9,FALSE),IFERROR(VLOOKUP(A89,lunes!$A:$I,9,FALSE),VLOOKUP(A89,Configuracion!$A:$B,2,FALSE)))</f>
        <v>#N/A</v>
      </c>
      <c r="E89">
        <f>IF(C89="Venta", IFERROR(VLOOKUP(A89, Configuracion!$A:$D, 3, FALSE), 0), 0)</f>
        <v>0</v>
      </c>
      <c r="F89">
        <f t="shared" si="4"/>
        <v>0</v>
      </c>
      <c r="H89">
        <f>IF(AND(G89="Gestor", A89&lt;&gt;""), VLOOKUP(A89, Configuracion!$A:$D, 4, FALSE), 0)*Tabla1021[[#This Row],[CANTIDAD]]</f>
        <v>0</v>
      </c>
      <c r="I89" t="str">
        <f t="shared" si="3"/>
        <v/>
      </c>
    </row>
    <row r="90" spans="2:9" x14ac:dyDescent="0.3">
      <c r="B90" t="e">
        <f>IFERROR(VLOOKUP(A90,martes!$A:$I,9,FALSE),IFERROR(VLOOKUP(A90,lunes!$A:$I,9,FALSE),VLOOKUP(A90,Configuracion!$A:$B,2,FALSE)))</f>
        <v>#N/A</v>
      </c>
      <c r="E90">
        <f>IF(C90="Venta", IFERROR(VLOOKUP(A90, Configuracion!$A:$D, 3, FALSE), 0), 0)</f>
        <v>0</v>
      </c>
      <c r="F90">
        <f t="shared" si="4"/>
        <v>0</v>
      </c>
      <c r="H90">
        <f>IF(AND(G90="Gestor", A90&lt;&gt;""), VLOOKUP(A90, Configuracion!$A:$D, 4, FALSE), 0)*Tabla1021[[#This Row],[CANTIDAD]]</f>
        <v>0</v>
      </c>
      <c r="I90" t="str">
        <f t="shared" si="3"/>
        <v/>
      </c>
    </row>
    <row r="91" spans="2:9" x14ac:dyDescent="0.3">
      <c r="B91" t="e">
        <f>IFERROR(VLOOKUP(A91,martes!$A:$I,9,FALSE),IFERROR(VLOOKUP(A91,lunes!$A:$I,9,FALSE),VLOOKUP(A91,Configuracion!$A:$B,2,FALSE)))</f>
        <v>#N/A</v>
      </c>
      <c r="E91">
        <f>IF(C91="Venta", IFERROR(VLOOKUP(A91, Configuracion!$A:$D, 3, FALSE), 0), 0)</f>
        <v>0</v>
      </c>
      <c r="F91">
        <f t="shared" si="4"/>
        <v>0</v>
      </c>
      <c r="H91">
        <f>IF(AND(G91="Gestor", A91&lt;&gt;""), VLOOKUP(A91, Configuracion!$A:$D, 4, FALSE), 0)*Tabla1021[[#This Row],[CANTIDAD]]</f>
        <v>0</v>
      </c>
      <c r="I91" t="str">
        <f t="shared" si="3"/>
        <v/>
      </c>
    </row>
    <row r="92" spans="2:9" x14ac:dyDescent="0.3">
      <c r="B92" t="e">
        <f>IFERROR(VLOOKUP(A92,martes!$A:$I,9,FALSE),IFERROR(VLOOKUP(A92,lunes!$A:$I,9,FALSE),VLOOKUP(A92,Configuracion!$A:$B,2,FALSE)))</f>
        <v>#N/A</v>
      </c>
      <c r="E92">
        <f>IF(C92="Venta", IFERROR(VLOOKUP(A92, Configuracion!$A:$D, 3, FALSE), 0), 0)</f>
        <v>0</v>
      </c>
      <c r="F92">
        <f t="shared" si="4"/>
        <v>0</v>
      </c>
      <c r="H92">
        <f>IF(AND(G92="Gestor", A92&lt;&gt;""), VLOOKUP(A92, Configuracion!$A:$D, 4, FALSE), 0)*Tabla1021[[#This Row],[CANTIDAD]]</f>
        <v>0</v>
      </c>
      <c r="I92" t="str">
        <f t="shared" si="3"/>
        <v/>
      </c>
    </row>
    <row r="93" spans="2:9" x14ac:dyDescent="0.3">
      <c r="B93" t="e">
        <f>IFERROR(VLOOKUP(A93,martes!$A:$I,9,FALSE),IFERROR(VLOOKUP(A93,lunes!$A:$I,9,FALSE),VLOOKUP(A93,Configuracion!$A:$B,2,FALSE)))</f>
        <v>#N/A</v>
      </c>
      <c r="E93">
        <f>IF(C93="Venta", IFERROR(VLOOKUP(A93, Configuracion!$A:$D, 3, FALSE), 0), 0)</f>
        <v>0</v>
      </c>
      <c r="F93">
        <f t="shared" si="4"/>
        <v>0</v>
      </c>
      <c r="H93">
        <f>IF(AND(G93="Gestor", A93&lt;&gt;""), VLOOKUP(A93, Configuracion!$A:$D, 4, FALSE), 0)*Tabla1021[[#This Row],[CANTIDAD]]</f>
        <v>0</v>
      </c>
      <c r="I93" t="str">
        <f t="shared" si="3"/>
        <v/>
      </c>
    </row>
    <row r="94" spans="2:9" x14ac:dyDescent="0.3">
      <c r="B94" t="e">
        <f>IFERROR(VLOOKUP(A94,martes!$A:$I,9,FALSE),IFERROR(VLOOKUP(A94,lunes!$A:$I,9,FALSE),VLOOKUP(A94,Configuracion!$A:$B,2,FALSE)))</f>
        <v>#N/A</v>
      </c>
      <c r="E94">
        <f>IF(C94="Venta", IFERROR(VLOOKUP(A94, Configuracion!$A:$D, 3, FALSE), 0), 0)</f>
        <v>0</v>
      </c>
      <c r="F94">
        <f t="shared" si="4"/>
        <v>0</v>
      </c>
      <c r="H94">
        <f>IF(AND(G94="Gestor", A94&lt;&gt;""), VLOOKUP(A94, Configuracion!$A:$D, 4, FALSE), 0)*Tabla1021[[#This Row],[CANTIDAD]]</f>
        <v>0</v>
      </c>
      <c r="I94" t="str">
        <f t="shared" si="3"/>
        <v/>
      </c>
    </row>
    <row r="95" spans="2:9" x14ac:dyDescent="0.3">
      <c r="B95" t="e">
        <f>IFERROR(VLOOKUP(A95,martes!$A:$I,9,FALSE),IFERROR(VLOOKUP(A95,lunes!$A:$I,9,FALSE),VLOOKUP(A95,Configuracion!$A:$B,2,FALSE)))</f>
        <v>#N/A</v>
      </c>
      <c r="E95">
        <f>IF(C95="Venta", IFERROR(VLOOKUP(A95, Configuracion!$A:$D, 3, FALSE), 0), 0)</f>
        <v>0</v>
      </c>
      <c r="F95">
        <f t="shared" si="4"/>
        <v>0</v>
      </c>
      <c r="H95">
        <f>IF(AND(G95="Gestor", A95&lt;&gt;""), VLOOKUP(A95, Configuracion!$A:$D, 4, FALSE), 0)*Tabla1021[[#This Row],[CANTIDAD]]</f>
        <v>0</v>
      </c>
      <c r="I95" t="str">
        <f t="shared" si="3"/>
        <v/>
      </c>
    </row>
    <row r="96" spans="2:9" x14ac:dyDescent="0.3">
      <c r="B96" t="e">
        <f>IFERROR(VLOOKUP(A96,martes!$A:$I,9,FALSE),IFERROR(VLOOKUP(A96,lunes!$A:$I,9,FALSE),VLOOKUP(A96,Configuracion!$A:$B,2,FALSE)))</f>
        <v>#N/A</v>
      </c>
      <c r="E96">
        <f>IF(C96="Venta", IFERROR(VLOOKUP(A96, Configuracion!$A:$D, 3, FALSE), 0), 0)</f>
        <v>0</v>
      </c>
      <c r="F96">
        <f t="shared" si="4"/>
        <v>0</v>
      </c>
      <c r="H96">
        <f>IF(AND(G96="Gestor", A96&lt;&gt;""), VLOOKUP(A96, Configuracion!$A:$D, 4, FALSE), 0)*Tabla1021[[#This Row],[CANTIDAD]]</f>
        <v>0</v>
      </c>
      <c r="I96" t="str">
        <f t="shared" si="3"/>
        <v/>
      </c>
    </row>
    <row r="97" spans="2:9" x14ac:dyDescent="0.3">
      <c r="B97" t="e">
        <f>IFERROR(VLOOKUP(A97,martes!$A:$I,9,FALSE),IFERROR(VLOOKUP(A97,lunes!$A:$I,9,FALSE),VLOOKUP(A97,Configuracion!$A:$B,2,FALSE)))</f>
        <v>#N/A</v>
      </c>
      <c r="E97">
        <f>IF(C97="Venta", IFERROR(VLOOKUP(A97, Configuracion!$A:$D, 3, FALSE), 0), 0)</f>
        <v>0</v>
      </c>
      <c r="F97">
        <f t="shared" si="4"/>
        <v>0</v>
      </c>
      <c r="H97">
        <f>IF(AND(G97="Gestor", A97&lt;&gt;""), VLOOKUP(A97, Configuracion!$A:$D, 4, FALSE), 0)*Tabla1021[[#This Row],[CANTIDAD]]</f>
        <v>0</v>
      </c>
      <c r="I97" t="str">
        <f t="shared" si="3"/>
        <v/>
      </c>
    </row>
    <row r="98" spans="2:9" x14ac:dyDescent="0.3">
      <c r="B98" t="e">
        <f>IFERROR(VLOOKUP(A98,martes!$A:$I,9,FALSE),IFERROR(VLOOKUP(A98,lunes!$A:$I,9,FALSE),VLOOKUP(A98,Configuracion!$A:$B,2,FALSE)))</f>
        <v>#N/A</v>
      </c>
      <c r="E98">
        <f>IF(C98="Venta", IFERROR(VLOOKUP(A98, Configuracion!$A:$D, 3, FALSE), 0), 0)</f>
        <v>0</v>
      </c>
      <c r="F98">
        <f t="shared" si="4"/>
        <v>0</v>
      </c>
      <c r="H98">
        <f>IF(AND(G98="Gestor", A98&lt;&gt;""), VLOOKUP(A98, Configuracion!$A:$D, 4, FALSE), 0)*Tabla1021[[#This Row],[CANTIDAD]]</f>
        <v>0</v>
      </c>
      <c r="I98" t="str">
        <f t="shared" ref="I98:I129" si="5">IF(OR(A98="", D98=""), "", IF(C98="Entrada", B98+D98, IF(OR(C98="Venta", C98="Salida"), B98-D98, B98)))</f>
        <v/>
      </c>
    </row>
    <row r="99" spans="2:9" x14ac:dyDescent="0.3">
      <c r="B99" t="e">
        <f>IFERROR(VLOOKUP(A99,martes!$A:$I,9,FALSE),IFERROR(VLOOKUP(A99,lunes!$A:$I,9,FALSE),VLOOKUP(A99,Configuracion!$A:$B,2,FALSE)))</f>
        <v>#N/A</v>
      </c>
      <c r="E99">
        <f>IF(C99="Venta", IFERROR(VLOOKUP(A99, Configuracion!$A:$D, 3, FALSE), 0), 0)</f>
        <v>0</v>
      </c>
      <c r="F99">
        <f t="shared" si="4"/>
        <v>0</v>
      </c>
      <c r="H99">
        <f>IF(AND(G99="Gestor", A99&lt;&gt;""), VLOOKUP(A99, Configuracion!$A:$D, 4, FALSE), 0)*Tabla1021[[#This Row],[CANTIDAD]]</f>
        <v>0</v>
      </c>
      <c r="I99" t="str">
        <f t="shared" si="5"/>
        <v/>
      </c>
    </row>
    <row r="100" spans="2:9" x14ac:dyDescent="0.3">
      <c r="B100" t="e">
        <f>IFERROR(VLOOKUP(A100,martes!$A:$I,9,FALSE),IFERROR(VLOOKUP(A100,lunes!$A:$I,9,FALSE),VLOOKUP(A100,Configuracion!$A:$B,2,FALSE)))</f>
        <v>#N/A</v>
      </c>
      <c r="E100">
        <f>IF(C100="Venta", IFERROR(VLOOKUP(A100, Configuracion!$A:$D, 3, FALSE), 0), 0)</f>
        <v>0</v>
      </c>
      <c r="F100">
        <f t="shared" si="4"/>
        <v>0</v>
      </c>
      <c r="H100">
        <f>IF(AND(G100="Gestor", A100&lt;&gt;""), VLOOKUP(A100, Configuracion!$A:$D, 4, FALSE), 0)*Tabla1021[[#This Row],[CANTIDAD]]</f>
        <v>0</v>
      </c>
      <c r="I100" t="str">
        <f t="shared" si="5"/>
        <v/>
      </c>
    </row>
    <row r="101" spans="2:9" x14ac:dyDescent="0.3">
      <c r="B101" t="e">
        <f>IFERROR(VLOOKUP(A101,martes!$A:$I,9,FALSE),IFERROR(VLOOKUP(A101,lunes!$A:$I,9,FALSE),VLOOKUP(A101,Configuracion!$A:$B,2,FALSE)))</f>
        <v>#N/A</v>
      </c>
      <c r="E101">
        <f>IF(C101="Venta", IFERROR(VLOOKUP(A101, Configuracion!$A:$D, 3, FALSE), 0), 0)</f>
        <v>0</v>
      </c>
      <c r="F101">
        <f t="shared" si="4"/>
        <v>0</v>
      </c>
      <c r="H101">
        <f>IF(AND(G101="Gestor", A101&lt;&gt;""), VLOOKUP(A101, Configuracion!$A:$D, 4, FALSE), 0)*Tabla1021[[#This Row],[CANTIDAD]]</f>
        <v>0</v>
      </c>
      <c r="I101" t="str">
        <f t="shared" si="5"/>
        <v/>
      </c>
    </row>
    <row r="102" spans="2:9" x14ac:dyDescent="0.3">
      <c r="B102" t="e">
        <f>IFERROR(VLOOKUP(A102,martes!$A:$I,9,FALSE),IFERROR(VLOOKUP(A102,lunes!$A:$I,9,FALSE),VLOOKUP(A102,Configuracion!$A:$B,2,FALSE)))</f>
        <v>#N/A</v>
      </c>
      <c r="E102">
        <f>IF(C102="Venta", IFERROR(VLOOKUP(A102, Configuracion!$A:$D, 3, FALSE), 0), 0)</f>
        <v>0</v>
      </c>
      <c r="F102">
        <f t="shared" si="4"/>
        <v>0</v>
      </c>
      <c r="H102">
        <f>IF(AND(G102="Gestor", A102&lt;&gt;""), VLOOKUP(A102, Configuracion!$A:$D, 4, FALSE), 0)*Tabla1021[[#This Row],[CANTIDAD]]</f>
        <v>0</v>
      </c>
      <c r="I102" t="str">
        <f t="shared" si="5"/>
        <v/>
      </c>
    </row>
    <row r="103" spans="2:9" x14ac:dyDescent="0.3">
      <c r="B103" t="e">
        <f>IFERROR(VLOOKUP(A103,martes!$A:$I,9,FALSE),IFERROR(VLOOKUP(A103,lunes!$A:$I,9,FALSE),VLOOKUP(A103,Configuracion!$A:$B,2,FALSE)))</f>
        <v>#N/A</v>
      </c>
      <c r="E103">
        <f>IF(C103="Venta", IFERROR(VLOOKUP(A103, Configuracion!$A:$D, 3, FALSE), 0), 0)</f>
        <v>0</v>
      </c>
      <c r="F103">
        <f t="shared" si="4"/>
        <v>0</v>
      </c>
      <c r="H103">
        <f>IF(AND(G103="Gestor", A103&lt;&gt;""), VLOOKUP(A103, Configuracion!$A:$D, 4, FALSE), 0)*Tabla1021[[#This Row],[CANTIDAD]]</f>
        <v>0</v>
      </c>
      <c r="I103" t="str">
        <f t="shared" si="5"/>
        <v/>
      </c>
    </row>
    <row r="104" spans="2:9" x14ac:dyDescent="0.3">
      <c r="B104" t="e">
        <f>IFERROR(VLOOKUP(A104,martes!$A:$I,9,FALSE),IFERROR(VLOOKUP(A104,lunes!$A:$I,9,FALSE),VLOOKUP(A104,Configuracion!$A:$B,2,FALSE)))</f>
        <v>#N/A</v>
      </c>
      <c r="E104">
        <f>IF(C104="Venta", IFERROR(VLOOKUP(A104, Configuracion!$A:$D, 3, FALSE), 0), 0)</f>
        <v>0</v>
      </c>
      <c r="F104">
        <f t="shared" si="4"/>
        <v>0</v>
      </c>
      <c r="H104">
        <f>IF(AND(G104="Gestor", A104&lt;&gt;""), VLOOKUP(A104, Configuracion!$A:$D, 4, FALSE), 0)*Tabla1021[[#This Row],[CANTIDAD]]</f>
        <v>0</v>
      </c>
      <c r="I104" t="str">
        <f t="shared" si="5"/>
        <v/>
      </c>
    </row>
    <row r="105" spans="2:9" x14ac:dyDescent="0.3">
      <c r="B105" t="e">
        <f>IFERROR(VLOOKUP(A105,martes!$A:$I,9,FALSE),IFERROR(VLOOKUP(A105,lunes!$A:$I,9,FALSE),VLOOKUP(A105,Configuracion!$A:$B,2,FALSE)))</f>
        <v>#N/A</v>
      </c>
      <c r="E105">
        <f>IF(C105="Venta", IFERROR(VLOOKUP(A105, Configuracion!$A:$D, 3, FALSE), 0), 0)</f>
        <v>0</v>
      </c>
      <c r="F105">
        <f t="shared" si="4"/>
        <v>0</v>
      </c>
      <c r="H105">
        <f>IF(AND(G105="Gestor", A105&lt;&gt;""), VLOOKUP(A105, Configuracion!$A:$D, 4, FALSE), 0)*Tabla1021[[#This Row],[CANTIDAD]]</f>
        <v>0</v>
      </c>
      <c r="I105" t="str">
        <f t="shared" si="5"/>
        <v/>
      </c>
    </row>
    <row r="106" spans="2:9" x14ac:dyDescent="0.3">
      <c r="B106" t="e">
        <f>IFERROR(VLOOKUP(A106,martes!$A:$I,9,FALSE),IFERROR(VLOOKUP(A106,lunes!$A:$I,9,FALSE),VLOOKUP(A106,Configuracion!$A:$B,2,FALSE)))</f>
        <v>#N/A</v>
      </c>
      <c r="E106">
        <f>IF(C106="Venta", IFERROR(VLOOKUP(A106, Configuracion!$A:$D, 3, FALSE), 0), 0)</f>
        <v>0</v>
      </c>
      <c r="F106">
        <f t="shared" si="4"/>
        <v>0</v>
      </c>
      <c r="H106">
        <f>IF(AND(G106="Gestor", A106&lt;&gt;""), VLOOKUP(A106, Configuracion!$A:$D, 4, FALSE), 0)*Tabla1021[[#This Row],[CANTIDAD]]</f>
        <v>0</v>
      </c>
      <c r="I106" t="str">
        <f t="shared" si="5"/>
        <v/>
      </c>
    </row>
    <row r="107" spans="2:9" x14ac:dyDescent="0.3">
      <c r="B107" t="e">
        <f>IFERROR(VLOOKUP(A107,martes!$A:$I,9,FALSE),IFERROR(VLOOKUP(A107,lunes!$A:$I,9,FALSE),VLOOKUP(A107,Configuracion!$A:$B,2,FALSE)))</f>
        <v>#N/A</v>
      </c>
      <c r="E107">
        <f>IF(C107="Venta", IFERROR(VLOOKUP(A107, Configuracion!$A:$D, 3, FALSE), 0), 0)</f>
        <v>0</v>
      </c>
      <c r="F107">
        <f t="shared" si="4"/>
        <v>0</v>
      </c>
      <c r="H107">
        <f>IF(AND(G107="Gestor", A107&lt;&gt;""), VLOOKUP(A107, Configuracion!$A:$D, 4, FALSE), 0)*Tabla1021[[#This Row],[CANTIDAD]]</f>
        <v>0</v>
      </c>
      <c r="I107" t="str">
        <f t="shared" si="5"/>
        <v/>
      </c>
    </row>
    <row r="108" spans="2:9" x14ac:dyDescent="0.3">
      <c r="B108" t="e">
        <f>IFERROR(VLOOKUP(A108,martes!$A:$I,9,FALSE),IFERROR(VLOOKUP(A108,lunes!$A:$I,9,FALSE),VLOOKUP(A108,Configuracion!$A:$B,2,FALSE)))</f>
        <v>#N/A</v>
      </c>
      <c r="E108">
        <f>IF(C108="Venta", IFERROR(VLOOKUP(A108, Configuracion!$A:$D, 3, FALSE), 0), 0)</f>
        <v>0</v>
      </c>
      <c r="F108">
        <f t="shared" si="4"/>
        <v>0</v>
      </c>
      <c r="H108">
        <f>IF(AND(G108="Gestor", A108&lt;&gt;""), VLOOKUP(A108, Configuracion!$A:$D, 4, FALSE), 0)*Tabla1021[[#This Row],[CANTIDAD]]</f>
        <v>0</v>
      </c>
      <c r="I108" t="str">
        <f t="shared" si="5"/>
        <v/>
      </c>
    </row>
    <row r="109" spans="2:9" x14ac:dyDescent="0.3">
      <c r="B109" t="e">
        <f>IFERROR(VLOOKUP(A109,martes!$A:$I,9,FALSE),IFERROR(VLOOKUP(A109,lunes!$A:$I,9,FALSE),VLOOKUP(A109,Configuracion!$A:$B,2,FALSE)))</f>
        <v>#N/A</v>
      </c>
      <c r="E109">
        <f>IF(C109="Venta", IFERROR(VLOOKUP(A109, Configuracion!$A:$D, 3, FALSE), 0), 0)</f>
        <v>0</v>
      </c>
      <c r="F109">
        <f t="shared" si="4"/>
        <v>0</v>
      </c>
      <c r="H109">
        <f>IF(AND(G109="Gestor", A109&lt;&gt;""), VLOOKUP(A109, Configuracion!$A:$D, 4, FALSE), 0)*Tabla1021[[#This Row],[CANTIDAD]]</f>
        <v>0</v>
      </c>
      <c r="I109" t="str">
        <f t="shared" si="5"/>
        <v/>
      </c>
    </row>
    <row r="110" spans="2:9" x14ac:dyDescent="0.3">
      <c r="B110" t="e">
        <f>IFERROR(VLOOKUP(A110,martes!$A:$I,9,FALSE),IFERROR(VLOOKUP(A110,lunes!$A:$I,9,FALSE),VLOOKUP(A110,Configuracion!$A:$B,2,FALSE)))</f>
        <v>#N/A</v>
      </c>
      <c r="E110">
        <f>IF(C110="Venta", IFERROR(VLOOKUP(A110, Configuracion!$A:$D, 3, FALSE), 0), 0)</f>
        <v>0</v>
      </c>
      <c r="F110">
        <f t="shared" si="4"/>
        <v>0</v>
      </c>
      <c r="H110">
        <f>IF(AND(G110="Gestor", A110&lt;&gt;""), VLOOKUP(A110, Configuracion!$A:$D, 4, FALSE), 0)*Tabla1021[[#This Row],[CANTIDAD]]</f>
        <v>0</v>
      </c>
      <c r="I110" t="str">
        <f t="shared" si="5"/>
        <v/>
      </c>
    </row>
    <row r="111" spans="2:9" x14ac:dyDescent="0.3">
      <c r="B111" t="e">
        <f>IFERROR(VLOOKUP(A111,martes!$A:$I,9,FALSE),IFERROR(VLOOKUP(A111,lunes!$A:$I,9,FALSE),VLOOKUP(A111,Configuracion!$A:$B,2,FALSE)))</f>
        <v>#N/A</v>
      </c>
      <c r="E111">
        <f>IF(C111="Venta", IFERROR(VLOOKUP(A111, Configuracion!$A:$D, 3, FALSE), 0), 0)</f>
        <v>0</v>
      </c>
      <c r="F111">
        <f t="shared" si="4"/>
        <v>0</v>
      </c>
      <c r="H111">
        <f>IF(AND(G111="Gestor", A111&lt;&gt;""), VLOOKUP(A111, Configuracion!$A:$D, 4, FALSE), 0)*Tabla1021[[#This Row],[CANTIDAD]]</f>
        <v>0</v>
      </c>
      <c r="I111" t="str">
        <f t="shared" si="5"/>
        <v/>
      </c>
    </row>
    <row r="112" spans="2:9" x14ac:dyDescent="0.3">
      <c r="B112" t="e">
        <f>IFERROR(VLOOKUP(A112,martes!$A:$I,9,FALSE),IFERROR(VLOOKUP(A112,lunes!$A:$I,9,FALSE),VLOOKUP(A112,Configuracion!$A:$B,2,FALSE)))</f>
        <v>#N/A</v>
      </c>
      <c r="E112">
        <f>IF(C112="Venta", IFERROR(VLOOKUP(A112, Configuracion!$A:$D, 3, FALSE), 0), 0)</f>
        <v>0</v>
      </c>
      <c r="F112">
        <f t="shared" si="4"/>
        <v>0</v>
      </c>
      <c r="H112">
        <f>IF(AND(G112="Gestor", A112&lt;&gt;""), VLOOKUP(A112, Configuracion!$A:$D, 4, FALSE), 0)*Tabla1021[[#This Row],[CANTIDAD]]</f>
        <v>0</v>
      </c>
      <c r="I112" t="str">
        <f t="shared" si="5"/>
        <v/>
      </c>
    </row>
    <row r="113" spans="2:9" x14ac:dyDescent="0.3">
      <c r="B113" t="e">
        <f>IFERROR(VLOOKUP(A113,martes!$A:$I,9,FALSE),IFERROR(VLOOKUP(A113,lunes!$A:$I,9,FALSE),VLOOKUP(A113,Configuracion!$A:$B,2,FALSE)))</f>
        <v>#N/A</v>
      </c>
      <c r="E113">
        <f>IF(C113="Venta", IFERROR(VLOOKUP(A113, Configuracion!$A:$D, 3, FALSE), 0), 0)</f>
        <v>0</v>
      </c>
      <c r="F113">
        <f t="shared" si="4"/>
        <v>0</v>
      </c>
      <c r="H113">
        <f>IF(AND(G113="Gestor", A113&lt;&gt;""), VLOOKUP(A113, Configuracion!$A:$D, 4, FALSE), 0)*Tabla1021[[#This Row],[CANTIDAD]]</f>
        <v>0</v>
      </c>
      <c r="I113" t="str">
        <f t="shared" si="5"/>
        <v/>
      </c>
    </row>
    <row r="114" spans="2:9" x14ac:dyDescent="0.3">
      <c r="B114" t="e">
        <f>IFERROR(VLOOKUP(A114,martes!$A:$I,9,FALSE),IFERROR(VLOOKUP(A114,lunes!$A:$I,9,FALSE),VLOOKUP(A114,Configuracion!$A:$B,2,FALSE)))</f>
        <v>#N/A</v>
      </c>
      <c r="E114">
        <f>IF(C114="Venta", IFERROR(VLOOKUP(A114, Configuracion!$A:$D, 3, FALSE), 0), 0)</f>
        <v>0</v>
      </c>
      <c r="F114">
        <f t="shared" si="4"/>
        <v>0</v>
      </c>
      <c r="H114">
        <f>IF(AND(G114="Gestor", A114&lt;&gt;""), VLOOKUP(A114, Configuracion!$A:$D, 4, FALSE), 0)*Tabla1021[[#This Row],[CANTIDAD]]</f>
        <v>0</v>
      </c>
      <c r="I114" t="str">
        <f t="shared" si="5"/>
        <v/>
      </c>
    </row>
    <row r="115" spans="2:9" x14ac:dyDescent="0.3">
      <c r="B115" t="e">
        <f>IFERROR(VLOOKUP(A115,martes!$A:$I,9,FALSE),IFERROR(VLOOKUP(A115,lunes!$A:$I,9,FALSE),VLOOKUP(A115,Configuracion!$A:$B,2,FALSE)))</f>
        <v>#N/A</v>
      </c>
      <c r="E115">
        <f>IF(C115="Venta", IFERROR(VLOOKUP(A115, Configuracion!$A:$D, 3, FALSE), 0), 0)</f>
        <v>0</v>
      </c>
      <c r="F115">
        <f t="shared" si="4"/>
        <v>0</v>
      </c>
      <c r="H115">
        <f>IF(AND(G115="Gestor", A115&lt;&gt;""), VLOOKUP(A115, Configuracion!$A:$D, 4, FALSE), 0)*Tabla1021[[#This Row],[CANTIDAD]]</f>
        <v>0</v>
      </c>
      <c r="I115" t="str">
        <f t="shared" si="5"/>
        <v/>
      </c>
    </row>
    <row r="116" spans="2:9" x14ac:dyDescent="0.3">
      <c r="B116" t="e">
        <f>IFERROR(VLOOKUP(A116,martes!$A:$I,9,FALSE),IFERROR(VLOOKUP(A116,lunes!$A:$I,9,FALSE),VLOOKUP(A116,Configuracion!$A:$B,2,FALSE)))</f>
        <v>#N/A</v>
      </c>
      <c r="E116">
        <f>IF(C116="Venta", IFERROR(VLOOKUP(A116, Configuracion!$A:$D, 3, FALSE), 0), 0)</f>
        <v>0</v>
      </c>
      <c r="F116">
        <f t="shared" si="4"/>
        <v>0</v>
      </c>
      <c r="H116">
        <f>IF(AND(G116="Gestor", A116&lt;&gt;""), VLOOKUP(A116, Configuracion!$A:$D, 4, FALSE), 0)*Tabla1021[[#This Row],[CANTIDAD]]</f>
        <v>0</v>
      </c>
      <c r="I116" t="str">
        <f t="shared" si="5"/>
        <v/>
      </c>
    </row>
    <row r="117" spans="2:9" x14ac:dyDescent="0.3">
      <c r="B117" t="e">
        <f>IFERROR(VLOOKUP(A117,martes!$A:$I,9,FALSE),IFERROR(VLOOKUP(A117,lunes!$A:$I,9,FALSE),VLOOKUP(A117,Configuracion!$A:$B,2,FALSE)))</f>
        <v>#N/A</v>
      </c>
      <c r="E117">
        <f>IF(C117="Venta", IFERROR(VLOOKUP(A117, Configuracion!$A:$D, 3, FALSE), 0), 0)</f>
        <v>0</v>
      </c>
      <c r="F117">
        <f t="shared" si="4"/>
        <v>0</v>
      </c>
      <c r="H117">
        <f>IF(AND(G117="Gestor", A117&lt;&gt;""), VLOOKUP(A117, Configuracion!$A:$D, 4, FALSE), 0)*Tabla1021[[#This Row],[CANTIDAD]]</f>
        <v>0</v>
      </c>
      <c r="I117" t="str">
        <f t="shared" si="5"/>
        <v/>
      </c>
    </row>
    <row r="118" spans="2:9" x14ac:dyDescent="0.3">
      <c r="B118" t="e">
        <f>IFERROR(VLOOKUP(A118,martes!$A:$I,9,FALSE),IFERROR(VLOOKUP(A118,lunes!$A:$I,9,FALSE),VLOOKUP(A118,Configuracion!$A:$B,2,FALSE)))</f>
        <v>#N/A</v>
      </c>
      <c r="E118">
        <f>IF(C118="Venta", IFERROR(VLOOKUP(A118, Configuracion!$A:$D, 3, FALSE), 0), 0)</f>
        <v>0</v>
      </c>
      <c r="F118">
        <f t="shared" si="4"/>
        <v>0</v>
      </c>
      <c r="H118">
        <f>IF(AND(G118="Gestor", A118&lt;&gt;""), VLOOKUP(A118, Configuracion!$A:$D, 4, FALSE), 0)*Tabla1021[[#This Row],[CANTIDAD]]</f>
        <v>0</v>
      </c>
      <c r="I118" t="str">
        <f t="shared" si="5"/>
        <v/>
      </c>
    </row>
    <row r="119" spans="2:9" x14ac:dyDescent="0.3">
      <c r="B119" t="e">
        <f>IFERROR(VLOOKUP(A119,martes!$A:$I,9,FALSE),IFERROR(VLOOKUP(A119,lunes!$A:$I,9,FALSE),VLOOKUP(A119,Configuracion!$A:$B,2,FALSE)))</f>
        <v>#N/A</v>
      </c>
      <c r="E119">
        <f>IF(C119="Venta", IFERROR(VLOOKUP(A119, Configuracion!$A:$D, 3, FALSE), 0), 0)</f>
        <v>0</v>
      </c>
      <c r="F119">
        <f t="shared" si="4"/>
        <v>0</v>
      </c>
      <c r="H119">
        <f>IF(AND(G119="Gestor", A119&lt;&gt;""), VLOOKUP(A119, Configuracion!$A:$D, 4, FALSE), 0)*Tabla1021[[#This Row],[CANTIDAD]]</f>
        <v>0</v>
      </c>
      <c r="I119" t="str">
        <f t="shared" si="5"/>
        <v/>
      </c>
    </row>
    <row r="120" spans="2:9" x14ac:dyDescent="0.3">
      <c r="B120" t="e">
        <f>IFERROR(VLOOKUP(A120,martes!$A:$I,9,FALSE),IFERROR(VLOOKUP(A120,lunes!$A:$I,9,FALSE),VLOOKUP(A120,Configuracion!$A:$B,2,FALSE)))</f>
        <v>#N/A</v>
      </c>
      <c r="E120">
        <f>IF(C120="Venta", IFERROR(VLOOKUP(A120, Configuracion!$A:$D, 3, FALSE), 0), 0)</f>
        <v>0</v>
      </c>
      <c r="F120">
        <f t="shared" si="4"/>
        <v>0</v>
      </c>
      <c r="H120">
        <f>IF(AND(G120="Gestor", A120&lt;&gt;""), VLOOKUP(A120, Configuracion!$A:$D, 4, FALSE), 0)*Tabla1021[[#This Row],[CANTIDAD]]</f>
        <v>0</v>
      </c>
      <c r="I120" t="str">
        <f t="shared" si="5"/>
        <v/>
      </c>
    </row>
    <row r="121" spans="2:9" x14ac:dyDescent="0.3">
      <c r="B121" t="e">
        <f>IFERROR(VLOOKUP(A121,martes!$A:$I,9,FALSE),IFERROR(VLOOKUP(A121,lunes!$A:$I,9,FALSE),VLOOKUP(A121,Configuracion!$A:$B,2,FALSE)))</f>
        <v>#N/A</v>
      </c>
      <c r="E121">
        <f>IF(C121="Venta", IFERROR(VLOOKUP(A121, Configuracion!$A:$D, 3, FALSE), 0), 0)</f>
        <v>0</v>
      </c>
      <c r="F121">
        <f t="shared" si="4"/>
        <v>0</v>
      </c>
      <c r="H121">
        <f>IF(AND(G121="Gestor", A121&lt;&gt;""), VLOOKUP(A121, Configuracion!$A:$D, 4, FALSE), 0)*Tabla1021[[#This Row],[CANTIDAD]]</f>
        <v>0</v>
      </c>
      <c r="I121" t="str">
        <f t="shared" si="5"/>
        <v/>
      </c>
    </row>
    <row r="122" spans="2:9" x14ac:dyDescent="0.3">
      <c r="B122" t="e">
        <f>IFERROR(VLOOKUP(A122,martes!$A:$I,9,FALSE),IFERROR(VLOOKUP(A122,lunes!$A:$I,9,FALSE),VLOOKUP(A122,Configuracion!$A:$B,2,FALSE)))</f>
        <v>#N/A</v>
      </c>
      <c r="E122">
        <f>IF(C122="Venta", IFERROR(VLOOKUP(A122, Configuracion!$A:$D, 3, FALSE), 0), 0)</f>
        <v>0</v>
      </c>
      <c r="F122">
        <f t="shared" si="4"/>
        <v>0</v>
      </c>
      <c r="H122">
        <f>IF(AND(G122="Gestor", A122&lt;&gt;""), VLOOKUP(A122, Configuracion!$A:$D, 4, FALSE), 0)*Tabla1021[[#This Row],[CANTIDAD]]</f>
        <v>0</v>
      </c>
      <c r="I122" t="str">
        <f t="shared" si="5"/>
        <v/>
      </c>
    </row>
    <row r="123" spans="2:9" x14ac:dyDescent="0.3">
      <c r="B123" t="e">
        <f>IFERROR(VLOOKUP(A123,martes!$A:$I,9,FALSE),IFERROR(VLOOKUP(A123,lunes!$A:$I,9,FALSE),VLOOKUP(A123,Configuracion!$A:$B,2,FALSE)))</f>
        <v>#N/A</v>
      </c>
      <c r="E123">
        <f>IF(C123="Venta", IFERROR(VLOOKUP(A123, Configuracion!$A:$D, 3, FALSE), 0), 0)</f>
        <v>0</v>
      </c>
      <c r="F123">
        <f t="shared" si="4"/>
        <v>0</v>
      </c>
      <c r="H123">
        <f>IF(AND(G123="Gestor", A123&lt;&gt;""), VLOOKUP(A123, Configuracion!$A:$D, 4, FALSE), 0)*Tabla1021[[#This Row],[CANTIDAD]]</f>
        <v>0</v>
      </c>
      <c r="I123" t="str">
        <f t="shared" si="5"/>
        <v/>
      </c>
    </row>
    <row r="124" spans="2:9" x14ac:dyDescent="0.3">
      <c r="B124" t="e">
        <f>IFERROR(VLOOKUP(A124,martes!$A:$I,9,FALSE),IFERROR(VLOOKUP(A124,lunes!$A:$I,9,FALSE),VLOOKUP(A124,Configuracion!$A:$B,2,FALSE)))</f>
        <v>#N/A</v>
      </c>
      <c r="E124">
        <f>IF(C124="Venta", IFERROR(VLOOKUP(A124, Configuracion!$A:$D, 3, FALSE), 0), 0)</f>
        <v>0</v>
      </c>
      <c r="F124">
        <f t="shared" si="4"/>
        <v>0</v>
      </c>
      <c r="H124">
        <f>IF(AND(G124="Gestor", A124&lt;&gt;""), VLOOKUP(A124, Configuracion!$A:$D, 4, FALSE), 0)*Tabla1021[[#This Row],[CANTIDAD]]</f>
        <v>0</v>
      </c>
      <c r="I124" t="str">
        <f t="shared" si="5"/>
        <v/>
      </c>
    </row>
    <row r="125" spans="2:9" x14ac:dyDescent="0.3">
      <c r="B125" t="e">
        <f>IFERROR(VLOOKUP(A125,martes!$A:$I,9,FALSE),IFERROR(VLOOKUP(A125,lunes!$A:$I,9,FALSE),VLOOKUP(A125,Configuracion!$A:$B,2,FALSE)))</f>
        <v>#N/A</v>
      </c>
      <c r="E125">
        <f>IF(C125="Venta", IFERROR(VLOOKUP(A125, Configuracion!$A:$D, 3, FALSE), 0), 0)</f>
        <v>0</v>
      </c>
      <c r="F125">
        <f t="shared" si="4"/>
        <v>0</v>
      </c>
      <c r="H125">
        <f>IF(AND(G125="Gestor", A125&lt;&gt;""), VLOOKUP(A125, Configuracion!$A:$D, 4, FALSE), 0)*Tabla1021[[#This Row],[CANTIDAD]]</f>
        <v>0</v>
      </c>
      <c r="I125" t="str">
        <f t="shared" si="5"/>
        <v/>
      </c>
    </row>
    <row r="126" spans="2:9" x14ac:dyDescent="0.3">
      <c r="B126" t="e">
        <f>IFERROR(VLOOKUP(A126,martes!$A:$I,9,FALSE),IFERROR(VLOOKUP(A126,lunes!$A:$I,9,FALSE),VLOOKUP(A126,Configuracion!$A:$B,2,FALSE)))</f>
        <v>#N/A</v>
      </c>
      <c r="E126">
        <f>IF(C126="Venta", IFERROR(VLOOKUP(A126, Configuracion!$A:$D, 3, FALSE), 0), 0)</f>
        <v>0</v>
      </c>
      <c r="F126">
        <f t="shared" si="4"/>
        <v>0</v>
      </c>
      <c r="H126">
        <f>IF(AND(G126="Gestor", A126&lt;&gt;""), VLOOKUP(A126, Configuracion!$A:$D, 4, FALSE), 0)*Tabla1021[[#This Row],[CANTIDAD]]</f>
        <v>0</v>
      </c>
      <c r="I126" t="str">
        <f t="shared" si="5"/>
        <v/>
      </c>
    </row>
    <row r="127" spans="2:9" x14ac:dyDescent="0.3">
      <c r="B127" t="e">
        <f>IFERROR(VLOOKUP(A127,martes!$A:$I,9,FALSE),IFERROR(VLOOKUP(A127,lunes!$A:$I,9,FALSE),VLOOKUP(A127,Configuracion!$A:$B,2,FALSE)))</f>
        <v>#N/A</v>
      </c>
      <c r="E127">
        <f>IF(C127="Venta", IFERROR(VLOOKUP(A127, Configuracion!$A:$D, 3, FALSE), 0), 0)</f>
        <v>0</v>
      </c>
      <c r="F127">
        <f t="shared" si="4"/>
        <v>0</v>
      </c>
      <c r="H127">
        <f>IF(AND(G127="Gestor", A127&lt;&gt;""), VLOOKUP(A127, Configuracion!$A:$D, 4, FALSE), 0)*Tabla1021[[#This Row],[CANTIDAD]]</f>
        <v>0</v>
      </c>
      <c r="I127" t="str">
        <f t="shared" si="5"/>
        <v/>
      </c>
    </row>
    <row r="128" spans="2:9" x14ac:dyDescent="0.3">
      <c r="B128" t="e">
        <f>IFERROR(VLOOKUP(A128,martes!$A:$I,9,FALSE),IFERROR(VLOOKUP(A128,lunes!$A:$I,9,FALSE),VLOOKUP(A128,Configuracion!$A:$B,2,FALSE)))</f>
        <v>#N/A</v>
      </c>
      <c r="E128">
        <f>IF(C128="Venta", IFERROR(VLOOKUP(A128, Configuracion!$A:$D, 3, FALSE), 0), 0)</f>
        <v>0</v>
      </c>
      <c r="F128">
        <f t="shared" si="4"/>
        <v>0</v>
      </c>
      <c r="H128">
        <f>IF(AND(G128="Gestor", A128&lt;&gt;""), VLOOKUP(A128, Configuracion!$A:$D, 4, FALSE), 0)*Tabla1021[[#This Row],[CANTIDAD]]</f>
        <v>0</v>
      </c>
      <c r="I128" t="str">
        <f t="shared" si="5"/>
        <v/>
      </c>
    </row>
    <row r="129" spans="2:9" x14ac:dyDescent="0.3">
      <c r="B129" t="e">
        <f>IFERROR(VLOOKUP(A129,martes!$A:$I,9,FALSE),IFERROR(VLOOKUP(A129,lunes!$A:$I,9,FALSE),VLOOKUP(A129,Configuracion!$A:$B,2,FALSE)))</f>
        <v>#N/A</v>
      </c>
      <c r="E129">
        <f>IF(C129="Venta", IFERROR(VLOOKUP(A129, Configuracion!$A:$D, 3, FALSE), 0), 0)</f>
        <v>0</v>
      </c>
      <c r="F129">
        <f t="shared" si="4"/>
        <v>0</v>
      </c>
      <c r="H129">
        <f>IF(AND(G129="Gestor", A129&lt;&gt;""), VLOOKUP(A129, Configuracion!$A:$D, 4, FALSE), 0)*Tabla1021[[#This Row],[CANTIDAD]]</f>
        <v>0</v>
      </c>
      <c r="I129" t="str">
        <f t="shared" si="5"/>
        <v/>
      </c>
    </row>
    <row r="130" spans="2:9" x14ac:dyDescent="0.3">
      <c r="B130" t="e">
        <f>IFERROR(VLOOKUP(A130,martes!$A:$I,9,FALSE),IFERROR(VLOOKUP(A130,lunes!$A:$I,9,FALSE),VLOOKUP(A130,Configuracion!$A:$B,2,FALSE)))</f>
        <v>#N/A</v>
      </c>
      <c r="E130">
        <f>IF(C130="Venta", IFERROR(VLOOKUP(A130, Configuracion!$A:$D, 3, FALSE), 0), 0)</f>
        <v>0</v>
      </c>
      <c r="F130">
        <f t="shared" si="4"/>
        <v>0</v>
      </c>
      <c r="H130">
        <f>IF(AND(G130="Gestor", A130&lt;&gt;""), VLOOKUP(A130, Configuracion!$A:$D, 4, FALSE), 0)*Tabla1021[[#This Row],[CANTIDAD]]</f>
        <v>0</v>
      </c>
      <c r="I130" t="str">
        <f t="shared" ref="I130:I161" si="6">IF(OR(A130="", D130=""), "", IF(C130="Entrada", B130+D130, IF(OR(C130="Venta", C130="Salida"), B130-D130, B130)))</f>
        <v/>
      </c>
    </row>
    <row r="131" spans="2:9" x14ac:dyDescent="0.3">
      <c r="B131" t="e">
        <f>IFERROR(VLOOKUP(A131,martes!$A:$I,9,FALSE),IFERROR(VLOOKUP(A131,lunes!$A:$I,9,FALSE),VLOOKUP(A131,Configuracion!$A:$B,2,FALSE)))</f>
        <v>#N/A</v>
      </c>
      <c r="E131">
        <f>IF(C131="Venta", IFERROR(VLOOKUP(A131, Configuracion!$A:$D, 3, FALSE), 0), 0)</f>
        <v>0</v>
      </c>
      <c r="F131">
        <f t="shared" si="4"/>
        <v>0</v>
      </c>
      <c r="H131">
        <f>IF(AND(G131="Gestor", A131&lt;&gt;""), VLOOKUP(A131, Configuracion!$A:$D, 4, FALSE), 0)*Tabla1021[[#This Row],[CANTIDAD]]</f>
        <v>0</v>
      </c>
      <c r="I131" t="str">
        <f t="shared" si="6"/>
        <v/>
      </c>
    </row>
    <row r="132" spans="2:9" x14ac:dyDescent="0.3">
      <c r="B132" t="e">
        <f>IFERROR(VLOOKUP(A132,martes!$A:$I,9,FALSE),IFERROR(VLOOKUP(A132,lunes!$A:$I,9,FALSE),VLOOKUP(A132,Configuracion!$A:$B,2,FALSE)))</f>
        <v>#N/A</v>
      </c>
      <c r="E132">
        <f>IF(C132="Venta", IFERROR(VLOOKUP(A132, Configuracion!$A:$D, 3, FALSE), 0), 0)</f>
        <v>0</v>
      </c>
      <c r="F132">
        <f t="shared" ref="F132:F190" si="7">E132*D132</f>
        <v>0</v>
      </c>
      <c r="H132">
        <f>IF(AND(G132="Gestor", A132&lt;&gt;""), VLOOKUP(A132, Configuracion!$A:$D, 4, FALSE), 0)*Tabla1021[[#This Row],[CANTIDAD]]</f>
        <v>0</v>
      </c>
      <c r="I132" t="str">
        <f t="shared" si="6"/>
        <v/>
      </c>
    </row>
    <row r="133" spans="2:9" x14ac:dyDescent="0.3">
      <c r="B133" t="e">
        <f>IFERROR(VLOOKUP(A133,martes!$A:$I,9,FALSE),IFERROR(VLOOKUP(A133,lunes!$A:$I,9,FALSE),VLOOKUP(A133,Configuracion!$A:$B,2,FALSE)))</f>
        <v>#N/A</v>
      </c>
      <c r="E133">
        <f>IF(C133="Venta", IFERROR(VLOOKUP(A133, Configuracion!$A:$D, 3, FALSE), 0), 0)</f>
        <v>0</v>
      </c>
      <c r="F133">
        <f t="shared" si="7"/>
        <v>0</v>
      </c>
      <c r="H133">
        <f>IF(AND(G133="Gestor", A133&lt;&gt;""), VLOOKUP(A133, Configuracion!$A:$D, 4, FALSE), 0)*Tabla1021[[#This Row],[CANTIDAD]]</f>
        <v>0</v>
      </c>
      <c r="I133" t="str">
        <f t="shared" si="6"/>
        <v/>
      </c>
    </row>
    <row r="134" spans="2:9" x14ac:dyDescent="0.3">
      <c r="B134" t="e">
        <f>IFERROR(VLOOKUP(A134,martes!$A:$I,9,FALSE),IFERROR(VLOOKUP(A134,lunes!$A:$I,9,FALSE),VLOOKUP(A134,Configuracion!$A:$B,2,FALSE)))</f>
        <v>#N/A</v>
      </c>
      <c r="E134">
        <f>IF(C134="Venta", IFERROR(VLOOKUP(A134, Configuracion!$A:$D, 3, FALSE), 0), 0)</f>
        <v>0</v>
      </c>
      <c r="F134">
        <f t="shared" si="7"/>
        <v>0</v>
      </c>
      <c r="H134">
        <f>IF(AND(G134="Gestor", A134&lt;&gt;""), VLOOKUP(A134, Configuracion!$A:$D, 4, FALSE), 0)*Tabla1021[[#This Row],[CANTIDAD]]</f>
        <v>0</v>
      </c>
      <c r="I134" t="str">
        <f t="shared" si="6"/>
        <v/>
      </c>
    </row>
    <row r="135" spans="2:9" x14ac:dyDescent="0.3">
      <c r="B135" t="e">
        <f>IFERROR(VLOOKUP(A135,martes!$A:$I,9,FALSE),IFERROR(VLOOKUP(A135,lunes!$A:$I,9,FALSE),VLOOKUP(A135,Configuracion!$A:$B,2,FALSE)))</f>
        <v>#N/A</v>
      </c>
      <c r="E135">
        <f>IF(C135="Venta", IFERROR(VLOOKUP(A135, Configuracion!$A:$D, 3, FALSE), 0), 0)</f>
        <v>0</v>
      </c>
      <c r="F135">
        <f t="shared" si="7"/>
        <v>0</v>
      </c>
      <c r="H135">
        <f>IF(AND(G135="Gestor", A135&lt;&gt;""), VLOOKUP(A135, Configuracion!$A:$D, 4, FALSE), 0)*Tabla1021[[#This Row],[CANTIDAD]]</f>
        <v>0</v>
      </c>
      <c r="I135" t="str">
        <f t="shared" si="6"/>
        <v/>
      </c>
    </row>
    <row r="136" spans="2:9" x14ac:dyDescent="0.3">
      <c r="B136" t="e">
        <f>IFERROR(VLOOKUP(A136,martes!$A:$I,9,FALSE),IFERROR(VLOOKUP(A136,lunes!$A:$I,9,FALSE),VLOOKUP(A136,Configuracion!$A:$B,2,FALSE)))</f>
        <v>#N/A</v>
      </c>
      <c r="E136">
        <f>IF(C136="Venta", IFERROR(VLOOKUP(A136, Configuracion!$A:$D, 3, FALSE), 0), 0)</f>
        <v>0</v>
      </c>
      <c r="F136">
        <f t="shared" si="7"/>
        <v>0</v>
      </c>
      <c r="H136">
        <f>IF(AND(G136="Gestor", A136&lt;&gt;""), VLOOKUP(A136, Configuracion!$A:$D, 4, FALSE), 0)*Tabla1021[[#This Row],[CANTIDAD]]</f>
        <v>0</v>
      </c>
      <c r="I136" t="str">
        <f t="shared" si="6"/>
        <v/>
      </c>
    </row>
    <row r="137" spans="2:9" x14ac:dyDescent="0.3">
      <c r="B137" t="e">
        <f>IFERROR(VLOOKUP(A137,martes!$A:$I,9,FALSE),IFERROR(VLOOKUP(A137,lunes!$A:$I,9,FALSE),VLOOKUP(A137,Configuracion!$A:$B,2,FALSE)))</f>
        <v>#N/A</v>
      </c>
      <c r="E137">
        <f>IF(C137="Venta", IFERROR(VLOOKUP(A137, Configuracion!$A:$D, 3, FALSE), 0), 0)</f>
        <v>0</v>
      </c>
      <c r="F137">
        <f t="shared" si="7"/>
        <v>0</v>
      </c>
      <c r="H137">
        <f>IF(AND(G137="Gestor", A137&lt;&gt;""), VLOOKUP(A137, Configuracion!$A:$D, 4, FALSE), 0)*Tabla1021[[#This Row],[CANTIDAD]]</f>
        <v>0</v>
      </c>
      <c r="I137" t="str">
        <f t="shared" si="6"/>
        <v/>
      </c>
    </row>
    <row r="138" spans="2:9" x14ac:dyDescent="0.3">
      <c r="B138" t="e">
        <f>IFERROR(VLOOKUP(A138,martes!$A:$I,9,FALSE),IFERROR(VLOOKUP(A138,lunes!$A:$I,9,FALSE),VLOOKUP(A138,Configuracion!$A:$B,2,FALSE)))</f>
        <v>#N/A</v>
      </c>
      <c r="E138">
        <f>IF(C138="Venta", IFERROR(VLOOKUP(A138, Configuracion!$A:$D, 3, FALSE), 0), 0)</f>
        <v>0</v>
      </c>
      <c r="F138">
        <f t="shared" si="7"/>
        <v>0</v>
      </c>
      <c r="H138">
        <f>IF(AND(G138="Gestor", A138&lt;&gt;""), VLOOKUP(A138, Configuracion!$A:$D, 4, FALSE), 0)*Tabla1021[[#This Row],[CANTIDAD]]</f>
        <v>0</v>
      </c>
      <c r="I138" t="str">
        <f t="shared" si="6"/>
        <v/>
      </c>
    </row>
    <row r="139" spans="2:9" x14ac:dyDescent="0.3">
      <c r="B139" t="e">
        <f>IFERROR(VLOOKUP(A139,martes!$A:$I,9,FALSE),IFERROR(VLOOKUP(A139,lunes!$A:$I,9,FALSE),VLOOKUP(A139,Configuracion!$A:$B,2,FALSE)))</f>
        <v>#N/A</v>
      </c>
      <c r="E139">
        <f>IF(C139="Venta", IFERROR(VLOOKUP(A139, Configuracion!$A:$D, 3, FALSE), 0), 0)</f>
        <v>0</v>
      </c>
      <c r="F139">
        <f t="shared" si="7"/>
        <v>0</v>
      </c>
      <c r="H139">
        <f>IF(AND(G139="Gestor", A139&lt;&gt;""), VLOOKUP(A139, Configuracion!$A:$D, 4, FALSE), 0)*Tabla1021[[#This Row],[CANTIDAD]]</f>
        <v>0</v>
      </c>
      <c r="I139" t="str">
        <f t="shared" si="6"/>
        <v/>
      </c>
    </row>
    <row r="140" spans="2:9" x14ac:dyDescent="0.3">
      <c r="B140" t="e">
        <f>IFERROR(VLOOKUP(A140,martes!$A:$I,9,FALSE),IFERROR(VLOOKUP(A140,lunes!$A:$I,9,FALSE),VLOOKUP(A140,Configuracion!$A:$B,2,FALSE)))</f>
        <v>#N/A</v>
      </c>
      <c r="E140">
        <f>IF(C140="Venta", IFERROR(VLOOKUP(A140, Configuracion!$A:$D, 3, FALSE), 0), 0)</f>
        <v>0</v>
      </c>
      <c r="F140">
        <f t="shared" si="7"/>
        <v>0</v>
      </c>
      <c r="H140">
        <f>IF(AND(G140="Gestor", A140&lt;&gt;""), VLOOKUP(A140, Configuracion!$A:$D, 4, FALSE), 0)*Tabla1021[[#This Row],[CANTIDAD]]</f>
        <v>0</v>
      </c>
      <c r="I140" t="str">
        <f t="shared" si="6"/>
        <v/>
      </c>
    </row>
    <row r="141" spans="2:9" x14ac:dyDescent="0.3">
      <c r="B141" t="e">
        <f>IFERROR(VLOOKUP(A141,martes!$A:$I,9,FALSE),IFERROR(VLOOKUP(A141,lunes!$A:$I,9,FALSE),VLOOKUP(A141,Configuracion!$A:$B,2,FALSE)))</f>
        <v>#N/A</v>
      </c>
      <c r="E141">
        <f>IF(C141="Venta", IFERROR(VLOOKUP(A141, Configuracion!$A:$D, 3, FALSE), 0), 0)</f>
        <v>0</v>
      </c>
      <c r="F141">
        <f t="shared" si="7"/>
        <v>0</v>
      </c>
      <c r="H141">
        <f>IF(AND(G141="Gestor", A141&lt;&gt;""), VLOOKUP(A141, Configuracion!$A:$D, 4, FALSE), 0)*Tabla1021[[#This Row],[CANTIDAD]]</f>
        <v>0</v>
      </c>
      <c r="I141" t="str">
        <f t="shared" si="6"/>
        <v/>
      </c>
    </row>
    <row r="142" spans="2:9" x14ac:dyDescent="0.3">
      <c r="B142" t="e">
        <f>IFERROR(VLOOKUP(A142,martes!$A:$I,9,FALSE),IFERROR(VLOOKUP(A142,lunes!$A:$I,9,FALSE),VLOOKUP(A142,Configuracion!$A:$B,2,FALSE)))</f>
        <v>#N/A</v>
      </c>
      <c r="E142">
        <f>IF(C142="Venta", IFERROR(VLOOKUP(A142, Configuracion!$A:$D, 3, FALSE), 0), 0)</f>
        <v>0</v>
      </c>
      <c r="F142">
        <f t="shared" si="7"/>
        <v>0</v>
      </c>
      <c r="H142">
        <f>IF(AND(G142="Gestor", A142&lt;&gt;""), VLOOKUP(A142, Configuracion!$A:$D, 4, FALSE), 0)*Tabla1021[[#This Row],[CANTIDAD]]</f>
        <v>0</v>
      </c>
      <c r="I142" t="str">
        <f t="shared" si="6"/>
        <v/>
      </c>
    </row>
    <row r="143" spans="2:9" x14ac:dyDescent="0.3">
      <c r="B143" t="e">
        <f>IFERROR(VLOOKUP(A143,martes!$A:$I,9,FALSE),IFERROR(VLOOKUP(A143,lunes!$A:$I,9,FALSE),VLOOKUP(A143,Configuracion!$A:$B,2,FALSE)))</f>
        <v>#N/A</v>
      </c>
      <c r="E143">
        <f>IF(C143="Venta", IFERROR(VLOOKUP(A143, Configuracion!$A:$D, 3, FALSE), 0), 0)</f>
        <v>0</v>
      </c>
      <c r="F143">
        <f t="shared" si="7"/>
        <v>0</v>
      </c>
      <c r="H143">
        <f>IF(AND(G143="Gestor", A143&lt;&gt;""), VLOOKUP(A143, Configuracion!$A:$D, 4, FALSE), 0)*Tabla1021[[#This Row],[CANTIDAD]]</f>
        <v>0</v>
      </c>
      <c r="I143" t="str">
        <f t="shared" si="6"/>
        <v/>
      </c>
    </row>
    <row r="144" spans="2:9" x14ac:dyDescent="0.3">
      <c r="B144" t="e">
        <f>IFERROR(VLOOKUP(A144,martes!$A:$I,9,FALSE),IFERROR(VLOOKUP(A144,lunes!$A:$I,9,FALSE),VLOOKUP(A144,Configuracion!$A:$B,2,FALSE)))</f>
        <v>#N/A</v>
      </c>
      <c r="E144">
        <f>IF(C144="Venta", IFERROR(VLOOKUP(A144, Configuracion!$A:$D, 3, FALSE), 0), 0)</f>
        <v>0</v>
      </c>
      <c r="F144">
        <f t="shared" si="7"/>
        <v>0</v>
      </c>
      <c r="H144">
        <f>IF(AND(G144="Gestor", A144&lt;&gt;""), VLOOKUP(A144, Configuracion!$A:$D, 4, FALSE), 0)*Tabla1021[[#This Row],[CANTIDAD]]</f>
        <v>0</v>
      </c>
      <c r="I144" t="str">
        <f t="shared" si="6"/>
        <v/>
      </c>
    </row>
    <row r="145" spans="2:9" x14ac:dyDescent="0.3">
      <c r="B145" t="e">
        <f>IFERROR(VLOOKUP(A145,martes!$A:$I,9,FALSE),IFERROR(VLOOKUP(A145,lunes!$A:$I,9,FALSE),VLOOKUP(A145,Configuracion!$A:$B,2,FALSE)))</f>
        <v>#N/A</v>
      </c>
      <c r="E145">
        <f>IF(C145="Venta", IFERROR(VLOOKUP(A145, Configuracion!$A:$D, 3, FALSE), 0), 0)</f>
        <v>0</v>
      </c>
      <c r="F145">
        <f t="shared" si="7"/>
        <v>0</v>
      </c>
      <c r="H145">
        <f>IF(AND(G145="Gestor", A145&lt;&gt;""), VLOOKUP(A145, Configuracion!$A:$D, 4, FALSE), 0)*Tabla1021[[#This Row],[CANTIDAD]]</f>
        <v>0</v>
      </c>
      <c r="I145" t="str">
        <f t="shared" si="6"/>
        <v/>
      </c>
    </row>
    <row r="146" spans="2:9" x14ac:dyDescent="0.3">
      <c r="B146" t="e">
        <f>IFERROR(VLOOKUP(A146,martes!$A:$I,9,FALSE),IFERROR(VLOOKUP(A146,lunes!$A:$I,9,FALSE),VLOOKUP(A146,Configuracion!$A:$B,2,FALSE)))</f>
        <v>#N/A</v>
      </c>
      <c r="E146">
        <f>IF(C146="Venta", IFERROR(VLOOKUP(A146, Configuracion!$A:$D, 3, FALSE), 0), 0)</f>
        <v>0</v>
      </c>
      <c r="F146">
        <f t="shared" si="7"/>
        <v>0</v>
      </c>
      <c r="H146">
        <f>IF(AND(G146="Gestor", A146&lt;&gt;""), VLOOKUP(A146, Configuracion!$A:$D, 4, FALSE), 0)*Tabla1021[[#This Row],[CANTIDAD]]</f>
        <v>0</v>
      </c>
      <c r="I146" t="str">
        <f t="shared" si="6"/>
        <v/>
      </c>
    </row>
    <row r="147" spans="2:9" x14ac:dyDescent="0.3">
      <c r="B147" t="e">
        <f>IFERROR(VLOOKUP(A147,martes!$A:$I,9,FALSE),IFERROR(VLOOKUP(A147,lunes!$A:$I,9,FALSE),VLOOKUP(A147,Configuracion!$A:$B,2,FALSE)))</f>
        <v>#N/A</v>
      </c>
      <c r="E147">
        <f>IF(C147="Venta", IFERROR(VLOOKUP(A147, Configuracion!$A:$D, 3, FALSE), 0), 0)</f>
        <v>0</v>
      </c>
      <c r="F147">
        <f t="shared" si="7"/>
        <v>0</v>
      </c>
      <c r="H147">
        <f>IF(AND(G147="Gestor", A147&lt;&gt;""), VLOOKUP(A147, Configuracion!$A:$D, 4, FALSE), 0)*Tabla1021[[#This Row],[CANTIDAD]]</f>
        <v>0</v>
      </c>
      <c r="I147" t="str">
        <f t="shared" si="6"/>
        <v/>
      </c>
    </row>
    <row r="148" spans="2:9" x14ac:dyDescent="0.3">
      <c r="B148" t="e">
        <f>IFERROR(VLOOKUP(A148,martes!$A:$I,9,FALSE),IFERROR(VLOOKUP(A148,lunes!$A:$I,9,FALSE),VLOOKUP(A148,Configuracion!$A:$B,2,FALSE)))</f>
        <v>#N/A</v>
      </c>
      <c r="E148">
        <f>IF(C148="Venta", IFERROR(VLOOKUP(A148, Configuracion!$A:$D, 3, FALSE), 0), 0)</f>
        <v>0</v>
      </c>
      <c r="F148">
        <f t="shared" si="7"/>
        <v>0</v>
      </c>
      <c r="H148">
        <f>IF(AND(G148="Gestor", A148&lt;&gt;""), VLOOKUP(A148, Configuracion!$A:$D, 4, FALSE), 0)*Tabla1021[[#This Row],[CANTIDAD]]</f>
        <v>0</v>
      </c>
      <c r="I148" t="str">
        <f t="shared" si="6"/>
        <v/>
      </c>
    </row>
    <row r="149" spans="2:9" x14ac:dyDescent="0.3">
      <c r="B149" t="e">
        <f>IFERROR(VLOOKUP(A149,martes!$A:$I,9,FALSE),IFERROR(VLOOKUP(A149,lunes!$A:$I,9,FALSE),VLOOKUP(A149,Configuracion!$A:$B,2,FALSE)))</f>
        <v>#N/A</v>
      </c>
      <c r="E149">
        <f>IF(C149="Venta", IFERROR(VLOOKUP(A149, Configuracion!$A:$D, 3, FALSE), 0), 0)</f>
        <v>0</v>
      </c>
      <c r="F149">
        <f t="shared" si="7"/>
        <v>0</v>
      </c>
      <c r="H149">
        <f>IF(AND(G149="Gestor", A149&lt;&gt;""), VLOOKUP(A149, Configuracion!$A:$D, 4, FALSE), 0)*Tabla1021[[#This Row],[CANTIDAD]]</f>
        <v>0</v>
      </c>
      <c r="I149" t="str">
        <f t="shared" si="6"/>
        <v/>
      </c>
    </row>
    <row r="150" spans="2:9" x14ac:dyDescent="0.3">
      <c r="B150" t="e">
        <f>IFERROR(VLOOKUP(A150,martes!$A:$I,9,FALSE),IFERROR(VLOOKUP(A150,lunes!$A:$I,9,FALSE),VLOOKUP(A150,Configuracion!$A:$B,2,FALSE)))</f>
        <v>#N/A</v>
      </c>
      <c r="E150">
        <f>IF(C150="Venta", IFERROR(VLOOKUP(A150, Configuracion!$A:$D, 3, FALSE), 0), 0)</f>
        <v>0</v>
      </c>
      <c r="F150">
        <f t="shared" si="7"/>
        <v>0</v>
      </c>
      <c r="H150">
        <f>IF(AND(G150="Gestor", A150&lt;&gt;""), VLOOKUP(A150, Configuracion!$A:$D, 4, FALSE), 0)*Tabla1021[[#This Row],[CANTIDAD]]</f>
        <v>0</v>
      </c>
      <c r="I150" t="str">
        <f t="shared" si="6"/>
        <v/>
      </c>
    </row>
    <row r="151" spans="2:9" x14ac:dyDescent="0.3">
      <c r="B151" t="e">
        <f>IFERROR(VLOOKUP(A151,martes!$A:$I,9,FALSE),IFERROR(VLOOKUP(A151,lunes!$A:$I,9,FALSE),VLOOKUP(A151,Configuracion!$A:$B,2,FALSE)))</f>
        <v>#N/A</v>
      </c>
      <c r="E151">
        <f>IF(C151="Venta", IFERROR(VLOOKUP(A151, Configuracion!$A:$D, 3, FALSE), 0), 0)</f>
        <v>0</v>
      </c>
      <c r="F151">
        <f t="shared" si="7"/>
        <v>0</v>
      </c>
      <c r="H151">
        <f>IF(AND(G151="Gestor", A151&lt;&gt;""), VLOOKUP(A151, Configuracion!$A:$D, 4, FALSE), 0)*Tabla1021[[#This Row],[CANTIDAD]]</f>
        <v>0</v>
      </c>
      <c r="I151" t="str">
        <f t="shared" si="6"/>
        <v/>
      </c>
    </row>
    <row r="152" spans="2:9" x14ac:dyDescent="0.3">
      <c r="B152" t="e">
        <f>IFERROR(VLOOKUP(A152,martes!$A:$I,9,FALSE),IFERROR(VLOOKUP(A152,lunes!$A:$I,9,FALSE),VLOOKUP(A152,Configuracion!$A:$B,2,FALSE)))</f>
        <v>#N/A</v>
      </c>
      <c r="E152">
        <f>IF(C152="Venta", IFERROR(VLOOKUP(A152, Configuracion!$A:$D, 3, FALSE), 0), 0)</f>
        <v>0</v>
      </c>
      <c r="F152">
        <f t="shared" si="7"/>
        <v>0</v>
      </c>
      <c r="H152">
        <f>IF(AND(G152="Gestor", A152&lt;&gt;""), VLOOKUP(A152, Configuracion!$A:$D, 4, FALSE), 0)*Tabla1021[[#This Row],[CANTIDAD]]</f>
        <v>0</v>
      </c>
      <c r="I152" t="str">
        <f t="shared" si="6"/>
        <v/>
      </c>
    </row>
    <row r="153" spans="2:9" x14ac:dyDescent="0.3">
      <c r="B153" t="e">
        <f>IFERROR(VLOOKUP(A153,martes!$A:$I,9,FALSE),IFERROR(VLOOKUP(A153,lunes!$A:$I,9,FALSE),VLOOKUP(A153,Configuracion!$A:$B,2,FALSE)))</f>
        <v>#N/A</v>
      </c>
      <c r="E153">
        <f>IF(C153="Venta", IFERROR(VLOOKUP(A153, Configuracion!$A:$D, 3, FALSE), 0), 0)</f>
        <v>0</v>
      </c>
      <c r="F153">
        <f t="shared" si="7"/>
        <v>0</v>
      </c>
      <c r="H153">
        <f>IF(AND(G153="Gestor", A153&lt;&gt;""), VLOOKUP(A153, Configuracion!$A:$D, 4, FALSE), 0)*Tabla1021[[#This Row],[CANTIDAD]]</f>
        <v>0</v>
      </c>
      <c r="I153" t="str">
        <f t="shared" si="6"/>
        <v/>
      </c>
    </row>
    <row r="154" spans="2:9" x14ac:dyDescent="0.3">
      <c r="B154" t="e">
        <f>IFERROR(VLOOKUP(A154,martes!$A:$I,9,FALSE),IFERROR(VLOOKUP(A154,lunes!$A:$I,9,FALSE),VLOOKUP(A154,Configuracion!$A:$B,2,FALSE)))</f>
        <v>#N/A</v>
      </c>
      <c r="E154">
        <f>IF(C154="Venta", IFERROR(VLOOKUP(A154, Configuracion!$A:$D, 3, FALSE), 0), 0)</f>
        <v>0</v>
      </c>
      <c r="F154">
        <f t="shared" si="7"/>
        <v>0</v>
      </c>
      <c r="H154">
        <f>IF(AND(G154="Gestor", A154&lt;&gt;""), VLOOKUP(A154, Configuracion!$A:$D, 4, FALSE), 0)*Tabla1021[[#This Row],[CANTIDAD]]</f>
        <v>0</v>
      </c>
      <c r="I154" t="str">
        <f t="shared" si="6"/>
        <v/>
      </c>
    </row>
    <row r="155" spans="2:9" x14ac:dyDescent="0.3">
      <c r="B155" t="e">
        <f>IFERROR(VLOOKUP(A155,martes!$A:$I,9,FALSE),IFERROR(VLOOKUP(A155,lunes!$A:$I,9,FALSE),VLOOKUP(A155,Configuracion!$A:$B,2,FALSE)))</f>
        <v>#N/A</v>
      </c>
      <c r="E155">
        <f>IF(C155="Venta", IFERROR(VLOOKUP(A155, Configuracion!$A:$D, 3, FALSE), 0), 0)</f>
        <v>0</v>
      </c>
      <c r="F155">
        <f t="shared" si="7"/>
        <v>0</v>
      </c>
      <c r="H155">
        <f>IF(AND(G155="Gestor", A155&lt;&gt;""), VLOOKUP(A155, Configuracion!$A:$D, 4, FALSE), 0)*Tabla1021[[#This Row],[CANTIDAD]]</f>
        <v>0</v>
      </c>
      <c r="I155" t="str">
        <f t="shared" si="6"/>
        <v/>
      </c>
    </row>
    <row r="156" spans="2:9" x14ac:dyDescent="0.3">
      <c r="B156" t="e">
        <f>IFERROR(VLOOKUP(A156,martes!$A:$I,9,FALSE),IFERROR(VLOOKUP(A156,lunes!$A:$I,9,FALSE),VLOOKUP(A156,Configuracion!$A:$B,2,FALSE)))</f>
        <v>#N/A</v>
      </c>
      <c r="E156">
        <f>IF(C156="Venta", IFERROR(VLOOKUP(A156, Configuracion!$A:$D, 3, FALSE), 0), 0)</f>
        <v>0</v>
      </c>
      <c r="F156">
        <f t="shared" si="7"/>
        <v>0</v>
      </c>
      <c r="H156">
        <f>IF(AND(G156="Gestor", A156&lt;&gt;""), VLOOKUP(A156, Configuracion!$A:$D, 4, FALSE), 0)*Tabla1021[[#This Row],[CANTIDAD]]</f>
        <v>0</v>
      </c>
      <c r="I156" t="str">
        <f t="shared" si="6"/>
        <v/>
      </c>
    </row>
    <row r="157" spans="2:9" x14ac:dyDescent="0.3">
      <c r="B157" t="e">
        <f>IFERROR(VLOOKUP(A157,martes!$A:$I,9,FALSE),IFERROR(VLOOKUP(A157,lunes!$A:$I,9,FALSE),VLOOKUP(A157,Configuracion!$A:$B,2,FALSE)))</f>
        <v>#N/A</v>
      </c>
      <c r="E157">
        <f>IF(C157="Venta", IFERROR(VLOOKUP(A157, Configuracion!$A:$D, 3, FALSE), 0), 0)</f>
        <v>0</v>
      </c>
      <c r="F157">
        <f t="shared" si="7"/>
        <v>0</v>
      </c>
      <c r="H157">
        <f>IF(AND(G157="Gestor", A157&lt;&gt;""), VLOOKUP(A157, Configuracion!$A:$D, 4, FALSE), 0)*Tabla1021[[#This Row],[CANTIDAD]]</f>
        <v>0</v>
      </c>
      <c r="I157" t="str">
        <f t="shared" si="6"/>
        <v/>
      </c>
    </row>
    <row r="158" spans="2:9" x14ac:dyDescent="0.3">
      <c r="B158" t="e">
        <f>IFERROR(VLOOKUP(A158,martes!$A:$I,9,FALSE),IFERROR(VLOOKUP(A158,lunes!$A:$I,9,FALSE),VLOOKUP(A158,Configuracion!$A:$B,2,FALSE)))</f>
        <v>#N/A</v>
      </c>
      <c r="E158">
        <f>IF(C158="Venta", IFERROR(VLOOKUP(A158, Configuracion!$A:$D, 3, FALSE), 0), 0)</f>
        <v>0</v>
      </c>
      <c r="F158">
        <f t="shared" si="7"/>
        <v>0</v>
      </c>
      <c r="H158">
        <f>IF(AND(G158="Gestor", A158&lt;&gt;""), VLOOKUP(A158, Configuracion!$A:$D, 4, FALSE), 0)*Tabla1021[[#This Row],[CANTIDAD]]</f>
        <v>0</v>
      </c>
      <c r="I158" t="str">
        <f t="shared" si="6"/>
        <v/>
      </c>
    </row>
    <row r="159" spans="2:9" x14ac:dyDescent="0.3">
      <c r="B159" t="e">
        <f>IFERROR(VLOOKUP(A159,martes!$A:$I,9,FALSE),IFERROR(VLOOKUP(A159,lunes!$A:$I,9,FALSE),VLOOKUP(A159,Configuracion!$A:$B,2,FALSE)))</f>
        <v>#N/A</v>
      </c>
      <c r="E159">
        <f>IF(C159="Venta", IFERROR(VLOOKUP(A159, Configuracion!$A:$D, 3, FALSE), 0), 0)</f>
        <v>0</v>
      </c>
      <c r="F159">
        <f t="shared" si="7"/>
        <v>0</v>
      </c>
      <c r="H159">
        <f>IF(AND(G159="Gestor", A159&lt;&gt;""), VLOOKUP(A159, Configuracion!$A:$D, 4, FALSE), 0)*Tabla1021[[#This Row],[CANTIDAD]]</f>
        <v>0</v>
      </c>
      <c r="I159" t="str">
        <f t="shared" si="6"/>
        <v/>
      </c>
    </row>
    <row r="160" spans="2:9" x14ac:dyDescent="0.3">
      <c r="B160" t="e">
        <f>IFERROR(VLOOKUP(A160,martes!$A:$I,9,FALSE),IFERROR(VLOOKUP(A160,lunes!$A:$I,9,FALSE),VLOOKUP(A160,Configuracion!$A:$B,2,FALSE)))</f>
        <v>#N/A</v>
      </c>
      <c r="E160">
        <f>IF(C160="Venta", IFERROR(VLOOKUP(A160, Configuracion!$A:$D, 3, FALSE), 0), 0)</f>
        <v>0</v>
      </c>
      <c r="F160">
        <f t="shared" si="7"/>
        <v>0</v>
      </c>
      <c r="H160">
        <f>IF(AND(G160="Gestor", A160&lt;&gt;""), VLOOKUP(A160, Configuracion!$A:$D, 4, FALSE), 0)*Tabla1021[[#This Row],[CANTIDAD]]</f>
        <v>0</v>
      </c>
      <c r="I160" t="str">
        <f t="shared" si="6"/>
        <v/>
      </c>
    </row>
    <row r="161" spans="2:9" x14ac:dyDescent="0.3">
      <c r="B161" t="e">
        <f>IFERROR(VLOOKUP(A161,martes!$A:$I,9,FALSE),IFERROR(VLOOKUP(A161,lunes!$A:$I,9,FALSE),VLOOKUP(A161,Configuracion!$A:$B,2,FALSE)))</f>
        <v>#N/A</v>
      </c>
      <c r="E161">
        <f>IF(C161="Venta", IFERROR(VLOOKUP(A161, Configuracion!$A:$D, 3, FALSE), 0), 0)</f>
        <v>0</v>
      </c>
      <c r="F161">
        <f t="shared" si="7"/>
        <v>0</v>
      </c>
      <c r="H161">
        <f>IF(AND(G161="Gestor", A161&lt;&gt;""), VLOOKUP(A161, Configuracion!$A:$D, 4, FALSE), 0)*Tabla1021[[#This Row],[CANTIDAD]]</f>
        <v>0</v>
      </c>
      <c r="I161" t="str">
        <f t="shared" si="6"/>
        <v/>
      </c>
    </row>
    <row r="162" spans="2:9" x14ac:dyDescent="0.3">
      <c r="B162" t="e">
        <f>IFERROR(VLOOKUP(A162,martes!$A:$I,9,FALSE),IFERROR(VLOOKUP(A162,lunes!$A:$I,9,FALSE),VLOOKUP(A162,Configuracion!$A:$B,2,FALSE)))</f>
        <v>#N/A</v>
      </c>
      <c r="E162">
        <f>IF(C162="Venta", IFERROR(VLOOKUP(A162, Configuracion!$A:$D, 3, FALSE), 0), 0)</f>
        <v>0</v>
      </c>
      <c r="F162">
        <f t="shared" si="7"/>
        <v>0</v>
      </c>
      <c r="H162">
        <f>IF(AND(G162="Gestor", A162&lt;&gt;""), VLOOKUP(A162, Configuracion!$A:$D, 4, FALSE), 0)*Tabla1021[[#This Row],[CANTIDAD]]</f>
        <v>0</v>
      </c>
      <c r="I162" t="str">
        <f t="shared" ref="I162:I189" si="8">IF(OR(A162="", D162=""), "", IF(C162="Entrada", B162+D162, IF(OR(C162="Venta", C162="Salida"), B162-D162, B162)))</f>
        <v/>
      </c>
    </row>
    <row r="163" spans="2:9" x14ac:dyDescent="0.3">
      <c r="B163" t="e">
        <f>IFERROR(VLOOKUP(A163,martes!$A:$I,9,FALSE),IFERROR(VLOOKUP(A163,lunes!$A:$I,9,FALSE),VLOOKUP(A163,Configuracion!$A:$B,2,FALSE)))</f>
        <v>#N/A</v>
      </c>
      <c r="E163">
        <f>IF(C163="Venta", IFERROR(VLOOKUP(A163, Configuracion!$A:$D, 3, FALSE), 0), 0)</f>
        <v>0</v>
      </c>
      <c r="F163">
        <f t="shared" si="7"/>
        <v>0</v>
      </c>
      <c r="H163">
        <f>IF(AND(G163="Gestor", A163&lt;&gt;""), VLOOKUP(A163, Configuracion!$A:$D, 4, FALSE), 0)*Tabla1021[[#This Row],[CANTIDAD]]</f>
        <v>0</v>
      </c>
      <c r="I163" t="str">
        <f t="shared" si="8"/>
        <v/>
      </c>
    </row>
    <row r="164" spans="2:9" x14ac:dyDescent="0.3">
      <c r="B164" t="e">
        <f>IFERROR(VLOOKUP(A164,martes!$A:$I,9,FALSE),IFERROR(VLOOKUP(A164,lunes!$A:$I,9,FALSE),VLOOKUP(A164,Configuracion!$A:$B,2,FALSE)))</f>
        <v>#N/A</v>
      </c>
      <c r="E164">
        <f>IF(C164="Venta", IFERROR(VLOOKUP(A164, Configuracion!$A:$D, 3, FALSE), 0), 0)</f>
        <v>0</v>
      </c>
      <c r="F164">
        <f t="shared" si="7"/>
        <v>0</v>
      </c>
      <c r="H164">
        <f>IF(AND(G164="Gestor", A164&lt;&gt;""), VLOOKUP(A164, Configuracion!$A:$D, 4, FALSE), 0)*Tabla1021[[#This Row],[CANTIDAD]]</f>
        <v>0</v>
      </c>
      <c r="I164" t="str">
        <f t="shared" si="8"/>
        <v/>
      </c>
    </row>
    <row r="165" spans="2:9" x14ac:dyDescent="0.3">
      <c r="B165" t="e">
        <f>IFERROR(VLOOKUP(A165,martes!$A:$I,9,FALSE),IFERROR(VLOOKUP(A165,lunes!$A:$I,9,FALSE),VLOOKUP(A165,Configuracion!$A:$B,2,FALSE)))</f>
        <v>#N/A</v>
      </c>
      <c r="E165">
        <f>IF(C165="Venta", IFERROR(VLOOKUP(A165, Configuracion!$A:$D, 3, FALSE), 0), 0)</f>
        <v>0</v>
      </c>
      <c r="F165">
        <f t="shared" si="7"/>
        <v>0</v>
      </c>
      <c r="H165">
        <f>IF(AND(G165="Gestor", A165&lt;&gt;""), VLOOKUP(A165, Configuracion!$A:$D, 4, FALSE), 0)*Tabla1021[[#This Row],[CANTIDAD]]</f>
        <v>0</v>
      </c>
      <c r="I165" t="str">
        <f t="shared" si="8"/>
        <v/>
      </c>
    </row>
    <row r="166" spans="2:9" x14ac:dyDescent="0.3">
      <c r="B166" t="e">
        <f>IFERROR(VLOOKUP(A166,martes!$A:$I,9,FALSE),IFERROR(VLOOKUP(A166,lunes!$A:$I,9,FALSE),VLOOKUP(A166,Configuracion!$A:$B,2,FALSE)))</f>
        <v>#N/A</v>
      </c>
      <c r="E166">
        <f>IF(C166="Venta", IFERROR(VLOOKUP(A166, Configuracion!$A:$D, 3, FALSE), 0), 0)</f>
        <v>0</v>
      </c>
      <c r="F166">
        <f t="shared" si="7"/>
        <v>0</v>
      </c>
      <c r="H166">
        <f>IF(AND(G166="Gestor", A166&lt;&gt;""), VLOOKUP(A166, Configuracion!$A:$D, 4, FALSE), 0)*Tabla1021[[#This Row],[CANTIDAD]]</f>
        <v>0</v>
      </c>
      <c r="I166" t="str">
        <f t="shared" si="8"/>
        <v/>
      </c>
    </row>
    <row r="167" spans="2:9" x14ac:dyDescent="0.3">
      <c r="B167" t="e">
        <f>IFERROR(VLOOKUP(A167,martes!$A:$I,9,FALSE),IFERROR(VLOOKUP(A167,lunes!$A:$I,9,FALSE),VLOOKUP(A167,Configuracion!$A:$B,2,FALSE)))</f>
        <v>#N/A</v>
      </c>
      <c r="E167">
        <f>IF(C167="Venta", IFERROR(VLOOKUP(A167, Configuracion!$A:$D, 3, FALSE), 0), 0)</f>
        <v>0</v>
      </c>
      <c r="F167">
        <f t="shared" si="7"/>
        <v>0</v>
      </c>
      <c r="H167">
        <f>IF(AND(G167="Gestor", A167&lt;&gt;""), VLOOKUP(A167, Configuracion!$A:$D, 4, FALSE), 0)*Tabla1021[[#This Row],[CANTIDAD]]</f>
        <v>0</v>
      </c>
      <c r="I167" t="str">
        <f t="shared" si="8"/>
        <v/>
      </c>
    </row>
    <row r="168" spans="2:9" x14ac:dyDescent="0.3">
      <c r="B168" t="e">
        <f>IFERROR(VLOOKUP(A168,martes!$A:$I,9,FALSE),IFERROR(VLOOKUP(A168,lunes!$A:$I,9,FALSE),VLOOKUP(A168,Configuracion!$A:$B,2,FALSE)))</f>
        <v>#N/A</v>
      </c>
      <c r="E168">
        <f>IF(C168="Venta", IFERROR(VLOOKUP(A168, Configuracion!$A:$D, 3, FALSE), 0), 0)</f>
        <v>0</v>
      </c>
      <c r="F168">
        <f t="shared" si="7"/>
        <v>0</v>
      </c>
      <c r="H168">
        <f>IF(AND(G168="Gestor", A168&lt;&gt;""), VLOOKUP(A168, Configuracion!$A:$D, 4, FALSE), 0)*Tabla1021[[#This Row],[CANTIDAD]]</f>
        <v>0</v>
      </c>
      <c r="I168" t="str">
        <f t="shared" si="8"/>
        <v/>
      </c>
    </row>
    <row r="169" spans="2:9" x14ac:dyDescent="0.3">
      <c r="B169" t="e">
        <f>IFERROR(VLOOKUP(A169,martes!$A:$I,9,FALSE),IFERROR(VLOOKUP(A169,lunes!$A:$I,9,FALSE),VLOOKUP(A169,Configuracion!$A:$B,2,FALSE)))</f>
        <v>#N/A</v>
      </c>
      <c r="E169">
        <f>IF(C169="Venta", IFERROR(VLOOKUP(A169, Configuracion!$A:$D, 3, FALSE), 0), 0)</f>
        <v>0</v>
      </c>
      <c r="F169">
        <f t="shared" si="7"/>
        <v>0</v>
      </c>
      <c r="H169">
        <f>IF(AND(G169="Gestor", A169&lt;&gt;""), VLOOKUP(A169, Configuracion!$A:$D, 4, FALSE), 0)*Tabla1021[[#This Row],[CANTIDAD]]</f>
        <v>0</v>
      </c>
      <c r="I169" t="str">
        <f t="shared" si="8"/>
        <v/>
      </c>
    </row>
    <row r="170" spans="2:9" x14ac:dyDescent="0.3">
      <c r="B170" t="e">
        <f>IFERROR(VLOOKUP(A170,martes!$A:$I,9,FALSE),IFERROR(VLOOKUP(A170,lunes!$A:$I,9,FALSE),VLOOKUP(A170,Configuracion!$A:$B,2,FALSE)))</f>
        <v>#N/A</v>
      </c>
      <c r="E170">
        <f>IF(C170="Venta", IFERROR(VLOOKUP(A170, Configuracion!$A:$D, 3, FALSE), 0), 0)</f>
        <v>0</v>
      </c>
      <c r="F170">
        <f t="shared" si="7"/>
        <v>0</v>
      </c>
      <c r="H170">
        <f>IF(AND(G170="Gestor", A170&lt;&gt;""), VLOOKUP(A170, Configuracion!$A:$D, 4, FALSE), 0)*Tabla1021[[#This Row],[CANTIDAD]]</f>
        <v>0</v>
      </c>
      <c r="I170" t="str">
        <f t="shared" si="8"/>
        <v/>
      </c>
    </row>
    <row r="171" spans="2:9" x14ac:dyDescent="0.3">
      <c r="B171" t="e">
        <f>IFERROR(VLOOKUP(A171,martes!$A:$I,9,FALSE),IFERROR(VLOOKUP(A171,lunes!$A:$I,9,FALSE),VLOOKUP(A171,Configuracion!$A:$B,2,FALSE)))</f>
        <v>#N/A</v>
      </c>
      <c r="E171">
        <f>IF(C171="Venta", IFERROR(VLOOKUP(A171, Configuracion!$A:$D, 3, FALSE), 0), 0)</f>
        <v>0</v>
      </c>
      <c r="F171">
        <f t="shared" si="7"/>
        <v>0</v>
      </c>
      <c r="H171">
        <f>IF(AND(G171="Gestor", A171&lt;&gt;""), VLOOKUP(A171, Configuracion!$A:$D, 4, FALSE), 0)*Tabla1021[[#This Row],[CANTIDAD]]</f>
        <v>0</v>
      </c>
      <c r="I171" t="str">
        <f t="shared" si="8"/>
        <v/>
      </c>
    </row>
    <row r="172" spans="2:9" x14ac:dyDescent="0.3">
      <c r="B172" t="e">
        <f>IFERROR(VLOOKUP(A172,martes!$A:$I,9,FALSE),IFERROR(VLOOKUP(A172,lunes!$A:$I,9,FALSE),VLOOKUP(A172,Configuracion!$A:$B,2,FALSE)))</f>
        <v>#N/A</v>
      </c>
      <c r="E172">
        <f>IF(C172="Venta", IFERROR(VLOOKUP(A172, Configuracion!$A:$D, 3, FALSE), 0), 0)</f>
        <v>0</v>
      </c>
      <c r="F172">
        <f t="shared" si="7"/>
        <v>0</v>
      </c>
      <c r="H172">
        <f>IF(AND(G172="Gestor", A172&lt;&gt;""), VLOOKUP(A172, Configuracion!$A:$D, 4, FALSE), 0)*Tabla1021[[#This Row],[CANTIDAD]]</f>
        <v>0</v>
      </c>
      <c r="I172" t="str">
        <f t="shared" si="8"/>
        <v/>
      </c>
    </row>
    <row r="173" spans="2:9" x14ac:dyDescent="0.3">
      <c r="B173" t="e">
        <f>IFERROR(VLOOKUP(A173,martes!$A:$I,9,FALSE),IFERROR(VLOOKUP(A173,lunes!$A:$I,9,FALSE),VLOOKUP(A173,Configuracion!$A:$B,2,FALSE)))</f>
        <v>#N/A</v>
      </c>
      <c r="E173">
        <f>IF(C173="Venta", IFERROR(VLOOKUP(A173, Configuracion!$A:$D, 3, FALSE), 0), 0)</f>
        <v>0</v>
      </c>
      <c r="F173">
        <f t="shared" si="7"/>
        <v>0</v>
      </c>
      <c r="H173">
        <f>IF(AND(G173="Gestor", A173&lt;&gt;""), VLOOKUP(A173, Configuracion!$A:$D, 4, FALSE), 0)*Tabla1021[[#This Row],[CANTIDAD]]</f>
        <v>0</v>
      </c>
      <c r="I173" t="str">
        <f t="shared" si="8"/>
        <v/>
      </c>
    </row>
    <row r="174" spans="2:9" x14ac:dyDescent="0.3">
      <c r="B174" t="e">
        <f>IFERROR(VLOOKUP(A174,martes!$A:$I,9,FALSE),IFERROR(VLOOKUP(A174,lunes!$A:$I,9,FALSE),VLOOKUP(A174,Configuracion!$A:$B,2,FALSE)))</f>
        <v>#N/A</v>
      </c>
      <c r="E174">
        <f>IF(C174="Venta", IFERROR(VLOOKUP(A174, Configuracion!$A:$D, 3, FALSE), 0), 0)</f>
        <v>0</v>
      </c>
      <c r="F174">
        <f t="shared" si="7"/>
        <v>0</v>
      </c>
      <c r="H174">
        <f>IF(AND(G174="Gestor", A174&lt;&gt;""), VLOOKUP(A174, Configuracion!$A:$D, 4, FALSE), 0)*Tabla1021[[#This Row],[CANTIDAD]]</f>
        <v>0</v>
      </c>
      <c r="I174" t="str">
        <f t="shared" si="8"/>
        <v/>
      </c>
    </row>
    <row r="175" spans="2:9" x14ac:dyDescent="0.3">
      <c r="B175" t="e">
        <f>IFERROR(VLOOKUP(A175,martes!$A:$I,9,FALSE),IFERROR(VLOOKUP(A175,lunes!$A:$I,9,FALSE),VLOOKUP(A175,Configuracion!$A:$B,2,FALSE)))</f>
        <v>#N/A</v>
      </c>
      <c r="E175">
        <f>IF(C175="Venta", IFERROR(VLOOKUP(A175, Configuracion!$A:$D, 3, FALSE), 0), 0)</f>
        <v>0</v>
      </c>
      <c r="F175">
        <f t="shared" si="7"/>
        <v>0</v>
      </c>
      <c r="H175">
        <f>IF(AND(G175="Gestor", A175&lt;&gt;""), VLOOKUP(A175, Configuracion!$A:$D, 4, FALSE), 0)*Tabla1021[[#This Row],[CANTIDAD]]</f>
        <v>0</v>
      </c>
      <c r="I175" t="str">
        <f t="shared" si="8"/>
        <v/>
      </c>
    </row>
    <row r="176" spans="2:9" x14ac:dyDescent="0.3">
      <c r="B176" t="e">
        <f>IFERROR(VLOOKUP(A176,martes!$A:$I,9,FALSE),IFERROR(VLOOKUP(A176,lunes!$A:$I,9,FALSE),VLOOKUP(A176,Configuracion!$A:$B,2,FALSE)))</f>
        <v>#N/A</v>
      </c>
      <c r="E176">
        <f>IF(C176="Venta", IFERROR(VLOOKUP(A176, Configuracion!$A:$D, 3, FALSE), 0), 0)</f>
        <v>0</v>
      </c>
      <c r="F176">
        <f t="shared" si="7"/>
        <v>0</v>
      </c>
      <c r="H176">
        <f>IF(AND(G176="Gestor", A176&lt;&gt;""), VLOOKUP(A176, Configuracion!$A:$D, 4, FALSE), 0)*Tabla1021[[#This Row],[CANTIDAD]]</f>
        <v>0</v>
      </c>
      <c r="I176" t="str">
        <f t="shared" si="8"/>
        <v/>
      </c>
    </row>
    <row r="177" spans="2:9" x14ac:dyDescent="0.3">
      <c r="B177" t="e">
        <f>IFERROR(VLOOKUP(A177,martes!$A:$I,9,FALSE),IFERROR(VLOOKUP(A177,lunes!$A:$I,9,FALSE),VLOOKUP(A177,Configuracion!$A:$B,2,FALSE)))</f>
        <v>#N/A</v>
      </c>
      <c r="E177">
        <f>IF(C177="Venta", IFERROR(VLOOKUP(A177, Configuracion!$A:$D, 3, FALSE), 0), 0)</f>
        <v>0</v>
      </c>
      <c r="F177">
        <f t="shared" si="7"/>
        <v>0</v>
      </c>
      <c r="H177">
        <f>IF(AND(G177="Gestor", A177&lt;&gt;""), VLOOKUP(A177, Configuracion!$A:$D, 4, FALSE), 0)*Tabla1021[[#This Row],[CANTIDAD]]</f>
        <v>0</v>
      </c>
      <c r="I177" t="str">
        <f t="shared" si="8"/>
        <v/>
      </c>
    </row>
    <row r="178" spans="2:9" x14ac:dyDescent="0.3">
      <c r="B178" t="e">
        <f>IFERROR(VLOOKUP(A178,martes!$A:$I,9,FALSE),IFERROR(VLOOKUP(A178,lunes!$A:$I,9,FALSE),VLOOKUP(A178,Configuracion!$A:$B,2,FALSE)))</f>
        <v>#N/A</v>
      </c>
      <c r="E178">
        <f>IF(C178="Venta", IFERROR(VLOOKUP(A178, Configuracion!$A:$D, 3, FALSE), 0), 0)</f>
        <v>0</v>
      </c>
      <c r="F178">
        <f t="shared" si="7"/>
        <v>0</v>
      </c>
      <c r="H178">
        <f>IF(AND(G178="Gestor", A178&lt;&gt;""), VLOOKUP(A178, Configuracion!$A:$D, 4, FALSE), 0)*Tabla1021[[#This Row],[CANTIDAD]]</f>
        <v>0</v>
      </c>
      <c r="I178" t="str">
        <f t="shared" si="8"/>
        <v/>
      </c>
    </row>
    <row r="179" spans="2:9" x14ac:dyDescent="0.3">
      <c r="B179" t="e">
        <f>IFERROR(VLOOKUP(A179,martes!$A:$I,9,FALSE),IFERROR(VLOOKUP(A179,lunes!$A:$I,9,FALSE),VLOOKUP(A179,Configuracion!$A:$B,2,FALSE)))</f>
        <v>#N/A</v>
      </c>
      <c r="E179">
        <f>IF(C179="Venta", IFERROR(VLOOKUP(A179, Configuracion!$A:$D, 3, FALSE), 0), 0)</f>
        <v>0</v>
      </c>
      <c r="F179">
        <f t="shared" si="7"/>
        <v>0</v>
      </c>
      <c r="H179">
        <f>IF(AND(G179="Gestor", A179&lt;&gt;""), VLOOKUP(A179, Configuracion!$A:$D, 4, FALSE), 0)*Tabla1021[[#This Row],[CANTIDAD]]</f>
        <v>0</v>
      </c>
      <c r="I179" t="str">
        <f t="shared" si="8"/>
        <v/>
      </c>
    </row>
    <row r="180" spans="2:9" x14ac:dyDescent="0.3">
      <c r="B180" t="e">
        <f>IFERROR(VLOOKUP(A180,martes!$A:$I,9,FALSE),IFERROR(VLOOKUP(A180,lunes!$A:$I,9,FALSE),VLOOKUP(A180,Configuracion!$A:$B,2,FALSE)))</f>
        <v>#N/A</v>
      </c>
      <c r="E180">
        <f>IF(C180="Venta", IFERROR(VLOOKUP(A180, Configuracion!$A:$D, 3, FALSE), 0), 0)</f>
        <v>0</v>
      </c>
      <c r="F180">
        <f t="shared" si="7"/>
        <v>0</v>
      </c>
      <c r="H180">
        <f>IF(AND(G180="Gestor", A180&lt;&gt;""), VLOOKUP(A180, Configuracion!$A:$D, 4, FALSE), 0)*Tabla1021[[#This Row],[CANTIDAD]]</f>
        <v>0</v>
      </c>
      <c r="I180" t="str">
        <f t="shared" si="8"/>
        <v/>
      </c>
    </row>
    <row r="181" spans="2:9" x14ac:dyDescent="0.3">
      <c r="B181" t="e">
        <f>IFERROR(VLOOKUP(A181,martes!$A:$I,9,FALSE),IFERROR(VLOOKUP(A181,lunes!$A:$I,9,FALSE),VLOOKUP(A181,Configuracion!$A:$B,2,FALSE)))</f>
        <v>#N/A</v>
      </c>
      <c r="E181">
        <f>IF(C181="Venta", IFERROR(VLOOKUP(A181, Configuracion!$A:$D, 3, FALSE), 0), 0)</f>
        <v>0</v>
      </c>
      <c r="F181">
        <f t="shared" si="7"/>
        <v>0</v>
      </c>
      <c r="H181">
        <f>IF(AND(G181="Gestor", A181&lt;&gt;""), VLOOKUP(A181, Configuracion!$A:$D, 4, FALSE), 0)*Tabla1021[[#This Row],[CANTIDAD]]</f>
        <v>0</v>
      </c>
      <c r="I181" t="str">
        <f t="shared" si="8"/>
        <v/>
      </c>
    </row>
    <row r="182" spans="2:9" x14ac:dyDescent="0.3">
      <c r="B182" t="e">
        <f>IFERROR(VLOOKUP(A182,martes!$A:$I,9,FALSE),IFERROR(VLOOKUP(A182,lunes!$A:$I,9,FALSE),VLOOKUP(A182,Configuracion!$A:$B,2,FALSE)))</f>
        <v>#N/A</v>
      </c>
      <c r="E182">
        <f>IF(C182="Venta", IFERROR(VLOOKUP(A182, Configuracion!$A:$D, 3, FALSE), 0), 0)</f>
        <v>0</v>
      </c>
      <c r="F182">
        <f t="shared" si="7"/>
        <v>0</v>
      </c>
      <c r="H182">
        <f>IF(AND(G182="Gestor", A182&lt;&gt;""), VLOOKUP(A182, Configuracion!$A:$D, 4, FALSE), 0)*Tabla1021[[#This Row],[CANTIDAD]]</f>
        <v>0</v>
      </c>
      <c r="I182" t="str">
        <f t="shared" si="8"/>
        <v/>
      </c>
    </row>
    <row r="183" spans="2:9" x14ac:dyDescent="0.3">
      <c r="B183" t="e">
        <f>IFERROR(VLOOKUP(A183,martes!$A:$I,9,FALSE),IFERROR(VLOOKUP(A183,lunes!$A:$I,9,FALSE),VLOOKUP(A183,Configuracion!$A:$B,2,FALSE)))</f>
        <v>#N/A</v>
      </c>
      <c r="E183">
        <f>IF(C183="Venta", IFERROR(VLOOKUP(A183, Configuracion!$A:$D, 3, FALSE), 0), 0)</f>
        <v>0</v>
      </c>
      <c r="F183">
        <f t="shared" si="7"/>
        <v>0</v>
      </c>
      <c r="H183">
        <f>IF(AND(G183="Gestor", A183&lt;&gt;""), VLOOKUP(A183, Configuracion!$A:$D, 4, FALSE), 0)*Tabla1021[[#This Row],[CANTIDAD]]</f>
        <v>0</v>
      </c>
      <c r="I183" t="str">
        <f t="shared" si="8"/>
        <v/>
      </c>
    </row>
    <row r="184" spans="2:9" x14ac:dyDescent="0.3">
      <c r="B184" t="e">
        <f>IFERROR(VLOOKUP(A184,martes!$A:$I,9,FALSE),IFERROR(VLOOKUP(A184,lunes!$A:$I,9,FALSE),VLOOKUP(A184,Configuracion!$A:$B,2,FALSE)))</f>
        <v>#N/A</v>
      </c>
      <c r="E184">
        <f>IF(C184="Venta", IFERROR(VLOOKUP(A184, Configuracion!$A:$D, 3, FALSE), 0), 0)</f>
        <v>0</v>
      </c>
      <c r="F184">
        <f t="shared" si="7"/>
        <v>0</v>
      </c>
      <c r="H184">
        <f>IF(AND(G184="Gestor", A184&lt;&gt;""), VLOOKUP(A184, Configuracion!$A:$D, 4, FALSE), 0)*Tabla1021[[#This Row],[CANTIDAD]]</f>
        <v>0</v>
      </c>
      <c r="I184" t="str">
        <f t="shared" si="8"/>
        <v/>
      </c>
    </row>
    <row r="185" spans="2:9" x14ac:dyDescent="0.3">
      <c r="B185" t="e">
        <f>IFERROR(VLOOKUP(A185,martes!$A:$I,9,FALSE),IFERROR(VLOOKUP(A185,lunes!$A:$I,9,FALSE),VLOOKUP(A185,Configuracion!$A:$B,2,FALSE)))</f>
        <v>#N/A</v>
      </c>
      <c r="E185">
        <f>IF(C185="Venta", IFERROR(VLOOKUP(A185, Configuracion!$A:$D, 3, FALSE), 0), 0)</f>
        <v>0</v>
      </c>
      <c r="F185">
        <f t="shared" si="7"/>
        <v>0</v>
      </c>
      <c r="H185">
        <f>IF(AND(G185="Gestor", A185&lt;&gt;""), VLOOKUP(A185, Configuracion!$A:$D, 4, FALSE), 0)*Tabla1021[[#This Row],[CANTIDAD]]</f>
        <v>0</v>
      </c>
      <c r="I185" t="str">
        <f t="shared" si="8"/>
        <v/>
      </c>
    </row>
    <row r="186" spans="2:9" x14ac:dyDescent="0.3">
      <c r="B186" t="e">
        <f>IFERROR(VLOOKUP(A186,martes!$A:$I,9,FALSE),IFERROR(VLOOKUP(A186,lunes!$A:$I,9,FALSE),VLOOKUP(A186,Configuracion!$A:$B,2,FALSE)))</f>
        <v>#N/A</v>
      </c>
      <c r="E186">
        <f>IF(C186="Venta", IFERROR(VLOOKUP(A186, Configuracion!$A:$D, 3, FALSE), 0), 0)</f>
        <v>0</v>
      </c>
      <c r="F186">
        <f t="shared" si="7"/>
        <v>0</v>
      </c>
      <c r="H186">
        <f>IF(AND(G186="Gestor", A186&lt;&gt;""), VLOOKUP(A186, Configuracion!$A:$D, 4, FALSE), 0)*Tabla1021[[#This Row],[CANTIDAD]]</f>
        <v>0</v>
      </c>
      <c r="I186" t="str">
        <f t="shared" si="8"/>
        <v/>
      </c>
    </row>
    <row r="187" spans="2:9" x14ac:dyDescent="0.3">
      <c r="B187" t="e">
        <f>IFERROR(VLOOKUP(A187,martes!$A:$I,9,FALSE),IFERROR(VLOOKUP(A187,lunes!$A:$I,9,FALSE),VLOOKUP(A187,Configuracion!$A:$B,2,FALSE)))</f>
        <v>#N/A</v>
      </c>
      <c r="E187">
        <f>IF(C187="Venta", IFERROR(VLOOKUP(A187, Configuracion!$A:$D, 3, FALSE), 0), 0)</f>
        <v>0</v>
      </c>
      <c r="F187">
        <f t="shared" si="7"/>
        <v>0</v>
      </c>
      <c r="H187">
        <f>IF(AND(G187="Gestor", A187&lt;&gt;""), VLOOKUP(A187, Configuracion!$A:$D, 4, FALSE), 0)*Tabla1021[[#This Row],[CANTIDAD]]</f>
        <v>0</v>
      </c>
      <c r="I187" t="str">
        <f t="shared" si="8"/>
        <v/>
      </c>
    </row>
    <row r="188" spans="2:9" x14ac:dyDescent="0.3">
      <c r="B188" t="e">
        <f>IFERROR(VLOOKUP(A188,martes!$A:$I,9,FALSE),IFERROR(VLOOKUP(A188,lunes!$A:$I,9,FALSE),VLOOKUP(A188,Configuracion!$A:$B,2,FALSE)))</f>
        <v>#N/A</v>
      </c>
      <c r="E188">
        <f>IF(C188="Venta", IFERROR(VLOOKUP(A188, Configuracion!$A:$D, 3, FALSE), 0), 0)</f>
        <v>0</v>
      </c>
      <c r="F188">
        <f t="shared" si="7"/>
        <v>0</v>
      </c>
      <c r="H188">
        <f>IF(AND(G188="Gestor", A188&lt;&gt;""), VLOOKUP(A188, Configuracion!$A:$D, 4, FALSE), 0)*Tabla1021[[#This Row],[CANTIDAD]]</f>
        <v>0</v>
      </c>
      <c r="I188" t="str">
        <f t="shared" si="8"/>
        <v/>
      </c>
    </row>
    <row r="189" spans="2:9" x14ac:dyDescent="0.3">
      <c r="B189" t="e">
        <f>IFERROR(VLOOKUP(A189,martes!$A:$I,9,FALSE),IFERROR(VLOOKUP(A189,lunes!$A:$I,9,FALSE),VLOOKUP(A189,Configuracion!$A:$B,2,FALSE)))</f>
        <v>#N/A</v>
      </c>
      <c r="E189">
        <f>IF(C189="Venta", IFERROR(VLOOKUP(A189, Configuracion!$A:$D, 3, FALSE), 0), 0)</f>
        <v>0</v>
      </c>
      <c r="F189">
        <f t="shared" si="7"/>
        <v>0</v>
      </c>
      <c r="H189">
        <f>IF(AND(G189="Gestor", A189&lt;&gt;""), VLOOKUP(A189, Configuracion!$A:$D, 4, FALSE), 0)*Tabla1021[[#This Row],[CANTIDAD]]</f>
        <v>0</v>
      </c>
      <c r="I189" t="str">
        <f t="shared" si="8"/>
        <v/>
      </c>
    </row>
    <row r="190" spans="2:9" x14ac:dyDescent="0.3">
      <c r="B190" t="e">
        <f>IFERROR(VLOOKUP(A190,martes!$A:$I,9,FALSE),IFERROR(VLOOKUP(A190,lunes!$A:$I,9,FALSE),VLOOKUP(A190,Configuracion!$A:$B,2,FALSE)))</f>
        <v>#N/A</v>
      </c>
      <c r="E190">
        <f>IF(C190="Venta", IFERROR(VLOOKUP(A190, Configuracion!$A:$D, 3, FALSE), 0), 0)</f>
        <v>0</v>
      </c>
      <c r="F190">
        <f t="shared" si="7"/>
        <v>0</v>
      </c>
      <c r="H190">
        <f>IF(AND(G190="Gestor", A190&lt;&gt;""), VLOOKUP(A190, Configuracion!$A:$D, 4, FALSE), 0)*Tabla1021[[#This Row],[CANTIDAD]]</f>
        <v>0</v>
      </c>
    </row>
  </sheetData>
  <dataValidations count="3">
    <dataValidation type="list" allowBlank="1" showInputMessage="1" showErrorMessage="1" sqref="C2:C194" xr:uid="{00000000-0002-0000-0300-000000000000}">
      <formula1>"ENTRADA, SALIDA, VENTA"</formula1>
    </dataValidation>
    <dataValidation type="list" allowBlank="1" showInputMessage="1" showErrorMessage="1" sqref="A2:A194" xr:uid="{00000000-0002-0000-0300-000001000000}">
      <formula1>LISTA_PRODUCTOS</formula1>
    </dataValidation>
    <dataValidation type="list" allowBlank="1" showInputMessage="1" showErrorMessage="1" sqref="G2:G194" xr:uid="{00000000-0002-0000-0300-000002000000}">
      <formula1>"TIENDA, GESTOR, MOV"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90"/>
  <sheetViews>
    <sheetView topLeftCell="D6" workbookViewId="0">
      <selection activeCell="L3" sqref="L3"/>
    </sheetView>
  </sheetViews>
  <sheetFormatPr baseColWidth="10" defaultColWidth="11.5546875" defaultRowHeight="14.4" x14ac:dyDescent="0.3"/>
  <cols>
    <col min="1" max="1" width="30" customWidth="1"/>
    <col min="2" max="2" width="15.109375" customWidth="1"/>
    <col min="3" max="3" width="14.6640625" customWidth="1"/>
    <col min="4" max="4" width="11.6640625" style="17" customWidth="1"/>
    <col min="5" max="5" width="15.33203125" customWidth="1"/>
    <col min="6" max="6" width="10.6640625" customWidth="1"/>
    <col min="7" max="7" width="22.33203125" customWidth="1"/>
    <col min="8" max="8" width="11.88671875" customWidth="1"/>
    <col min="9" max="9" width="13.6640625" customWidth="1"/>
    <col min="10" max="10" width="5.33203125" customWidth="1"/>
    <col min="11" max="11" width="14.44140625" customWidth="1"/>
    <col min="12" max="12" width="12.6640625" customWidth="1"/>
    <col min="13" max="13" width="5.88671875" customWidth="1"/>
    <col min="14" max="14" width="15.6640625" customWidth="1"/>
  </cols>
  <sheetData>
    <row r="1" spans="1:19" x14ac:dyDescent="0.3">
      <c r="A1" s="1" t="s">
        <v>7</v>
      </c>
      <c r="B1" s="1" t="s">
        <v>3</v>
      </c>
      <c r="C1" s="1" t="s">
        <v>8</v>
      </c>
      <c r="D1" s="16" t="s">
        <v>9</v>
      </c>
      <c r="E1" s="1" t="s">
        <v>1</v>
      </c>
      <c r="F1" s="1" t="s">
        <v>185</v>
      </c>
      <c r="G1" s="1" t="s">
        <v>189</v>
      </c>
      <c r="H1" s="1" t="s">
        <v>2</v>
      </c>
      <c r="I1" s="1" t="s">
        <v>6</v>
      </c>
      <c r="J1" s="1"/>
      <c r="K1" s="8" t="s">
        <v>200</v>
      </c>
      <c r="L1" s="9" t="s">
        <v>218</v>
      </c>
      <c r="M1" s="1"/>
      <c r="N1" s="1"/>
      <c r="O1" s="1" t="s">
        <v>9</v>
      </c>
      <c r="P1" s="1" t="s">
        <v>192</v>
      </c>
      <c r="Q1" s="1" t="s">
        <v>244</v>
      </c>
      <c r="R1" s="23" t="s">
        <v>192</v>
      </c>
      <c r="S1" s="23" t="s">
        <v>226</v>
      </c>
    </row>
    <row r="2" spans="1:19" x14ac:dyDescent="0.3">
      <c r="B2" t="e">
        <f>IFERROR(VLOOKUP(A2,miercoles!$A:$I,9,FALSE),IFERROR(VLOOKUP(A2,martes!$A:$I,9,FALSE),IFERROR(VLOOKUP(A2,lunes!$A:$I,9,FALSE),VLOOKUP(A2,Configuracion!$A:$B,2,FALSE))))</f>
        <v>#N/A</v>
      </c>
      <c r="C2" t="s">
        <v>184</v>
      </c>
      <c r="D2" s="17">
        <v>1</v>
      </c>
      <c r="E2">
        <f>IF(C2="Venta", IFERROR(VLOOKUP(A2, Configuracion!$A:$D, 3, FALSE), 0), 0)</f>
        <v>0</v>
      </c>
      <c r="F2">
        <f>E2*D2</f>
        <v>0</v>
      </c>
      <c r="G2" t="s">
        <v>188</v>
      </c>
      <c r="H2">
        <f>IF(AND(G2="Gestor", A2&lt;&gt;""), VLOOKUP(A2, Configuracion!$A:$D, 4, FALSE), 0)*Tabla1023[[#This Row],[CANTIDAD]]</f>
        <v>0</v>
      </c>
      <c r="I2" t="str">
        <f t="shared" ref="I2:I33" si="0">IF(OR(A2="", D2=""), "", IF(C2="Entrada", B2+D2, IF(OR(C2="Venta", C2="Salida"), B2-D2, B2)))</f>
        <v/>
      </c>
      <c r="K2" s="6" t="s">
        <v>205</v>
      </c>
      <c r="L2" s="7">
        <v>540</v>
      </c>
      <c r="N2" s="2" t="s">
        <v>191</v>
      </c>
      <c r="O2" s="2">
        <f>Tabla15[[#Totals],[IMPORTE]]</f>
        <v>9440</v>
      </c>
      <c r="P2" s="2">
        <f>O2</f>
        <v>9440</v>
      </c>
      <c r="Q2" s="1"/>
    </row>
    <row r="3" spans="1:19" x14ac:dyDescent="0.3">
      <c r="B3" t="e">
        <f>IFERROR(VLOOKUP(A3,miercoles!$A:$I,9,FALSE),IFERROR(VLOOKUP(A3,martes!$A:$I,9,FALSE),IFERROR(VLOOKUP(A3,lunes!$A:$I,9,FALSE),VLOOKUP(A3,Configuracion!$A:$B,2,FALSE))))</f>
        <v>#N/A</v>
      </c>
      <c r="C3" t="s">
        <v>184</v>
      </c>
      <c r="D3" s="17">
        <v>1</v>
      </c>
      <c r="E3">
        <f>IF(C3="Venta", IFERROR(VLOOKUP(A3, Configuracion!$A:$D, 3, FALSE), 0), 0)</f>
        <v>0</v>
      </c>
      <c r="F3">
        <f>E3*D3</f>
        <v>0</v>
      </c>
      <c r="G3" t="s">
        <v>10</v>
      </c>
      <c r="H3">
        <f>IF(AND(G3="Gestor", A3&lt;&gt;""), VLOOKUP(A3, Configuracion!$A:$D, 4, FALSE), 0)*Tabla1023[[#This Row],[CANTIDAD]]</f>
        <v>0</v>
      </c>
      <c r="I3" t="str">
        <f t="shared" si="0"/>
        <v/>
      </c>
      <c r="K3" s="10" t="s">
        <v>206</v>
      </c>
      <c r="L3" s="11">
        <v>20</v>
      </c>
      <c r="N3" s="3" t="s">
        <v>194</v>
      </c>
      <c r="O3" s="3">
        <v>4710</v>
      </c>
      <c r="P3" s="3">
        <f>O3</f>
        <v>4710</v>
      </c>
    </row>
    <row r="4" spans="1:19" x14ac:dyDescent="0.3">
      <c r="B4" t="e">
        <f>IFERROR(VLOOKUP(A4,miercoles!$A:$I,9,FALSE),IFERROR(VLOOKUP(A4,martes!$A:$I,9,FALSE),IFERROR(VLOOKUP(A4,lunes!$A:$I,9,FALSE),VLOOKUP(A4,Configuracion!$A:$B,2,FALSE))))</f>
        <v>#N/A</v>
      </c>
      <c r="C4" t="s">
        <v>184</v>
      </c>
      <c r="D4" s="17">
        <v>1</v>
      </c>
      <c r="E4">
        <f>IF(C4="Venta", IFERROR(VLOOKUP(A4, Configuracion!$A:$D, 3, FALSE), 0), 0)</f>
        <v>0</v>
      </c>
      <c r="F4">
        <f t="shared" ref="F4:F67" si="1">E4*D4</f>
        <v>0</v>
      </c>
      <c r="H4">
        <f>IF(AND(G4="Gestor", A4&lt;&gt;""), VLOOKUP(A4, Configuracion!$A:$D, 4, FALSE), 0)*Tabla1023[[#This Row],[CANTIDAD]]</f>
        <v>0</v>
      </c>
      <c r="I4" t="str">
        <f t="shared" si="0"/>
        <v/>
      </c>
      <c r="N4" s="3" t="s">
        <v>195</v>
      </c>
      <c r="O4" s="3">
        <v>380</v>
      </c>
      <c r="P4" s="3">
        <f>O4</f>
        <v>380</v>
      </c>
    </row>
    <row r="5" spans="1:19" x14ac:dyDescent="0.3">
      <c r="B5" t="e">
        <f>IFERROR(VLOOKUP(A5,miercoles!$A:$I,9,FALSE),IFERROR(VLOOKUP(A5,martes!$A:$I,9,FALSE),IFERROR(VLOOKUP(A5,lunes!$A:$I,9,FALSE),VLOOKUP(A5,Configuracion!$A:$B,2,FALSE))))</f>
        <v>#N/A</v>
      </c>
      <c r="E5">
        <f>IF(C5="Venta", IFERROR(VLOOKUP(A5, Configuracion!$A:$D, 3, FALSE), 0), 0)</f>
        <v>0</v>
      </c>
      <c r="F5">
        <f t="shared" si="1"/>
        <v>0</v>
      </c>
      <c r="H5">
        <f>IF(AND(G5="Gestor", A5&lt;&gt;""), VLOOKUP(A5, Configuracion!$A:$D, 4, FALSE), 0)*Tabla1023[[#This Row],[CANTIDAD]]</f>
        <v>0</v>
      </c>
      <c r="I5" t="str">
        <f t="shared" si="0"/>
        <v/>
      </c>
      <c r="N5" s="3" t="s">
        <v>196</v>
      </c>
      <c r="O5" s="3"/>
      <c r="P5" s="3">
        <f>O5/L3</f>
        <v>0</v>
      </c>
    </row>
    <row r="6" spans="1:19" x14ac:dyDescent="0.3">
      <c r="B6" t="e">
        <f>IFERROR(VLOOKUP(A6,miercoles!$A:$I,9,FALSE),IFERROR(VLOOKUP(A6,martes!$A:$I,9,FALSE),IFERROR(VLOOKUP(A6,lunes!$A:$I,9,FALSE),VLOOKUP(A6,Configuracion!$A:$B,2,FALSE))))</f>
        <v>#N/A</v>
      </c>
      <c r="E6">
        <f>IF(C6="Venta", IFERROR(VLOOKUP(A6, Configuracion!$A:$D, 3, FALSE), 0), 0)</f>
        <v>0</v>
      </c>
      <c r="F6">
        <f t="shared" si="1"/>
        <v>0</v>
      </c>
      <c r="H6">
        <f>IF(AND(G6="Gestor", A6&lt;&gt;""), VLOOKUP(A6, Configuracion!$A:$D, 4, FALSE), 0)*Tabla1023[[#This Row],[CANTIDAD]]</f>
        <v>0</v>
      </c>
      <c r="I6" t="str">
        <f t="shared" si="0"/>
        <v/>
      </c>
      <c r="N6" s="3" t="s">
        <v>197</v>
      </c>
      <c r="O6" s="3">
        <v>1252800</v>
      </c>
      <c r="P6" s="3">
        <f>O6/L2</f>
        <v>2320</v>
      </c>
    </row>
    <row r="7" spans="1:19" x14ac:dyDescent="0.3">
      <c r="B7" t="e">
        <f>IFERROR(VLOOKUP(A7,miercoles!$A:$I,9,FALSE),IFERROR(VLOOKUP(A7,martes!$A:$I,9,FALSE),IFERROR(VLOOKUP(A7,lunes!$A:$I,9,FALSE),VLOOKUP(A7,Configuracion!$A:$B,2,FALSE))))</f>
        <v>#N/A</v>
      </c>
      <c r="E7">
        <f>IF(C7="Venta", IFERROR(VLOOKUP(A7, Configuracion!$A:$D, 3, FALSE), 0), 0)</f>
        <v>0</v>
      </c>
      <c r="F7">
        <f t="shared" si="1"/>
        <v>0</v>
      </c>
      <c r="H7">
        <f>IF(AND(G7="Gestor", A7&lt;&gt;""), VLOOKUP(A7, Configuracion!$A:$D, 4, FALSE), 0)*Tabla1023[[#This Row],[CANTIDAD]]</f>
        <v>0</v>
      </c>
      <c r="I7" t="str">
        <f t="shared" si="0"/>
        <v/>
      </c>
      <c r="N7" s="3" t="s">
        <v>198</v>
      </c>
      <c r="O7" s="3"/>
      <c r="P7" s="3">
        <f>O7/L2</f>
        <v>0</v>
      </c>
    </row>
    <row r="8" spans="1:19" x14ac:dyDescent="0.3">
      <c r="B8" t="e">
        <f>IFERROR(VLOOKUP(A8,miercoles!$A:$I,9,FALSE),IFERROR(VLOOKUP(A8,martes!$A:$I,9,FALSE),IFERROR(VLOOKUP(A8,lunes!$A:$I,9,FALSE),VLOOKUP(A8,Configuracion!$A:$B,2,FALSE))))</f>
        <v>#N/A</v>
      </c>
      <c r="E8">
        <f>IF(C8="Venta", IFERROR(VLOOKUP(A8, Configuracion!$A:$D, 3, FALSE), 0), 0)</f>
        <v>0</v>
      </c>
      <c r="F8">
        <f t="shared" si="1"/>
        <v>0</v>
      </c>
      <c r="H8">
        <f>IF(AND(G8="Gestor", A8&lt;&gt;""), VLOOKUP(A8, Configuracion!$A:$D, 4, FALSE), 0)*Tabla1023[[#This Row],[CANTIDAD]]</f>
        <v>0</v>
      </c>
      <c r="I8" t="str">
        <f t="shared" si="0"/>
        <v/>
      </c>
      <c r="N8" s="3" t="s">
        <v>199</v>
      </c>
      <c r="O8" s="3"/>
      <c r="P8" s="3">
        <f>O8</f>
        <v>0</v>
      </c>
    </row>
    <row r="9" spans="1:19" x14ac:dyDescent="0.3">
      <c r="B9" t="e">
        <f>IFERROR(VLOOKUP(A9,miercoles!$A:$I,9,FALSE),IFERROR(VLOOKUP(A9,martes!$A:$I,9,FALSE),IFERROR(VLOOKUP(A9,lunes!$A:$I,9,FALSE),VLOOKUP(A9,Configuracion!$A:$B,2,FALSE))))</f>
        <v>#N/A</v>
      </c>
      <c r="E9">
        <f>IF(C9="Venta", IFERROR(VLOOKUP(A9, Configuracion!$A:$D, 3, FALSE), 0), 0)</f>
        <v>0</v>
      </c>
      <c r="F9">
        <f t="shared" si="1"/>
        <v>0</v>
      </c>
      <c r="H9">
        <f>IF(AND(G9="Gestor", A9&lt;&gt;""), VLOOKUP(A9, Configuracion!$A:$D, 4, FALSE), 0)*Tabla1023[[#This Row],[CANTIDAD]]</f>
        <v>0</v>
      </c>
      <c r="I9" t="str">
        <f t="shared" si="0"/>
        <v/>
      </c>
      <c r="N9" s="2" t="s">
        <v>193</v>
      </c>
      <c r="O9" s="3"/>
      <c r="P9" s="5">
        <f>P3+P4+P5+P6+P7+P8</f>
        <v>7410</v>
      </c>
      <c r="Q9" s="27"/>
    </row>
    <row r="10" spans="1:19" x14ac:dyDescent="0.3">
      <c r="B10" t="e">
        <f>IFERROR(VLOOKUP(A10,miercoles!$A:$I,9,FALSE),IFERROR(VLOOKUP(A10,martes!$A:$I,9,FALSE),IFERROR(VLOOKUP(A10,lunes!$A:$I,9,FALSE),VLOOKUP(A10,Configuracion!$A:$B,2,FALSE))))</f>
        <v>#N/A</v>
      </c>
      <c r="E10">
        <f>IF(C10="Venta", IFERROR(VLOOKUP(A10, Configuracion!$A:$D, 3, FALSE), 0), 0)</f>
        <v>0</v>
      </c>
      <c r="F10">
        <f t="shared" si="1"/>
        <v>0</v>
      </c>
      <c r="H10">
        <f>IF(AND(G10="Gestor", A10&lt;&gt;""), VLOOKUP(A10, Configuracion!$A:$D, 4, FALSE), 0)*Tabla1023[[#This Row],[CANTIDAD]]</f>
        <v>0</v>
      </c>
      <c r="I10" t="str">
        <f t="shared" si="0"/>
        <v/>
      </c>
      <c r="N10" s="2" t="s">
        <v>208</v>
      </c>
      <c r="O10" s="3"/>
      <c r="P10" s="3">
        <f>P12+P11</f>
        <v>20</v>
      </c>
    </row>
    <row r="11" spans="1:19" x14ac:dyDescent="0.3">
      <c r="B11" t="e">
        <f>IFERROR(VLOOKUP(A11,miercoles!$A:$I,9,FALSE),IFERROR(VLOOKUP(A11,martes!$A:$I,9,FALSE),IFERROR(VLOOKUP(A11,lunes!$A:$I,9,FALSE),VLOOKUP(A11,Configuracion!$A:$B,2,FALSE))))</f>
        <v>#N/A</v>
      </c>
      <c r="E11">
        <f>IF(C11="Venta", IFERROR(VLOOKUP(A11, Configuracion!$A:$D, 3, FALSE), 0), 0)</f>
        <v>0</v>
      </c>
      <c r="F11">
        <f t="shared" si="1"/>
        <v>0</v>
      </c>
      <c r="H11">
        <f>IF(AND(G11="Gestor", A11&lt;&gt;""), VLOOKUP(A11, Configuracion!$A:$D, 4, FALSE), 0)*Tabla1023[[#This Row],[CANTIDAD]]</f>
        <v>0</v>
      </c>
      <c r="I11" t="str">
        <f t="shared" si="0"/>
        <v/>
      </c>
      <c r="N11" s="3" t="s">
        <v>212</v>
      </c>
      <c r="O11" s="3"/>
      <c r="P11" s="3">
        <f>O11/L2</f>
        <v>0</v>
      </c>
    </row>
    <row r="12" spans="1:19" x14ac:dyDescent="0.3">
      <c r="B12" t="e">
        <f>IFERROR(VLOOKUP(A12,miercoles!$A:$I,9,FALSE),IFERROR(VLOOKUP(A12,martes!$A:$I,9,FALSE),IFERROR(VLOOKUP(A12,lunes!$A:$I,9,FALSE),VLOOKUP(A12,Configuracion!$A:$B,2,FALSE))))</f>
        <v>#N/A</v>
      </c>
      <c r="E12">
        <f>IF(C12="Venta", IFERROR(VLOOKUP(A12, Configuracion!$A:$D, 3, FALSE), 0), 0)</f>
        <v>0</v>
      </c>
      <c r="F12">
        <f t="shared" si="1"/>
        <v>0</v>
      </c>
      <c r="H12">
        <f>IF(AND(G12="Gestor", A12&lt;&gt;""), VLOOKUP(A12, Configuracion!$A:$D, 4, FALSE), 0)*Tabla1023[[#This Row],[CANTIDAD]]</f>
        <v>0</v>
      </c>
      <c r="I12" t="str">
        <f t="shared" si="0"/>
        <v/>
      </c>
      <c r="N12" s="3" t="s">
        <v>194</v>
      </c>
      <c r="O12" s="3">
        <v>20</v>
      </c>
      <c r="P12" s="3">
        <f>O12</f>
        <v>20</v>
      </c>
      <c r="Q12" t="s">
        <v>245</v>
      </c>
    </row>
    <row r="13" spans="1:19" x14ac:dyDescent="0.3">
      <c r="B13" t="e">
        <f>IFERROR(VLOOKUP(A13,miercoles!$A:$I,9,FALSE),IFERROR(VLOOKUP(A13,martes!$A:$I,9,FALSE),IFERROR(VLOOKUP(A13,lunes!$A:$I,9,FALSE),VLOOKUP(A13,Configuracion!$A:$B,2,FALSE))))</f>
        <v>#N/A</v>
      </c>
      <c r="E13">
        <f>IF(C13="Venta", IFERROR(VLOOKUP(A13, Configuracion!$A:$D, 3, FALSE), 0), 0)</f>
        <v>0</v>
      </c>
      <c r="F13">
        <f t="shared" si="1"/>
        <v>0</v>
      </c>
      <c r="H13">
        <f>IF(AND(G13="Gestor", A13&lt;&gt;""), VLOOKUP(A13, Configuracion!$A:$D, 4, FALSE), 0)*Tabla1023[[#This Row],[CANTIDAD]]</f>
        <v>0</v>
      </c>
      <c r="I13" t="str">
        <f t="shared" si="0"/>
        <v/>
      </c>
      <c r="N13" s="2" t="s">
        <v>201</v>
      </c>
      <c r="O13" s="3"/>
      <c r="P13" s="3">
        <f>P15+P14</f>
        <v>2050</v>
      </c>
    </row>
    <row r="14" spans="1:19" x14ac:dyDescent="0.3">
      <c r="B14" t="e">
        <f>IFERROR(VLOOKUP(A14,miercoles!$A:$I,9,FALSE),IFERROR(VLOOKUP(A14,martes!$A:$I,9,FALSE),IFERROR(VLOOKUP(A14,lunes!$A:$I,9,FALSE),VLOOKUP(A14,Configuracion!$A:$B,2,FALSE))))</f>
        <v>#N/A</v>
      </c>
      <c r="E14">
        <f>IF(C14="Venta", IFERROR(VLOOKUP(A14, Configuracion!$A:$D, 3, FALSE), 0), 0)</f>
        <v>0</v>
      </c>
      <c r="F14">
        <f t="shared" si="1"/>
        <v>0</v>
      </c>
      <c r="H14">
        <f>IF(AND(G14="Gestor", A14&lt;&gt;""), VLOOKUP(A14, Configuracion!$A:$D, 4, FALSE), 0)*Tabla1023[[#This Row],[CANTIDAD]]</f>
        <v>0</v>
      </c>
      <c r="I14" t="str">
        <f t="shared" si="0"/>
        <v/>
      </c>
      <c r="N14" s="3" t="s">
        <v>212</v>
      </c>
      <c r="O14" s="3"/>
      <c r="P14" s="3">
        <f>O14/L2</f>
        <v>0</v>
      </c>
    </row>
    <row r="15" spans="1:19" x14ac:dyDescent="0.3">
      <c r="B15" t="e">
        <f>IFERROR(VLOOKUP(A15,miercoles!$A:$I,9,FALSE),IFERROR(VLOOKUP(A15,martes!$A:$I,9,FALSE),IFERROR(VLOOKUP(A15,lunes!$A:$I,9,FALSE),VLOOKUP(A15,Configuracion!$A:$B,2,FALSE))))</f>
        <v>#N/A</v>
      </c>
      <c r="E15">
        <f>IF(C15="Venta", IFERROR(VLOOKUP(A15, Configuracion!$A:$D, 3, FALSE), 0), 0)</f>
        <v>0</v>
      </c>
      <c r="F15">
        <f t="shared" si="1"/>
        <v>0</v>
      </c>
      <c r="H15">
        <f>IF(AND(G15="Gestor", A15&lt;&gt;""), VLOOKUP(A15, Configuracion!$A:$D, 4, FALSE), 0)*Tabla1023[[#This Row],[CANTIDAD]]</f>
        <v>0</v>
      </c>
      <c r="I15" t="str">
        <f t="shared" si="0"/>
        <v/>
      </c>
      <c r="N15" s="3" t="s">
        <v>194</v>
      </c>
      <c r="O15" s="3">
        <v>2050</v>
      </c>
      <c r="P15" s="3">
        <v>2050</v>
      </c>
    </row>
    <row r="16" spans="1:19" x14ac:dyDescent="0.3">
      <c r="B16" t="e">
        <f>IFERROR(VLOOKUP(A16,miercoles!$A:$I,9,FALSE),IFERROR(VLOOKUP(A16,martes!$A:$I,9,FALSE),IFERROR(VLOOKUP(A16,lunes!$A:$I,9,FALSE),VLOOKUP(A16,Configuracion!$A:$B,2,FALSE))))</f>
        <v>#N/A</v>
      </c>
      <c r="E16">
        <f>IF(C16="Venta", IFERROR(VLOOKUP(A16, Configuracion!$A:$D, 3, FALSE), 0), 0)</f>
        <v>0</v>
      </c>
      <c r="F16">
        <f t="shared" si="1"/>
        <v>0</v>
      </c>
      <c r="H16">
        <f>IF(AND(G16="Gestor", A16&lt;&gt;""), VLOOKUP(A16, Configuracion!$A:$D, 4, FALSE), 0)*Tabla1023[[#This Row],[CANTIDAD]]</f>
        <v>0</v>
      </c>
      <c r="I16" t="str">
        <f t="shared" si="0"/>
        <v/>
      </c>
      <c r="N16" s="2" t="s">
        <v>211</v>
      </c>
      <c r="O16" s="3"/>
      <c r="P16" s="5">
        <f>P9+P13-P10</f>
        <v>9440</v>
      </c>
      <c r="Q16" s="27"/>
      <c r="R16" s="24">
        <f>P2-P16</f>
        <v>0</v>
      </c>
      <c r="S16" s="25">
        <f>R16*L2</f>
        <v>0</v>
      </c>
    </row>
    <row r="17" spans="2:17" x14ac:dyDescent="0.3">
      <c r="B17" t="e">
        <f>IFERROR(VLOOKUP(A17,miercoles!$A:$I,9,FALSE),IFERROR(VLOOKUP(A17,martes!$A:$I,9,FALSE),IFERROR(VLOOKUP(A17,lunes!$A:$I,9,FALSE),VLOOKUP(A17,Configuracion!$A:$B,2,FALSE))))</f>
        <v>#N/A</v>
      </c>
      <c r="E17">
        <f>IF(C17="Venta", IFERROR(VLOOKUP(A17, Configuracion!$A:$D, 3, FALSE), 0), 0)</f>
        <v>0</v>
      </c>
      <c r="F17">
        <f t="shared" si="1"/>
        <v>0</v>
      </c>
      <c r="H17">
        <f>IF(AND(G17="Gestor", A17&lt;&gt;""), VLOOKUP(A17, Configuracion!$A:$D, 4, FALSE), 0)*Tabla1023[[#This Row],[CANTIDAD]]</f>
        <v>0</v>
      </c>
      <c r="I17" t="str">
        <f t="shared" si="0"/>
        <v/>
      </c>
      <c r="N17" s="4"/>
      <c r="O17" s="4"/>
      <c r="P17" s="4"/>
      <c r="Q17" s="28"/>
    </row>
    <row r="18" spans="2:17" x14ac:dyDescent="0.3">
      <c r="B18" t="e">
        <f>IFERROR(VLOOKUP(A18,miercoles!$A:$I,9,FALSE),IFERROR(VLOOKUP(A18,martes!$A:$I,9,FALSE),IFERROR(VLOOKUP(A18,lunes!$A:$I,9,FALSE),VLOOKUP(A18,Configuracion!$A:$B,2,FALSE))))</f>
        <v>#N/A</v>
      </c>
      <c r="E18">
        <f>IF(C18="Venta", IFERROR(VLOOKUP(A18, Configuracion!$A:$D, 3, FALSE), 0), 0)</f>
        <v>0</v>
      </c>
      <c r="F18">
        <f t="shared" si="1"/>
        <v>0</v>
      </c>
      <c r="H18">
        <f>IF(AND(G18="Gestor", A18&lt;&gt;""), VLOOKUP(A18, Configuracion!$A:$D, 4, FALSE), 0)*Tabla1023[[#This Row],[CANTIDAD]]</f>
        <v>0</v>
      </c>
      <c r="I18" t="str">
        <f t="shared" si="0"/>
        <v/>
      </c>
      <c r="O18" t="s">
        <v>202</v>
      </c>
      <c r="P18" t="s">
        <v>192</v>
      </c>
    </row>
    <row r="19" spans="2:17" x14ac:dyDescent="0.3">
      <c r="B19" t="e">
        <f>IFERROR(VLOOKUP(A19,miercoles!$A:$I,9,FALSE),IFERROR(VLOOKUP(A19,martes!$A:$I,9,FALSE),IFERROR(VLOOKUP(A19,lunes!$A:$I,9,FALSE),VLOOKUP(A19,Configuracion!$A:$B,2,FALSE))))</f>
        <v>#N/A</v>
      </c>
      <c r="E19">
        <f>IF(C19="Venta", IFERROR(VLOOKUP(A19, Configuracion!$A:$D, 3, FALSE), 0), 0)</f>
        <v>0</v>
      </c>
      <c r="F19">
        <f t="shared" si="1"/>
        <v>0</v>
      </c>
      <c r="H19">
        <f>IF(AND(G19="Gestor", A19&lt;&gt;""), VLOOKUP(A19, Configuracion!$A:$D, 4, FALSE), 0)*Tabla1023[[#This Row],[CANTIDAD]]</f>
        <v>0</v>
      </c>
      <c r="I19" t="str">
        <f t="shared" si="0"/>
        <v/>
      </c>
      <c r="N19" s="2" t="s">
        <v>207</v>
      </c>
      <c r="O19" s="3">
        <v>100000</v>
      </c>
      <c r="P19" s="3">
        <v>150</v>
      </c>
    </row>
    <row r="20" spans="2:17" x14ac:dyDescent="0.3">
      <c r="B20" t="e">
        <f>IFERROR(VLOOKUP(A20,miercoles!$A:$I,9,FALSE),IFERROR(VLOOKUP(A20,martes!$A:$I,9,FALSE),IFERROR(VLOOKUP(A20,lunes!$A:$I,9,FALSE),VLOOKUP(A20,Configuracion!$A:$B,2,FALSE))))</f>
        <v>#N/A</v>
      </c>
      <c r="E20">
        <f>IF(C20="Venta", IFERROR(VLOOKUP(A20, Configuracion!$A:$D, 3, FALSE), 0), 0)</f>
        <v>0</v>
      </c>
      <c r="F20">
        <f t="shared" si="1"/>
        <v>0</v>
      </c>
      <c r="H20">
        <f>IF(AND(G20="Gestor", A20&lt;&gt;""), VLOOKUP(A20, Configuracion!$A:$D, 4, FALSE), 0)*Tabla1023[[#This Row],[CANTIDAD]]</f>
        <v>0</v>
      </c>
      <c r="I20" t="str">
        <f t="shared" si="0"/>
        <v/>
      </c>
      <c r="N20" s="3" t="s">
        <v>221</v>
      </c>
      <c r="O20" s="3"/>
      <c r="P20" s="3"/>
    </row>
    <row r="21" spans="2:17" x14ac:dyDescent="0.3">
      <c r="B21" t="e">
        <f>IFERROR(VLOOKUP(A21,miercoles!$A:$I,9,FALSE),IFERROR(VLOOKUP(A21,martes!$A:$I,9,FALSE),IFERROR(VLOOKUP(A21,lunes!$A:$I,9,FALSE),VLOOKUP(A21,Configuracion!$A:$B,2,FALSE))))</f>
        <v>#N/A</v>
      </c>
      <c r="E21">
        <f>IF(C21="Venta", IFERROR(VLOOKUP(A21, Configuracion!$A:$D, 3, FALSE), 0), 0)</f>
        <v>0</v>
      </c>
      <c r="F21">
        <f t="shared" si="1"/>
        <v>0</v>
      </c>
      <c r="H21">
        <f>IF(AND(G21="Gestor", A21&lt;&gt;""), VLOOKUP(A21, Configuracion!$A:$D, 4, FALSE), 0)*Tabla1023[[#This Row],[CANTIDAD]]</f>
        <v>0</v>
      </c>
      <c r="I21" t="str">
        <f t="shared" si="0"/>
        <v/>
      </c>
      <c r="N21" s="3" t="s">
        <v>203</v>
      </c>
      <c r="O21" s="3"/>
      <c r="P21" s="3"/>
    </row>
    <row r="22" spans="2:17" x14ac:dyDescent="0.3">
      <c r="B22" t="e">
        <f>IFERROR(VLOOKUP(A22,miercoles!$A:$I,9,FALSE),IFERROR(VLOOKUP(A22,martes!$A:$I,9,FALSE),IFERROR(VLOOKUP(A22,lunes!$A:$I,9,FALSE),VLOOKUP(A22,Configuracion!$A:$B,2,FALSE))))</f>
        <v>#N/A</v>
      </c>
      <c r="E22">
        <f>IF(C22="Venta", IFERROR(VLOOKUP(A22, Configuracion!$A:$D, 3, FALSE), 0), 0)</f>
        <v>0</v>
      </c>
      <c r="F22">
        <f t="shared" si="1"/>
        <v>0</v>
      </c>
      <c r="H22">
        <f>IF(AND(G22="Gestor", A22&lt;&gt;""), VLOOKUP(A22, Configuracion!$A:$D, 4, FALSE), 0)*Tabla1023[[#This Row],[CANTIDAD]]</f>
        <v>0</v>
      </c>
      <c r="I22" t="str">
        <f t="shared" si="0"/>
        <v/>
      </c>
      <c r="N22" s="3" t="s">
        <v>204</v>
      </c>
      <c r="O22" s="3"/>
      <c r="P22" s="3"/>
    </row>
    <row r="23" spans="2:17" x14ac:dyDescent="0.3">
      <c r="B23" t="e">
        <f>IFERROR(VLOOKUP(A23,miercoles!$A:$I,9,FALSE),IFERROR(VLOOKUP(A23,martes!$A:$I,9,FALSE),IFERROR(VLOOKUP(A23,lunes!$A:$I,9,FALSE),VLOOKUP(A23,Configuracion!$A:$B,2,FALSE))))</f>
        <v>#N/A</v>
      </c>
      <c r="E23">
        <f>IF(C23="Venta", IFERROR(VLOOKUP(A23, Configuracion!$A:$D, 3, FALSE), 0), 0)</f>
        <v>0</v>
      </c>
      <c r="F23">
        <f t="shared" si="1"/>
        <v>0</v>
      </c>
      <c r="H23">
        <f>IF(AND(G23="Gestor", A23&lt;&gt;""), VLOOKUP(A23, Configuracion!$A:$D, 4, FALSE), 0)*Tabla1023[[#This Row],[CANTIDAD]]</f>
        <v>0</v>
      </c>
      <c r="I23" t="str">
        <f t="shared" si="0"/>
        <v/>
      </c>
      <c r="N23" s="3" t="s">
        <v>210</v>
      </c>
      <c r="O23" s="3"/>
      <c r="P23" s="3"/>
    </row>
    <row r="24" spans="2:17" x14ac:dyDescent="0.3">
      <c r="B24" t="e">
        <f>IFERROR(VLOOKUP(A24,miercoles!$A:$I,9,FALSE),IFERROR(VLOOKUP(A24,martes!$A:$I,9,FALSE),IFERROR(VLOOKUP(A24,lunes!$A:$I,9,FALSE),VLOOKUP(A24,Configuracion!$A:$B,2,FALSE))))</f>
        <v>#N/A</v>
      </c>
      <c r="E24">
        <f>IF(C24="Venta", IFERROR(VLOOKUP(A24, Configuracion!$A:$D, 3, FALSE), 0), 0)</f>
        <v>0</v>
      </c>
      <c r="F24">
        <f t="shared" si="1"/>
        <v>0</v>
      </c>
      <c r="H24">
        <f>IF(AND(G24="Gestor", A24&lt;&gt;""), VLOOKUP(A24, Configuracion!$A:$D, 4, FALSE), 0)*Tabla1023[[#This Row],[CANTIDAD]]</f>
        <v>0</v>
      </c>
      <c r="I24" t="str">
        <f t="shared" si="0"/>
        <v/>
      </c>
      <c r="N24" s="2" t="s">
        <v>209</v>
      </c>
      <c r="O24" s="3">
        <f>O19-O21-O22-O23-O20</f>
        <v>100000</v>
      </c>
      <c r="P24" s="3">
        <f>P19-P21-P22-P23-P20</f>
        <v>150</v>
      </c>
    </row>
    <row r="25" spans="2:17" x14ac:dyDescent="0.3">
      <c r="B25" t="e">
        <f>IFERROR(VLOOKUP(A25,miercoles!$A:$I,9,FALSE),IFERROR(VLOOKUP(A25,martes!$A:$I,9,FALSE),IFERROR(VLOOKUP(A25,lunes!$A:$I,9,FALSE),VLOOKUP(A25,Configuracion!$A:$B,2,FALSE))))</f>
        <v>#N/A</v>
      </c>
      <c r="E25">
        <f>IF(C25="Venta", IFERROR(VLOOKUP(A25, Configuracion!$A:$D, 3, FALSE), 0), 0)</f>
        <v>0</v>
      </c>
      <c r="F25">
        <f t="shared" si="1"/>
        <v>0</v>
      </c>
      <c r="H25">
        <f>IF(AND(G25="Gestor", A25&lt;&gt;""), VLOOKUP(A25, Configuracion!$A:$D, 4, FALSE), 0)*Tabla1023[[#This Row],[CANTIDAD]]</f>
        <v>0</v>
      </c>
      <c r="I25" t="str">
        <f t="shared" si="0"/>
        <v/>
      </c>
    </row>
    <row r="26" spans="2:17" x14ac:dyDescent="0.3">
      <c r="B26" t="e">
        <f>IFERROR(VLOOKUP(A26,miercoles!$A:$I,9,FALSE),IFERROR(VLOOKUP(A26,martes!$A:$I,9,FALSE),IFERROR(VLOOKUP(A26,lunes!$A:$I,9,FALSE),VLOOKUP(A26,Configuracion!$A:$B,2,FALSE))))</f>
        <v>#N/A</v>
      </c>
      <c r="E26">
        <f>IF(C26="Venta", IFERROR(VLOOKUP(A26, Configuracion!$A:$D, 3, FALSE), 0), 0)</f>
        <v>0</v>
      </c>
      <c r="F26">
        <f t="shared" si="1"/>
        <v>0</v>
      </c>
      <c r="H26">
        <f>IF(AND(G26="Gestor", A26&lt;&gt;""), VLOOKUP(A26, Configuracion!$A:$D, 4, FALSE), 0)*Tabla1023[[#This Row],[CANTIDAD]]</f>
        <v>0</v>
      </c>
      <c r="I26" t="str">
        <f t="shared" si="0"/>
        <v/>
      </c>
    </row>
    <row r="27" spans="2:17" x14ac:dyDescent="0.3">
      <c r="B27" t="e">
        <f>IFERROR(VLOOKUP(A27,miercoles!$A:$I,9,FALSE),IFERROR(VLOOKUP(A27,martes!$A:$I,9,FALSE),IFERROR(VLOOKUP(A27,lunes!$A:$I,9,FALSE),VLOOKUP(A27,Configuracion!$A:$B,2,FALSE))))</f>
        <v>#N/A</v>
      </c>
      <c r="E27">
        <f>IF(C27="Venta", IFERROR(VLOOKUP(A27, Configuracion!$A:$D, 3, FALSE), 0), 0)</f>
        <v>0</v>
      </c>
      <c r="F27">
        <f t="shared" si="1"/>
        <v>0</v>
      </c>
      <c r="H27">
        <f>IF(AND(G27="Gestor", A27&lt;&gt;""), VLOOKUP(A27, Configuracion!$A:$D, 4, FALSE), 0)*Tabla1023[[#This Row],[CANTIDAD]]</f>
        <v>0</v>
      </c>
      <c r="I27" t="str">
        <f t="shared" si="0"/>
        <v/>
      </c>
    </row>
    <row r="28" spans="2:17" x14ac:dyDescent="0.3">
      <c r="B28" t="e">
        <f>IFERROR(VLOOKUP(A28,miercoles!$A:$I,9,FALSE),IFERROR(VLOOKUP(A28,martes!$A:$I,9,FALSE),IFERROR(VLOOKUP(A28,lunes!$A:$I,9,FALSE),VLOOKUP(A28,Configuracion!$A:$B,2,FALSE))))</f>
        <v>#N/A</v>
      </c>
      <c r="E28">
        <f>IF(C28="Venta", IFERROR(VLOOKUP(A28, Configuracion!$A:$D, 3, FALSE), 0), 0)</f>
        <v>0</v>
      </c>
      <c r="F28">
        <f t="shared" si="1"/>
        <v>0</v>
      </c>
      <c r="H28">
        <f>IF(AND(G28="Gestor", A28&lt;&gt;""), VLOOKUP(A28, Configuracion!$A:$D, 4, FALSE), 0)*Tabla1023[[#This Row],[CANTIDAD]]</f>
        <v>0</v>
      </c>
      <c r="I28" t="str">
        <f t="shared" si="0"/>
        <v/>
      </c>
      <c r="N28" s="1"/>
      <c r="O28" s="1"/>
      <c r="P28" s="1"/>
    </row>
    <row r="29" spans="2:17" x14ac:dyDescent="0.3">
      <c r="B29" t="e">
        <f>IFERROR(VLOOKUP(A29,miercoles!$A:$I,9,FALSE),IFERROR(VLOOKUP(A29,martes!$A:$I,9,FALSE),IFERROR(VLOOKUP(A29,lunes!$A:$I,9,FALSE),VLOOKUP(A29,Configuracion!$A:$B,2,FALSE))))</f>
        <v>#N/A</v>
      </c>
      <c r="E29">
        <f>IF(C29="Venta", IFERROR(VLOOKUP(A29, Configuracion!$A:$D, 3, FALSE), 0), 0)</f>
        <v>0</v>
      </c>
      <c r="F29">
        <f t="shared" si="1"/>
        <v>0</v>
      </c>
      <c r="H29">
        <f>IF(AND(G29="Gestor", A29&lt;&gt;""), VLOOKUP(A29, Configuracion!$A:$D, 4, FALSE), 0)*Tabla1023[[#This Row],[CANTIDAD]]</f>
        <v>0</v>
      </c>
      <c r="I29" t="str">
        <f t="shared" si="0"/>
        <v/>
      </c>
    </row>
    <row r="30" spans="2:17" x14ac:dyDescent="0.3">
      <c r="B30" t="e">
        <f>IFERROR(VLOOKUP(A30,miercoles!$A:$I,9,FALSE),IFERROR(VLOOKUP(A30,martes!$A:$I,9,FALSE),IFERROR(VLOOKUP(A30,lunes!$A:$I,9,FALSE),VLOOKUP(A30,Configuracion!$A:$B,2,FALSE))))</f>
        <v>#N/A</v>
      </c>
      <c r="E30">
        <f>IF(C30="Venta", IFERROR(VLOOKUP(A30, Configuracion!$A:$D, 3, FALSE), 0), 0)</f>
        <v>0</v>
      </c>
      <c r="F30">
        <f t="shared" si="1"/>
        <v>0</v>
      </c>
      <c r="H30">
        <f>IF(AND(G30="Gestor", A30&lt;&gt;""), VLOOKUP(A30, Configuracion!$A:$D, 4, FALSE), 0)*Tabla1023[[#This Row],[CANTIDAD]]</f>
        <v>0</v>
      </c>
      <c r="I30" t="str">
        <f t="shared" si="0"/>
        <v/>
      </c>
    </row>
    <row r="31" spans="2:17" x14ac:dyDescent="0.3">
      <c r="B31" t="e">
        <f>IFERROR(VLOOKUP(A31,miercoles!$A:$I,9,FALSE),IFERROR(VLOOKUP(A31,martes!$A:$I,9,FALSE),IFERROR(VLOOKUP(A31,lunes!$A:$I,9,FALSE),VLOOKUP(A31,Configuracion!$A:$B,2,FALSE))))</f>
        <v>#N/A</v>
      </c>
      <c r="E31">
        <f>IF(C31="Venta", IFERROR(VLOOKUP(A31, Configuracion!$A:$D, 3, FALSE), 0), 0)</f>
        <v>0</v>
      </c>
      <c r="F31">
        <f t="shared" si="1"/>
        <v>0</v>
      </c>
      <c r="H31">
        <f>IF(AND(G31="Gestor", A31&lt;&gt;""), VLOOKUP(A31, Configuracion!$A:$D, 4, FALSE), 0)*Tabla1023[[#This Row],[CANTIDAD]]</f>
        <v>0</v>
      </c>
      <c r="I31" t="str">
        <f t="shared" si="0"/>
        <v/>
      </c>
    </row>
    <row r="32" spans="2:17" x14ac:dyDescent="0.3">
      <c r="B32" t="e">
        <f>IFERROR(VLOOKUP(A32,miercoles!$A:$I,9,FALSE),IFERROR(VLOOKUP(A32,martes!$A:$I,9,FALSE),IFERROR(VLOOKUP(A32,lunes!$A:$I,9,FALSE),VLOOKUP(A32,Configuracion!$A:$B,2,FALSE))))</f>
        <v>#N/A</v>
      </c>
      <c r="E32">
        <f>IF(C32="Venta", IFERROR(VLOOKUP(A32, Configuracion!$A:$D, 3, FALSE), 0), 0)</f>
        <v>0</v>
      </c>
      <c r="F32">
        <f t="shared" si="1"/>
        <v>0</v>
      </c>
      <c r="H32">
        <f>IF(AND(G32="Gestor", A32&lt;&gt;""), VLOOKUP(A32, Configuracion!$A:$D, 4, FALSE), 0)*Tabla1023[[#This Row],[CANTIDAD]]</f>
        <v>0</v>
      </c>
      <c r="I32" t="str">
        <f t="shared" si="0"/>
        <v/>
      </c>
    </row>
    <row r="33" spans="2:14" x14ac:dyDescent="0.3">
      <c r="B33" t="e">
        <f>IFERROR(VLOOKUP(A33,miercoles!$A:$I,9,FALSE),IFERROR(VLOOKUP(A33,martes!$A:$I,9,FALSE),IFERROR(VLOOKUP(A33,lunes!$A:$I,9,FALSE),VLOOKUP(A33,Configuracion!$A:$B,2,FALSE))))</f>
        <v>#N/A</v>
      </c>
      <c r="E33">
        <f>IF(C33="Venta", IFERROR(VLOOKUP(A33, Configuracion!$A:$D, 3, FALSE), 0), 0)</f>
        <v>0</v>
      </c>
      <c r="F33">
        <f t="shared" si="1"/>
        <v>0</v>
      </c>
      <c r="H33">
        <f>IF(AND(G33="Gestor", A33&lt;&gt;""), VLOOKUP(A33, Configuracion!$A:$D, 4, FALSE), 0)*Tabla1023[[#This Row],[CANTIDAD]]</f>
        <v>0</v>
      </c>
      <c r="I33" t="str">
        <f t="shared" si="0"/>
        <v/>
      </c>
    </row>
    <row r="34" spans="2:14" x14ac:dyDescent="0.3">
      <c r="B34" t="e">
        <f>IFERROR(VLOOKUP(A34,miercoles!$A:$I,9,FALSE),IFERROR(VLOOKUP(A34,martes!$A:$I,9,FALSE),IFERROR(VLOOKUP(A34,lunes!$A:$I,9,FALSE),VLOOKUP(A34,Configuracion!$A:$B,2,FALSE))))</f>
        <v>#N/A</v>
      </c>
      <c r="E34">
        <f>IF(C34="Venta", IFERROR(VLOOKUP(A34, Configuracion!$A:$D, 3, FALSE), 0), 0)</f>
        <v>0</v>
      </c>
      <c r="F34">
        <f t="shared" si="1"/>
        <v>0</v>
      </c>
      <c r="H34">
        <f>IF(AND(G34="Gestor", A34&lt;&gt;""), VLOOKUP(A34, Configuracion!$A:$D, 4, FALSE), 0)*Tabla1023[[#This Row],[CANTIDAD]]</f>
        <v>0</v>
      </c>
      <c r="I34" t="str">
        <f t="shared" ref="I34:I65" si="2">IF(OR(A34="", D34=""), "", IF(C34="Entrada", B34+D34, IF(OR(C34="Venta", C34="Salida"), B34-D34, B34)))</f>
        <v/>
      </c>
    </row>
    <row r="35" spans="2:14" x14ac:dyDescent="0.3">
      <c r="B35" t="e">
        <f>IFERROR(VLOOKUP(A35,miercoles!$A:$I,9,FALSE),IFERROR(VLOOKUP(A35,martes!$A:$I,9,FALSE),IFERROR(VLOOKUP(A35,lunes!$A:$I,9,FALSE),VLOOKUP(A35,Configuracion!$A:$B,2,FALSE))))</f>
        <v>#N/A</v>
      </c>
      <c r="E35">
        <f>IF(C35="Venta", IFERROR(VLOOKUP(A35, Configuracion!$A:$D, 3, FALSE), 0), 0)</f>
        <v>0</v>
      </c>
      <c r="F35">
        <f t="shared" si="1"/>
        <v>0</v>
      </c>
      <c r="H35">
        <f>IF(AND(G35="Gestor", A35&lt;&gt;""), VLOOKUP(A35, Configuracion!$A:$D, 4, FALSE), 0)*Tabla1023[[#This Row],[CANTIDAD]]</f>
        <v>0</v>
      </c>
      <c r="I35" t="str">
        <f t="shared" si="2"/>
        <v/>
      </c>
      <c r="N35" s="1"/>
    </row>
    <row r="36" spans="2:14" x14ac:dyDescent="0.3">
      <c r="B36" t="e">
        <f>IFERROR(VLOOKUP(A36,miercoles!$A:$I,9,FALSE),IFERROR(VLOOKUP(A36,martes!$A:$I,9,FALSE),IFERROR(VLOOKUP(A36,lunes!$A:$I,9,FALSE),VLOOKUP(A36,Configuracion!$A:$B,2,FALSE))))</f>
        <v>#N/A</v>
      </c>
      <c r="E36">
        <f>IF(C36="Venta", IFERROR(VLOOKUP(A36, Configuracion!$A:$D, 3, FALSE), 0), 0)</f>
        <v>0</v>
      </c>
      <c r="F36">
        <f t="shared" si="1"/>
        <v>0</v>
      </c>
      <c r="H36">
        <f>IF(AND(G36="Gestor", A36&lt;&gt;""), VLOOKUP(A36, Configuracion!$A:$D, 4, FALSE), 0)*Tabla1023[[#This Row],[CANTIDAD]]</f>
        <v>0</v>
      </c>
      <c r="I36" t="str">
        <f t="shared" si="2"/>
        <v/>
      </c>
      <c r="N36" s="1"/>
    </row>
    <row r="37" spans="2:14" x14ac:dyDescent="0.3">
      <c r="B37" t="e">
        <f>IFERROR(VLOOKUP(A37,miercoles!$A:$I,9,FALSE),IFERROR(VLOOKUP(A37,martes!$A:$I,9,FALSE),IFERROR(VLOOKUP(A37,lunes!$A:$I,9,FALSE),VLOOKUP(A37,Configuracion!$A:$B,2,FALSE))))</f>
        <v>#N/A</v>
      </c>
      <c r="E37">
        <f>IF(C37="Venta", IFERROR(VLOOKUP(A37, Configuracion!$A:$D, 3, FALSE), 0), 0)</f>
        <v>0</v>
      </c>
      <c r="F37">
        <f t="shared" si="1"/>
        <v>0</v>
      </c>
      <c r="H37">
        <f>IF(AND(G37="Gestor", A37&lt;&gt;""), VLOOKUP(A37, Configuracion!$A:$D, 4, FALSE), 0)*Tabla1023[[#This Row],[CANTIDAD]]</f>
        <v>0</v>
      </c>
      <c r="I37" t="str">
        <f t="shared" si="2"/>
        <v/>
      </c>
      <c r="N37" s="1"/>
    </row>
    <row r="38" spans="2:14" x14ac:dyDescent="0.3">
      <c r="B38" t="e">
        <f>IFERROR(VLOOKUP(A38,miercoles!$A:$I,9,FALSE),IFERROR(VLOOKUP(A38,martes!$A:$I,9,FALSE),IFERROR(VLOOKUP(A38,lunes!$A:$I,9,FALSE),VLOOKUP(A38,Configuracion!$A:$B,2,FALSE))))</f>
        <v>#N/A</v>
      </c>
      <c r="E38">
        <f>IF(C38="Venta", IFERROR(VLOOKUP(A38, Configuracion!$A:$D, 3, FALSE), 0), 0)</f>
        <v>0</v>
      </c>
      <c r="F38">
        <f t="shared" si="1"/>
        <v>0</v>
      </c>
      <c r="H38">
        <f>IF(AND(G38="Gestor", A38&lt;&gt;""), VLOOKUP(A38, Configuracion!$A:$D, 4, FALSE), 0)*Tabla1023[[#This Row],[CANTIDAD]]</f>
        <v>0</v>
      </c>
      <c r="I38" t="str">
        <f t="shared" si="2"/>
        <v/>
      </c>
      <c r="N38" s="1"/>
    </row>
    <row r="39" spans="2:14" x14ac:dyDescent="0.3">
      <c r="B39" t="e">
        <f>IFERROR(VLOOKUP(A39,miercoles!$A:$I,9,FALSE),IFERROR(VLOOKUP(A39,martes!$A:$I,9,FALSE),IFERROR(VLOOKUP(A39,lunes!$A:$I,9,FALSE),VLOOKUP(A39,Configuracion!$A:$B,2,FALSE))))</f>
        <v>#N/A</v>
      </c>
      <c r="E39">
        <f>IF(C39="Venta", IFERROR(VLOOKUP(A39, Configuracion!$A:$D, 3, FALSE), 0), 0)</f>
        <v>0</v>
      </c>
      <c r="F39">
        <f t="shared" si="1"/>
        <v>0</v>
      </c>
      <c r="H39">
        <f>IF(AND(G39="Gestor", A39&lt;&gt;""), VLOOKUP(A39, Configuracion!$A:$D, 4, FALSE), 0)*Tabla1023[[#This Row],[CANTIDAD]]</f>
        <v>0</v>
      </c>
      <c r="I39" t="str">
        <f t="shared" si="2"/>
        <v/>
      </c>
      <c r="N39" s="1"/>
    </row>
    <row r="40" spans="2:14" x14ac:dyDescent="0.3">
      <c r="B40" t="e">
        <f>IFERROR(VLOOKUP(A40,miercoles!$A:$I,9,FALSE),IFERROR(VLOOKUP(A40,martes!$A:$I,9,FALSE),IFERROR(VLOOKUP(A40,lunes!$A:$I,9,FALSE),VLOOKUP(A40,Configuracion!$A:$B,2,FALSE))))</f>
        <v>#N/A</v>
      </c>
      <c r="E40">
        <f>IF(C40="Venta", IFERROR(VLOOKUP(A40, Configuracion!$A:$D, 3, FALSE), 0), 0)</f>
        <v>0</v>
      </c>
      <c r="F40">
        <f t="shared" si="1"/>
        <v>0</v>
      </c>
      <c r="H40">
        <f>IF(AND(G40="Gestor", A40&lt;&gt;""), VLOOKUP(A40, Configuracion!$A:$D, 4, FALSE), 0)*Tabla1023[[#This Row],[CANTIDAD]]</f>
        <v>0</v>
      </c>
      <c r="I40" t="str">
        <f t="shared" si="2"/>
        <v/>
      </c>
      <c r="N40" s="1"/>
    </row>
    <row r="41" spans="2:14" x14ac:dyDescent="0.3">
      <c r="B41" t="e">
        <f>IFERROR(VLOOKUP(A41,miercoles!$A:$I,9,FALSE),IFERROR(VLOOKUP(A41,martes!$A:$I,9,FALSE),IFERROR(VLOOKUP(A41,lunes!$A:$I,9,FALSE),VLOOKUP(A41,Configuracion!$A:$B,2,FALSE))))</f>
        <v>#N/A</v>
      </c>
      <c r="E41">
        <f>IF(C41="Venta", IFERROR(VLOOKUP(A41, Configuracion!$A:$D, 3, FALSE), 0), 0)</f>
        <v>0</v>
      </c>
      <c r="F41">
        <f t="shared" si="1"/>
        <v>0</v>
      </c>
      <c r="H41">
        <f>IF(AND(G41="Gestor", A41&lt;&gt;""), VLOOKUP(A41, Configuracion!$A:$D, 4, FALSE), 0)*Tabla1023[[#This Row],[CANTIDAD]]</f>
        <v>0</v>
      </c>
      <c r="I41" t="str">
        <f t="shared" si="2"/>
        <v/>
      </c>
    </row>
    <row r="42" spans="2:14" x14ac:dyDescent="0.3">
      <c r="B42" t="e">
        <f>IFERROR(VLOOKUP(A42,miercoles!$A:$I,9,FALSE),IFERROR(VLOOKUP(A42,martes!$A:$I,9,FALSE),IFERROR(VLOOKUP(A42,lunes!$A:$I,9,FALSE),VLOOKUP(A42,Configuracion!$A:$B,2,FALSE))))</f>
        <v>#N/A</v>
      </c>
      <c r="E42">
        <f>IF(C42="Venta", IFERROR(VLOOKUP(A42, Configuracion!$A:$D, 3, FALSE), 0), 0)</f>
        <v>0</v>
      </c>
      <c r="F42">
        <f t="shared" si="1"/>
        <v>0</v>
      </c>
      <c r="H42">
        <f>IF(AND(G42="Gestor", A42&lt;&gt;""), VLOOKUP(A42, Configuracion!$A:$D, 4, FALSE), 0)*Tabla1023[[#This Row],[CANTIDAD]]</f>
        <v>0</v>
      </c>
      <c r="I42" t="str">
        <f t="shared" si="2"/>
        <v/>
      </c>
    </row>
    <row r="43" spans="2:14" x14ac:dyDescent="0.3">
      <c r="B43" t="e">
        <f>IFERROR(VLOOKUP(A43,miercoles!$A:$I,9,FALSE),IFERROR(VLOOKUP(A43,martes!$A:$I,9,FALSE),IFERROR(VLOOKUP(A43,lunes!$A:$I,9,FALSE),VLOOKUP(A43,Configuracion!$A:$B,2,FALSE))))</f>
        <v>#N/A</v>
      </c>
      <c r="E43">
        <f>IF(C43="Venta", IFERROR(VLOOKUP(A43, Configuracion!$A:$D, 3, FALSE), 0), 0)</f>
        <v>0</v>
      </c>
      <c r="F43">
        <f t="shared" si="1"/>
        <v>0</v>
      </c>
      <c r="H43">
        <f>IF(AND(G43="Gestor", A43&lt;&gt;""), VLOOKUP(A43, Configuracion!$A:$D, 4, FALSE), 0)*Tabla1023[[#This Row],[CANTIDAD]]</f>
        <v>0</v>
      </c>
      <c r="I43" t="str">
        <f t="shared" si="2"/>
        <v/>
      </c>
    </row>
    <row r="44" spans="2:14" x14ac:dyDescent="0.3">
      <c r="B44" t="e">
        <f>IFERROR(VLOOKUP(A44,miercoles!$A:$I,9,FALSE),IFERROR(VLOOKUP(A44,martes!$A:$I,9,FALSE),IFERROR(VLOOKUP(A44,lunes!$A:$I,9,FALSE),VLOOKUP(A44,Configuracion!$A:$B,2,FALSE))))</f>
        <v>#N/A</v>
      </c>
      <c r="E44">
        <f>IF(C44="Venta", IFERROR(VLOOKUP(A44, Configuracion!$A:$D, 3, FALSE), 0), 0)</f>
        <v>0</v>
      </c>
      <c r="F44">
        <f t="shared" si="1"/>
        <v>0</v>
      </c>
      <c r="H44">
        <f>IF(AND(G44="Gestor", A44&lt;&gt;""), VLOOKUP(A44, Configuracion!$A:$D, 4, FALSE), 0)*Tabla1023[[#This Row],[CANTIDAD]]</f>
        <v>0</v>
      </c>
      <c r="I44" t="str">
        <f t="shared" si="2"/>
        <v/>
      </c>
      <c r="N44" s="1"/>
    </row>
    <row r="45" spans="2:14" x14ac:dyDescent="0.3">
      <c r="B45" t="e">
        <f>IFERROR(VLOOKUP(A45,miercoles!$A:$I,9,FALSE),IFERROR(VLOOKUP(A45,martes!$A:$I,9,FALSE),IFERROR(VLOOKUP(A45,lunes!$A:$I,9,FALSE),VLOOKUP(A45,Configuracion!$A:$B,2,FALSE))))</f>
        <v>#N/A</v>
      </c>
      <c r="E45">
        <f>IF(C45="Venta", IFERROR(VLOOKUP(A45, Configuracion!$A:$D, 3, FALSE), 0), 0)</f>
        <v>0</v>
      </c>
      <c r="F45">
        <f t="shared" si="1"/>
        <v>0</v>
      </c>
      <c r="H45">
        <f>IF(AND(G45="Gestor", A45&lt;&gt;""), VLOOKUP(A45, Configuracion!$A:$D, 4, FALSE), 0)*Tabla1023[[#This Row],[CANTIDAD]]</f>
        <v>0</v>
      </c>
      <c r="I45" t="str">
        <f t="shared" si="2"/>
        <v/>
      </c>
    </row>
    <row r="46" spans="2:14" x14ac:dyDescent="0.3">
      <c r="B46" t="e">
        <f>IFERROR(VLOOKUP(A46,miercoles!$A:$I,9,FALSE),IFERROR(VLOOKUP(A46,martes!$A:$I,9,FALSE),IFERROR(VLOOKUP(A46,lunes!$A:$I,9,FALSE),VLOOKUP(A46,Configuracion!$A:$B,2,FALSE))))</f>
        <v>#N/A</v>
      </c>
      <c r="E46">
        <f>IF(C46="Venta", IFERROR(VLOOKUP(A46, Configuracion!$A:$D, 3, FALSE), 0), 0)</f>
        <v>0</v>
      </c>
      <c r="F46">
        <f t="shared" si="1"/>
        <v>0</v>
      </c>
      <c r="H46">
        <f>IF(AND(G46="Gestor", A46&lt;&gt;""), VLOOKUP(A46, Configuracion!$A:$D, 4, FALSE), 0)*Tabla1023[[#This Row],[CANTIDAD]]</f>
        <v>0</v>
      </c>
      <c r="I46" t="str">
        <f t="shared" si="2"/>
        <v/>
      </c>
    </row>
    <row r="47" spans="2:14" x14ac:dyDescent="0.3">
      <c r="B47" t="e">
        <f>IFERROR(VLOOKUP(A47,miercoles!$A:$I,9,FALSE),IFERROR(VLOOKUP(A47,martes!$A:$I,9,FALSE),IFERROR(VLOOKUP(A47,lunes!$A:$I,9,FALSE),VLOOKUP(A47,Configuracion!$A:$B,2,FALSE))))</f>
        <v>#N/A</v>
      </c>
      <c r="E47">
        <f>IF(C47="Venta", IFERROR(VLOOKUP(A47, Configuracion!$A:$D, 3, FALSE), 0), 0)</f>
        <v>0</v>
      </c>
      <c r="F47">
        <f t="shared" si="1"/>
        <v>0</v>
      </c>
      <c r="H47">
        <f>IF(AND(G47="Gestor", A47&lt;&gt;""), VLOOKUP(A47, Configuracion!$A:$D, 4, FALSE), 0)*Tabla1023[[#This Row],[CANTIDAD]]</f>
        <v>0</v>
      </c>
      <c r="I47" t="str">
        <f t="shared" si="2"/>
        <v/>
      </c>
    </row>
    <row r="48" spans="2:14" x14ac:dyDescent="0.3">
      <c r="B48" t="e">
        <f>IFERROR(VLOOKUP(A48,miercoles!$A:$I,9,FALSE),IFERROR(VLOOKUP(A48,martes!$A:$I,9,FALSE),IFERROR(VLOOKUP(A48,lunes!$A:$I,9,FALSE),VLOOKUP(A48,Configuracion!$A:$B,2,FALSE))))</f>
        <v>#N/A</v>
      </c>
      <c r="E48">
        <f>IF(C48="Venta", IFERROR(VLOOKUP(A48, Configuracion!$A:$D, 3, FALSE), 0), 0)</f>
        <v>0</v>
      </c>
      <c r="F48">
        <f t="shared" si="1"/>
        <v>0</v>
      </c>
      <c r="H48">
        <f>IF(AND(G48="Gestor", A48&lt;&gt;""), VLOOKUP(A48, Configuracion!$A:$D, 4, FALSE), 0)*Tabla1023[[#This Row],[CANTIDAD]]</f>
        <v>0</v>
      </c>
      <c r="I48" t="str">
        <f t="shared" si="2"/>
        <v/>
      </c>
    </row>
    <row r="49" spans="2:9" x14ac:dyDescent="0.3">
      <c r="B49" t="e">
        <f>IFERROR(VLOOKUP(A49,miercoles!$A:$I,9,FALSE),IFERROR(VLOOKUP(A49,martes!$A:$I,9,FALSE),IFERROR(VLOOKUP(A49,lunes!$A:$I,9,FALSE),VLOOKUP(A49,Configuracion!$A:$B,2,FALSE))))</f>
        <v>#N/A</v>
      </c>
      <c r="E49">
        <f>IF(C49="Venta", IFERROR(VLOOKUP(A49, Configuracion!$A:$D, 3, FALSE), 0), 0)</f>
        <v>0</v>
      </c>
      <c r="F49">
        <f t="shared" si="1"/>
        <v>0</v>
      </c>
      <c r="H49">
        <f>IF(AND(G49="Gestor", A49&lt;&gt;""), VLOOKUP(A49, Configuracion!$A:$D, 4, FALSE), 0)*Tabla1023[[#This Row],[CANTIDAD]]</f>
        <v>0</v>
      </c>
      <c r="I49" t="str">
        <f t="shared" si="2"/>
        <v/>
      </c>
    </row>
    <row r="50" spans="2:9" x14ac:dyDescent="0.3">
      <c r="B50" t="e">
        <f>IFERROR(VLOOKUP(A50,miercoles!$A:$I,9,FALSE),IFERROR(VLOOKUP(A50,martes!$A:$I,9,FALSE),IFERROR(VLOOKUP(A50,lunes!$A:$I,9,FALSE),VLOOKUP(A50,Configuracion!$A:$B,2,FALSE))))</f>
        <v>#N/A</v>
      </c>
      <c r="E50">
        <f>IF(C50="Venta", IFERROR(VLOOKUP(A50, Configuracion!$A:$D, 3, FALSE), 0), 0)</f>
        <v>0</v>
      </c>
      <c r="F50">
        <f t="shared" si="1"/>
        <v>0</v>
      </c>
      <c r="H50">
        <f>IF(AND(G50="Gestor", A50&lt;&gt;""), VLOOKUP(A50, Configuracion!$A:$D, 4, FALSE), 0)*Tabla1023[[#This Row],[CANTIDAD]]</f>
        <v>0</v>
      </c>
      <c r="I50" t="str">
        <f t="shared" si="2"/>
        <v/>
      </c>
    </row>
    <row r="51" spans="2:9" x14ac:dyDescent="0.3">
      <c r="B51" t="e">
        <f>IFERROR(VLOOKUP(A51,miercoles!$A:$I,9,FALSE),IFERROR(VLOOKUP(A51,martes!$A:$I,9,FALSE),IFERROR(VLOOKUP(A51,lunes!$A:$I,9,FALSE),VLOOKUP(A51,Configuracion!$A:$B,2,FALSE))))</f>
        <v>#N/A</v>
      </c>
      <c r="E51">
        <f>IF(C51="Venta", IFERROR(VLOOKUP(A51, Configuracion!$A:$D, 3, FALSE), 0), 0)</f>
        <v>0</v>
      </c>
      <c r="F51">
        <f t="shared" si="1"/>
        <v>0</v>
      </c>
      <c r="H51">
        <f>IF(AND(G51="Gestor", A51&lt;&gt;""), VLOOKUP(A51, Configuracion!$A:$D, 4, FALSE), 0)*Tabla1023[[#This Row],[CANTIDAD]]</f>
        <v>0</v>
      </c>
      <c r="I51" t="str">
        <f t="shared" si="2"/>
        <v/>
      </c>
    </row>
    <row r="52" spans="2:9" x14ac:dyDescent="0.3">
      <c r="B52" t="e">
        <f>IFERROR(VLOOKUP(A52,miercoles!$A:$I,9,FALSE),IFERROR(VLOOKUP(A52,martes!$A:$I,9,FALSE),IFERROR(VLOOKUP(A52,lunes!$A:$I,9,FALSE),VLOOKUP(A52,Configuracion!$A:$B,2,FALSE))))</f>
        <v>#N/A</v>
      </c>
      <c r="E52">
        <f>IF(C52="Venta", IFERROR(VLOOKUP(A52, Configuracion!$A:$D, 3, FALSE), 0), 0)</f>
        <v>0</v>
      </c>
      <c r="F52">
        <f t="shared" si="1"/>
        <v>0</v>
      </c>
      <c r="H52">
        <f>IF(AND(G52="Gestor", A52&lt;&gt;""), VLOOKUP(A52, Configuracion!$A:$D, 4, FALSE), 0)*Tabla1023[[#This Row],[CANTIDAD]]</f>
        <v>0</v>
      </c>
      <c r="I52" t="str">
        <f t="shared" si="2"/>
        <v/>
      </c>
    </row>
    <row r="53" spans="2:9" x14ac:dyDescent="0.3">
      <c r="B53" t="e">
        <f>IFERROR(VLOOKUP(A53,miercoles!$A:$I,9,FALSE),IFERROR(VLOOKUP(A53,martes!$A:$I,9,FALSE),IFERROR(VLOOKUP(A53,lunes!$A:$I,9,FALSE),VLOOKUP(A53,Configuracion!$A:$B,2,FALSE))))</f>
        <v>#N/A</v>
      </c>
      <c r="E53">
        <f>IF(C53="Venta", IFERROR(VLOOKUP(A53, Configuracion!$A:$D, 3, FALSE), 0), 0)</f>
        <v>0</v>
      </c>
      <c r="F53">
        <f t="shared" si="1"/>
        <v>0</v>
      </c>
      <c r="H53">
        <f>IF(AND(G53="Gestor", A53&lt;&gt;""), VLOOKUP(A53, Configuracion!$A:$D, 4, FALSE), 0)*Tabla1023[[#This Row],[CANTIDAD]]</f>
        <v>0</v>
      </c>
      <c r="I53" t="str">
        <f t="shared" si="2"/>
        <v/>
      </c>
    </row>
    <row r="54" spans="2:9" x14ac:dyDescent="0.3">
      <c r="B54" t="e">
        <f>IFERROR(VLOOKUP(A54,miercoles!$A:$I,9,FALSE),IFERROR(VLOOKUP(A54,martes!$A:$I,9,FALSE),IFERROR(VLOOKUP(A54,lunes!$A:$I,9,FALSE),VLOOKUP(A54,Configuracion!$A:$B,2,FALSE))))</f>
        <v>#N/A</v>
      </c>
      <c r="E54">
        <f>IF(C54="Venta", IFERROR(VLOOKUP(A54, Configuracion!$A:$D, 3, FALSE), 0), 0)</f>
        <v>0</v>
      </c>
      <c r="F54">
        <f t="shared" si="1"/>
        <v>0</v>
      </c>
      <c r="H54">
        <f>IF(AND(G54="Gestor", A54&lt;&gt;""), VLOOKUP(A54, Configuracion!$A:$D, 4, FALSE), 0)*Tabla1023[[#This Row],[CANTIDAD]]</f>
        <v>0</v>
      </c>
      <c r="I54" t="str">
        <f t="shared" si="2"/>
        <v/>
      </c>
    </row>
    <row r="55" spans="2:9" x14ac:dyDescent="0.3">
      <c r="B55" t="e">
        <f>IFERROR(VLOOKUP(A55,miercoles!$A:$I,9,FALSE),IFERROR(VLOOKUP(A55,martes!$A:$I,9,FALSE),IFERROR(VLOOKUP(A55,lunes!$A:$I,9,FALSE),VLOOKUP(A55,Configuracion!$A:$B,2,FALSE))))</f>
        <v>#N/A</v>
      </c>
      <c r="E55">
        <f>IF(C55="Venta", IFERROR(VLOOKUP(A55, Configuracion!$A:$D, 3, FALSE), 0), 0)</f>
        <v>0</v>
      </c>
      <c r="F55">
        <f t="shared" si="1"/>
        <v>0</v>
      </c>
      <c r="H55">
        <f>IF(AND(G55="Gestor", A55&lt;&gt;""), VLOOKUP(A55, Configuracion!$A:$D, 4, FALSE), 0)*Tabla1023[[#This Row],[CANTIDAD]]</f>
        <v>0</v>
      </c>
      <c r="I55" t="str">
        <f t="shared" si="2"/>
        <v/>
      </c>
    </row>
    <row r="56" spans="2:9" x14ac:dyDescent="0.3">
      <c r="B56" t="e">
        <f>IFERROR(VLOOKUP(A56,miercoles!$A:$I,9,FALSE),IFERROR(VLOOKUP(A56,martes!$A:$I,9,FALSE),IFERROR(VLOOKUP(A56,lunes!$A:$I,9,FALSE),VLOOKUP(A56,Configuracion!$A:$B,2,FALSE))))</f>
        <v>#N/A</v>
      </c>
      <c r="E56">
        <f>IF(C56="Venta", IFERROR(VLOOKUP(A56, Configuracion!$A:$D, 3, FALSE), 0), 0)</f>
        <v>0</v>
      </c>
      <c r="F56">
        <f t="shared" si="1"/>
        <v>0</v>
      </c>
      <c r="H56">
        <f>IF(AND(G56="Gestor", A56&lt;&gt;""), VLOOKUP(A56, Configuracion!$A:$D, 4, FALSE), 0)*Tabla1023[[#This Row],[CANTIDAD]]</f>
        <v>0</v>
      </c>
      <c r="I56" t="str">
        <f t="shared" si="2"/>
        <v/>
      </c>
    </row>
    <row r="57" spans="2:9" x14ac:dyDescent="0.3">
      <c r="B57" t="e">
        <f>IFERROR(VLOOKUP(A57,miercoles!$A:$I,9,FALSE),IFERROR(VLOOKUP(A57,martes!$A:$I,9,FALSE),IFERROR(VLOOKUP(A57,lunes!$A:$I,9,FALSE),VLOOKUP(A57,Configuracion!$A:$B,2,FALSE))))</f>
        <v>#N/A</v>
      </c>
      <c r="E57">
        <f>IF(C57="Venta", IFERROR(VLOOKUP(A57, Configuracion!$A:$D, 3, FALSE), 0), 0)</f>
        <v>0</v>
      </c>
      <c r="F57">
        <f t="shared" si="1"/>
        <v>0</v>
      </c>
      <c r="H57">
        <f>IF(AND(G57="Gestor", A57&lt;&gt;""), VLOOKUP(A57, Configuracion!$A:$D, 4, FALSE), 0)*Tabla1023[[#This Row],[CANTIDAD]]</f>
        <v>0</v>
      </c>
      <c r="I57" t="str">
        <f t="shared" si="2"/>
        <v/>
      </c>
    </row>
    <row r="58" spans="2:9" x14ac:dyDescent="0.3">
      <c r="B58" t="e">
        <f>IFERROR(VLOOKUP(A58,miercoles!$A:$I,9,FALSE),IFERROR(VLOOKUP(A58,martes!$A:$I,9,FALSE),IFERROR(VLOOKUP(A58,lunes!$A:$I,9,FALSE),VLOOKUP(A58,Configuracion!$A:$B,2,FALSE))))</f>
        <v>#N/A</v>
      </c>
      <c r="E58">
        <f>IF(C58="Venta", IFERROR(VLOOKUP(A58, Configuracion!$A:$D, 3, FALSE), 0), 0)</f>
        <v>0</v>
      </c>
      <c r="F58">
        <f t="shared" si="1"/>
        <v>0</v>
      </c>
      <c r="H58">
        <f>IF(AND(G58="Gestor", A58&lt;&gt;""), VLOOKUP(A58, Configuracion!$A:$D, 4, FALSE), 0)*Tabla1023[[#This Row],[CANTIDAD]]</f>
        <v>0</v>
      </c>
      <c r="I58" t="str">
        <f t="shared" si="2"/>
        <v/>
      </c>
    </row>
    <row r="59" spans="2:9" x14ac:dyDescent="0.3">
      <c r="B59" t="e">
        <f>IFERROR(VLOOKUP(A59,miercoles!$A:$I,9,FALSE),IFERROR(VLOOKUP(A59,martes!$A:$I,9,FALSE),IFERROR(VLOOKUP(A59,lunes!$A:$I,9,FALSE),VLOOKUP(A59,Configuracion!$A:$B,2,FALSE))))</f>
        <v>#N/A</v>
      </c>
      <c r="E59">
        <f>IF(C59="Venta", IFERROR(VLOOKUP(A59, Configuracion!$A:$D, 3, FALSE), 0), 0)</f>
        <v>0</v>
      </c>
      <c r="F59">
        <f t="shared" si="1"/>
        <v>0</v>
      </c>
      <c r="H59">
        <f>IF(AND(G59="Gestor", A59&lt;&gt;""), VLOOKUP(A59, Configuracion!$A:$D, 4, FALSE), 0)*Tabla1023[[#This Row],[CANTIDAD]]</f>
        <v>0</v>
      </c>
      <c r="I59" t="str">
        <f t="shared" si="2"/>
        <v/>
      </c>
    </row>
    <row r="60" spans="2:9" x14ac:dyDescent="0.3">
      <c r="B60" t="e">
        <f>IFERROR(VLOOKUP(A60,miercoles!$A:$I,9,FALSE),IFERROR(VLOOKUP(A60,martes!$A:$I,9,FALSE),IFERROR(VLOOKUP(A60,lunes!$A:$I,9,FALSE),VLOOKUP(A60,Configuracion!$A:$B,2,FALSE))))</f>
        <v>#N/A</v>
      </c>
      <c r="E60">
        <f>IF(C60="Venta", IFERROR(VLOOKUP(A60, Configuracion!$A:$D, 3, FALSE), 0), 0)</f>
        <v>0</v>
      </c>
      <c r="F60">
        <f t="shared" si="1"/>
        <v>0</v>
      </c>
      <c r="H60">
        <f>IF(AND(G60="Gestor", A60&lt;&gt;""), VLOOKUP(A60, Configuracion!$A:$D, 4, FALSE), 0)*Tabla1023[[#This Row],[CANTIDAD]]</f>
        <v>0</v>
      </c>
      <c r="I60" t="str">
        <f t="shared" si="2"/>
        <v/>
      </c>
    </row>
    <row r="61" spans="2:9" x14ac:dyDescent="0.3">
      <c r="B61" t="e">
        <f>IFERROR(VLOOKUP(A61,miercoles!$A:$I,9,FALSE),IFERROR(VLOOKUP(A61,martes!$A:$I,9,FALSE),IFERROR(VLOOKUP(A61,lunes!$A:$I,9,FALSE),VLOOKUP(A61,Configuracion!$A:$B,2,FALSE))))</f>
        <v>#N/A</v>
      </c>
      <c r="E61">
        <f>IF(C61="Venta", IFERROR(VLOOKUP(A61, Configuracion!$A:$D, 3, FALSE), 0), 0)</f>
        <v>0</v>
      </c>
      <c r="F61">
        <f t="shared" si="1"/>
        <v>0</v>
      </c>
      <c r="H61">
        <f>IF(AND(G61="Gestor", A61&lt;&gt;""), VLOOKUP(A61, Configuracion!$A:$D, 4, FALSE), 0)*Tabla1023[[#This Row],[CANTIDAD]]</f>
        <v>0</v>
      </c>
      <c r="I61" t="str">
        <f t="shared" si="2"/>
        <v/>
      </c>
    </row>
    <row r="62" spans="2:9" x14ac:dyDescent="0.3">
      <c r="B62" t="e">
        <f>IFERROR(VLOOKUP(A62,miercoles!$A:$I,9,FALSE),IFERROR(VLOOKUP(A62,martes!$A:$I,9,FALSE),IFERROR(VLOOKUP(A62,lunes!$A:$I,9,FALSE),VLOOKUP(A62,Configuracion!$A:$B,2,FALSE))))</f>
        <v>#N/A</v>
      </c>
      <c r="E62">
        <f>IF(C62="Venta", IFERROR(VLOOKUP(A62, Configuracion!$A:$D, 3, FALSE), 0), 0)</f>
        <v>0</v>
      </c>
      <c r="F62">
        <f t="shared" si="1"/>
        <v>0</v>
      </c>
      <c r="H62">
        <f>IF(AND(G62="Gestor", A62&lt;&gt;""), VLOOKUP(A62, Configuracion!$A:$D, 4, FALSE), 0)*Tabla1023[[#This Row],[CANTIDAD]]</f>
        <v>0</v>
      </c>
      <c r="I62" t="str">
        <f t="shared" si="2"/>
        <v/>
      </c>
    </row>
    <row r="63" spans="2:9" x14ac:dyDescent="0.3">
      <c r="B63" t="e">
        <f>IFERROR(VLOOKUP(A63,miercoles!$A:$I,9,FALSE),IFERROR(VLOOKUP(A63,martes!$A:$I,9,FALSE),IFERROR(VLOOKUP(A63,lunes!$A:$I,9,FALSE),VLOOKUP(A63,Configuracion!$A:$B,2,FALSE))))</f>
        <v>#N/A</v>
      </c>
      <c r="E63">
        <f>IF(C63="Venta", IFERROR(VLOOKUP(A63, Configuracion!$A:$D, 3, FALSE), 0), 0)</f>
        <v>0</v>
      </c>
      <c r="F63">
        <f t="shared" si="1"/>
        <v>0</v>
      </c>
      <c r="H63">
        <f>IF(AND(G63="Gestor", A63&lt;&gt;""), VLOOKUP(A63, Configuracion!$A:$D, 4, FALSE), 0)*Tabla1023[[#This Row],[CANTIDAD]]</f>
        <v>0</v>
      </c>
      <c r="I63" t="str">
        <f t="shared" si="2"/>
        <v/>
      </c>
    </row>
    <row r="64" spans="2:9" x14ac:dyDescent="0.3">
      <c r="B64" t="e">
        <f>IFERROR(VLOOKUP(A64,miercoles!$A:$I,9,FALSE),IFERROR(VLOOKUP(A64,martes!$A:$I,9,FALSE),IFERROR(VLOOKUP(A64,lunes!$A:$I,9,FALSE),VLOOKUP(A64,Configuracion!$A:$B,2,FALSE))))</f>
        <v>#N/A</v>
      </c>
      <c r="E64">
        <f>IF(C64="Venta", IFERROR(VLOOKUP(A64, Configuracion!$A:$D, 3, FALSE), 0), 0)</f>
        <v>0</v>
      </c>
      <c r="F64">
        <f t="shared" si="1"/>
        <v>0</v>
      </c>
      <c r="H64">
        <f>IF(AND(G64="Gestor", A64&lt;&gt;""), VLOOKUP(A64, Configuracion!$A:$D, 4, FALSE), 0)*Tabla1023[[#This Row],[CANTIDAD]]</f>
        <v>0</v>
      </c>
      <c r="I64" t="str">
        <f t="shared" si="2"/>
        <v/>
      </c>
    </row>
    <row r="65" spans="2:9" x14ac:dyDescent="0.3">
      <c r="B65" t="e">
        <f>IFERROR(VLOOKUP(A65,miercoles!$A:$I,9,FALSE),IFERROR(VLOOKUP(A65,martes!$A:$I,9,FALSE),IFERROR(VLOOKUP(A65,lunes!$A:$I,9,FALSE),VLOOKUP(A65,Configuracion!$A:$B,2,FALSE))))</f>
        <v>#N/A</v>
      </c>
      <c r="E65">
        <f>IF(C65="Venta", IFERROR(VLOOKUP(A65, Configuracion!$A:$D, 3, FALSE), 0), 0)</f>
        <v>0</v>
      </c>
      <c r="F65">
        <f t="shared" si="1"/>
        <v>0</v>
      </c>
      <c r="H65">
        <f>IF(AND(G65="Gestor", A65&lt;&gt;""), VLOOKUP(A65, Configuracion!$A:$D, 4, FALSE), 0)*Tabla1023[[#This Row],[CANTIDAD]]</f>
        <v>0</v>
      </c>
      <c r="I65" t="str">
        <f t="shared" si="2"/>
        <v/>
      </c>
    </row>
    <row r="66" spans="2:9" x14ac:dyDescent="0.3">
      <c r="B66" t="e">
        <f>IFERROR(VLOOKUP(A66,miercoles!$A:$I,9,FALSE),IFERROR(VLOOKUP(A66,martes!$A:$I,9,FALSE),IFERROR(VLOOKUP(A66,lunes!$A:$I,9,FALSE),VLOOKUP(A66,Configuracion!$A:$B,2,FALSE))))</f>
        <v>#N/A</v>
      </c>
      <c r="E66">
        <f>IF(C66="Venta", IFERROR(VLOOKUP(A66, Configuracion!$A:$D, 3, FALSE), 0), 0)</f>
        <v>0</v>
      </c>
      <c r="F66">
        <f t="shared" si="1"/>
        <v>0</v>
      </c>
      <c r="H66">
        <f>IF(AND(G66="Gestor", A66&lt;&gt;""), VLOOKUP(A66, Configuracion!$A:$D, 4, FALSE), 0)*Tabla1023[[#This Row],[CANTIDAD]]</f>
        <v>0</v>
      </c>
      <c r="I66" t="str">
        <f t="shared" ref="I66:I97" si="3">IF(OR(A66="", D66=""), "", IF(C66="Entrada", B66+D66, IF(OR(C66="Venta", C66="Salida"), B66-D66, B66)))</f>
        <v/>
      </c>
    </row>
    <row r="67" spans="2:9" x14ac:dyDescent="0.3">
      <c r="B67" t="e">
        <f>IFERROR(VLOOKUP(A67,miercoles!$A:$I,9,FALSE),IFERROR(VLOOKUP(A67,martes!$A:$I,9,FALSE),IFERROR(VLOOKUP(A67,lunes!$A:$I,9,FALSE),VLOOKUP(A67,Configuracion!$A:$B,2,FALSE))))</f>
        <v>#N/A</v>
      </c>
      <c r="E67">
        <f>IF(C67="Venta", IFERROR(VLOOKUP(A67, Configuracion!$A:$D, 3, FALSE), 0), 0)</f>
        <v>0</v>
      </c>
      <c r="F67">
        <f t="shared" si="1"/>
        <v>0</v>
      </c>
      <c r="H67">
        <f>IF(AND(G67="Gestor", A67&lt;&gt;""), VLOOKUP(A67, Configuracion!$A:$D, 4, FALSE), 0)*Tabla1023[[#This Row],[CANTIDAD]]</f>
        <v>0</v>
      </c>
      <c r="I67" t="str">
        <f t="shared" si="3"/>
        <v/>
      </c>
    </row>
    <row r="68" spans="2:9" x14ac:dyDescent="0.3">
      <c r="B68" t="e">
        <f>IFERROR(VLOOKUP(A68,miercoles!$A:$I,9,FALSE),IFERROR(VLOOKUP(A68,martes!$A:$I,9,FALSE),IFERROR(VLOOKUP(A68,lunes!$A:$I,9,FALSE),VLOOKUP(A68,Configuracion!$A:$B,2,FALSE))))</f>
        <v>#N/A</v>
      </c>
      <c r="E68">
        <f>IF(C68="Venta", IFERROR(VLOOKUP(A68, Configuracion!$A:$D, 3, FALSE), 0), 0)</f>
        <v>0</v>
      </c>
      <c r="F68">
        <f t="shared" ref="F68:F131" si="4">E68*D68</f>
        <v>0</v>
      </c>
      <c r="H68">
        <f>IF(AND(G68="Gestor", A68&lt;&gt;""), VLOOKUP(A68, Configuracion!$A:$D, 4, FALSE), 0)*Tabla1023[[#This Row],[CANTIDAD]]</f>
        <v>0</v>
      </c>
      <c r="I68" t="str">
        <f t="shared" si="3"/>
        <v/>
      </c>
    </row>
    <row r="69" spans="2:9" x14ac:dyDescent="0.3">
      <c r="B69" t="e">
        <f>IFERROR(VLOOKUP(A69,miercoles!$A:$I,9,FALSE),IFERROR(VLOOKUP(A69,martes!$A:$I,9,FALSE),IFERROR(VLOOKUP(A69,lunes!$A:$I,9,FALSE),VLOOKUP(A69,Configuracion!$A:$B,2,FALSE))))</f>
        <v>#N/A</v>
      </c>
      <c r="E69">
        <f>IF(C69="Venta", IFERROR(VLOOKUP(A69, Configuracion!$A:$D, 3, FALSE), 0), 0)</f>
        <v>0</v>
      </c>
      <c r="F69">
        <f t="shared" si="4"/>
        <v>0</v>
      </c>
      <c r="H69">
        <f>IF(AND(G69="Gestor", A69&lt;&gt;""), VLOOKUP(A69, Configuracion!$A:$D, 4, FALSE), 0)*Tabla1023[[#This Row],[CANTIDAD]]</f>
        <v>0</v>
      </c>
      <c r="I69" t="str">
        <f t="shared" si="3"/>
        <v/>
      </c>
    </row>
    <row r="70" spans="2:9" x14ac:dyDescent="0.3">
      <c r="B70" t="e">
        <f>IFERROR(VLOOKUP(A70,miercoles!$A:$I,9,FALSE),IFERROR(VLOOKUP(A70,martes!$A:$I,9,FALSE),IFERROR(VLOOKUP(A70,lunes!$A:$I,9,FALSE),VLOOKUP(A70,Configuracion!$A:$B,2,FALSE))))</f>
        <v>#N/A</v>
      </c>
      <c r="E70">
        <f>IF(C70="Venta", IFERROR(VLOOKUP(A70, Configuracion!$A:$D, 3, FALSE), 0), 0)</f>
        <v>0</v>
      </c>
      <c r="F70">
        <f t="shared" si="4"/>
        <v>0</v>
      </c>
      <c r="H70">
        <f>IF(AND(G70="Gestor", A70&lt;&gt;""), VLOOKUP(A70, Configuracion!$A:$D, 4, FALSE), 0)*Tabla1023[[#This Row],[CANTIDAD]]</f>
        <v>0</v>
      </c>
      <c r="I70" t="str">
        <f t="shared" si="3"/>
        <v/>
      </c>
    </row>
    <row r="71" spans="2:9" x14ac:dyDescent="0.3">
      <c r="B71" t="e">
        <f>IFERROR(VLOOKUP(A71,miercoles!$A:$I,9,FALSE),IFERROR(VLOOKUP(A71,martes!$A:$I,9,FALSE),IFERROR(VLOOKUP(A71,lunes!$A:$I,9,FALSE),VLOOKUP(A71,Configuracion!$A:$B,2,FALSE))))</f>
        <v>#N/A</v>
      </c>
      <c r="E71">
        <f>IF(C71="Venta", IFERROR(VLOOKUP(A71, Configuracion!$A:$D, 3, FALSE), 0), 0)</f>
        <v>0</v>
      </c>
      <c r="F71">
        <f t="shared" si="4"/>
        <v>0</v>
      </c>
      <c r="H71">
        <f>IF(AND(G71="Gestor", A71&lt;&gt;""), VLOOKUP(A71, Configuracion!$A:$D, 4, FALSE), 0)*Tabla1023[[#This Row],[CANTIDAD]]</f>
        <v>0</v>
      </c>
      <c r="I71" t="str">
        <f t="shared" si="3"/>
        <v/>
      </c>
    </row>
    <row r="72" spans="2:9" x14ac:dyDescent="0.3">
      <c r="B72" t="e">
        <f>IFERROR(VLOOKUP(A72,miercoles!$A:$I,9,FALSE),IFERROR(VLOOKUP(A72,martes!$A:$I,9,FALSE),IFERROR(VLOOKUP(A72,lunes!$A:$I,9,FALSE),VLOOKUP(A72,Configuracion!$A:$B,2,FALSE))))</f>
        <v>#N/A</v>
      </c>
      <c r="E72">
        <f>IF(C72="Venta", IFERROR(VLOOKUP(A72, Configuracion!$A:$D, 3, FALSE), 0), 0)</f>
        <v>0</v>
      </c>
      <c r="F72">
        <f t="shared" si="4"/>
        <v>0</v>
      </c>
      <c r="H72">
        <f>IF(AND(G72="Gestor", A72&lt;&gt;""), VLOOKUP(A72, Configuracion!$A:$D, 4, FALSE), 0)*Tabla1023[[#This Row],[CANTIDAD]]</f>
        <v>0</v>
      </c>
      <c r="I72" t="str">
        <f t="shared" si="3"/>
        <v/>
      </c>
    </row>
    <row r="73" spans="2:9" x14ac:dyDescent="0.3">
      <c r="B73" t="e">
        <f>IFERROR(VLOOKUP(A73,miercoles!$A:$I,9,FALSE),IFERROR(VLOOKUP(A73,martes!$A:$I,9,FALSE),IFERROR(VLOOKUP(A73,lunes!$A:$I,9,FALSE),VLOOKUP(A73,Configuracion!$A:$B,2,FALSE))))</f>
        <v>#N/A</v>
      </c>
      <c r="E73">
        <f>IF(C73="Venta", IFERROR(VLOOKUP(A73, Configuracion!$A:$D, 3, FALSE), 0), 0)</f>
        <v>0</v>
      </c>
      <c r="F73">
        <f t="shared" si="4"/>
        <v>0</v>
      </c>
      <c r="H73">
        <f>IF(AND(G73="Gestor", A73&lt;&gt;""), VLOOKUP(A73, Configuracion!$A:$D, 4, FALSE), 0)*Tabla1023[[#This Row],[CANTIDAD]]</f>
        <v>0</v>
      </c>
      <c r="I73" t="str">
        <f t="shared" si="3"/>
        <v/>
      </c>
    </row>
    <row r="74" spans="2:9" x14ac:dyDescent="0.3">
      <c r="B74" t="e">
        <f>IFERROR(VLOOKUP(A74,miercoles!$A:$I,9,FALSE),IFERROR(VLOOKUP(A74,martes!$A:$I,9,FALSE),IFERROR(VLOOKUP(A74,lunes!$A:$I,9,FALSE),VLOOKUP(A74,Configuracion!$A:$B,2,FALSE))))</f>
        <v>#N/A</v>
      </c>
      <c r="E74">
        <f>IF(C74="Venta", IFERROR(VLOOKUP(A74, Configuracion!$A:$D, 3, FALSE), 0), 0)</f>
        <v>0</v>
      </c>
      <c r="F74">
        <f t="shared" si="4"/>
        <v>0</v>
      </c>
      <c r="H74">
        <f>IF(AND(G74="Gestor", A74&lt;&gt;""), VLOOKUP(A74, Configuracion!$A:$D, 4, FALSE), 0)*Tabla1023[[#This Row],[CANTIDAD]]</f>
        <v>0</v>
      </c>
      <c r="I74" t="str">
        <f t="shared" si="3"/>
        <v/>
      </c>
    </row>
    <row r="75" spans="2:9" x14ac:dyDescent="0.3">
      <c r="B75" t="e">
        <f>IFERROR(VLOOKUP(A75,miercoles!$A:$I,9,FALSE),IFERROR(VLOOKUP(A75,martes!$A:$I,9,FALSE),IFERROR(VLOOKUP(A75,lunes!$A:$I,9,FALSE),VLOOKUP(A75,Configuracion!$A:$B,2,FALSE))))</f>
        <v>#N/A</v>
      </c>
      <c r="E75">
        <f>IF(C75="Venta", IFERROR(VLOOKUP(A75, Configuracion!$A:$D, 3, FALSE), 0), 0)</f>
        <v>0</v>
      </c>
      <c r="F75">
        <f t="shared" si="4"/>
        <v>0</v>
      </c>
      <c r="H75">
        <f>IF(AND(G75="Gestor", A75&lt;&gt;""), VLOOKUP(A75, Configuracion!$A:$D, 4, FALSE), 0)*Tabla1023[[#This Row],[CANTIDAD]]</f>
        <v>0</v>
      </c>
      <c r="I75" t="str">
        <f t="shared" si="3"/>
        <v/>
      </c>
    </row>
    <row r="76" spans="2:9" x14ac:dyDescent="0.3">
      <c r="B76" t="e">
        <f>IFERROR(VLOOKUP(A76,miercoles!$A:$I,9,FALSE),IFERROR(VLOOKUP(A76,martes!$A:$I,9,FALSE),IFERROR(VLOOKUP(A76,lunes!$A:$I,9,FALSE),VLOOKUP(A76,Configuracion!$A:$B,2,FALSE))))</f>
        <v>#N/A</v>
      </c>
      <c r="E76">
        <f>IF(C76="Venta", IFERROR(VLOOKUP(A76, Configuracion!$A:$D, 3, FALSE), 0), 0)</f>
        <v>0</v>
      </c>
      <c r="F76">
        <f t="shared" si="4"/>
        <v>0</v>
      </c>
      <c r="H76">
        <f>IF(AND(G76="Gestor", A76&lt;&gt;""), VLOOKUP(A76, Configuracion!$A:$D, 4, FALSE), 0)*Tabla1023[[#This Row],[CANTIDAD]]</f>
        <v>0</v>
      </c>
      <c r="I76" t="str">
        <f t="shared" si="3"/>
        <v/>
      </c>
    </row>
    <row r="77" spans="2:9" x14ac:dyDescent="0.3">
      <c r="B77" t="e">
        <f>IFERROR(VLOOKUP(A77,miercoles!$A:$I,9,FALSE),IFERROR(VLOOKUP(A77,martes!$A:$I,9,FALSE),IFERROR(VLOOKUP(A77,lunes!$A:$I,9,FALSE),VLOOKUP(A77,Configuracion!$A:$B,2,FALSE))))</f>
        <v>#N/A</v>
      </c>
      <c r="E77">
        <f>IF(C77="Venta", IFERROR(VLOOKUP(A77, Configuracion!$A:$D, 3, FALSE), 0), 0)</f>
        <v>0</v>
      </c>
      <c r="F77">
        <f t="shared" si="4"/>
        <v>0</v>
      </c>
      <c r="H77">
        <f>IF(AND(G77="Gestor", A77&lt;&gt;""), VLOOKUP(A77, Configuracion!$A:$D, 4, FALSE), 0)*Tabla1023[[#This Row],[CANTIDAD]]</f>
        <v>0</v>
      </c>
      <c r="I77" t="str">
        <f t="shared" si="3"/>
        <v/>
      </c>
    </row>
    <row r="78" spans="2:9" x14ac:dyDescent="0.3">
      <c r="B78" t="e">
        <f>IFERROR(VLOOKUP(A78,miercoles!$A:$I,9,FALSE),IFERROR(VLOOKUP(A78,martes!$A:$I,9,FALSE),IFERROR(VLOOKUP(A78,lunes!$A:$I,9,FALSE),VLOOKUP(A78,Configuracion!$A:$B,2,FALSE))))</f>
        <v>#N/A</v>
      </c>
      <c r="E78">
        <f>IF(C78="Venta", IFERROR(VLOOKUP(A78, Configuracion!$A:$D, 3, FALSE), 0), 0)</f>
        <v>0</v>
      </c>
      <c r="F78">
        <f t="shared" si="4"/>
        <v>0</v>
      </c>
      <c r="H78">
        <f>IF(AND(G78="Gestor", A78&lt;&gt;""), VLOOKUP(A78, Configuracion!$A:$D, 4, FALSE), 0)*Tabla1023[[#This Row],[CANTIDAD]]</f>
        <v>0</v>
      </c>
      <c r="I78" t="str">
        <f t="shared" si="3"/>
        <v/>
      </c>
    </row>
    <row r="79" spans="2:9" x14ac:dyDescent="0.3">
      <c r="B79" t="e">
        <f>IFERROR(VLOOKUP(A79,miercoles!$A:$I,9,FALSE),IFERROR(VLOOKUP(A79,martes!$A:$I,9,FALSE),IFERROR(VLOOKUP(A79,lunes!$A:$I,9,FALSE),VLOOKUP(A79,Configuracion!$A:$B,2,FALSE))))</f>
        <v>#N/A</v>
      </c>
      <c r="E79">
        <f>IF(C79="Venta", IFERROR(VLOOKUP(A79, Configuracion!$A:$D, 3, FALSE), 0), 0)</f>
        <v>0</v>
      </c>
      <c r="F79">
        <f t="shared" si="4"/>
        <v>0</v>
      </c>
      <c r="H79">
        <f>IF(AND(G79="Gestor", A79&lt;&gt;""), VLOOKUP(A79, Configuracion!$A:$D, 4, FALSE), 0)*Tabla1023[[#This Row],[CANTIDAD]]</f>
        <v>0</v>
      </c>
      <c r="I79" t="str">
        <f t="shared" si="3"/>
        <v/>
      </c>
    </row>
    <row r="80" spans="2:9" x14ac:dyDescent="0.3">
      <c r="B80" t="e">
        <f>IFERROR(VLOOKUP(A80,miercoles!$A:$I,9,FALSE),IFERROR(VLOOKUP(A80,martes!$A:$I,9,FALSE),IFERROR(VLOOKUP(A80,lunes!$A:$I,9,FALSE),VLOOKUP(A80,Configuracion!$A:$B,2,FALSE))))</f>
        <v>#N/A</v>
      </c>
      <c r="E80">
        <f>IF(C80="Venta", IFERROR(VLOOKUP(A80, Configuracion!$A:$D, 3, FALSE), 0), 0)</f>
        <v>0</v>
      </c>
      <c r="F80">
        <f t="shared" si="4"/>
        <v>0</v>
      </c>
      <c r="H80">
        <f>IF(AND(G80="Gestor", A80&lt;&gt;""), VLOOKUP(A80, Configuracion!$A:$D, 4, FALSE), 0)*Tabla1023[[#This Row],[CANTIDAD]]</f>
        <v>0</v>
      </c>
      <c r="I80" t="str">
        <f t="shared" si="3"/>
        <v/>
      </c>
    </row>
    <row r="81" spans="2:9" x14ac:dyDescent="0.3">
      <c r="B81" t="e">
        <f>IFERROR(VLOOKUP(A81,miercoles!$A:$I,9,FALSE),IFERROR(VLOOKUP(A81,martes!$A:$I,9,FALSE),IFERROR(VLOOKUP(A81,lunes!$A:$I,9,FALSE),VLOOKUP(A81,Configuracion!$A:$B,2,FALSE))))</f>
        <v>#N/A</v>
      </c>
      <c r="E81">
        <f>IF(C81="Venta", IFERROR(VLOOKUP(A81, Configuracion!$A:$D, 3, FALSE), 0), 0)</f>
        <v>0</v>
      </c>
      <c r="F81">
        <f t="shared" si="4"/>
        <v>0</v>
      </c>
      <c r="H81">
        <f>IF(AND(G81="Gestor", A81&lt;&gt;""), VLOOKUP(A81, Configuracion!$A:$D, 4, FALSE), 0)*Tabla1023[[#This Row],[CANTIDAD]]</f>
        <v>0</v>
      </c>
      <c r="I81" t="str">
        <f t="shared" si="3"/>
        <v/>
      </c>
    </row>
    <row r="82" spans="2:9" x14ac:dyDescent="0.3">
      <c r="B82" t="e">
        <f>IFERROR(VLOOKUP(A82,miercoles!$A:$I,9,FALSE),IFERROR(VLOOKUP(A82,martes!$A:$I,9,FALSE),IFERROR(VLOOKUP(A82,lunes!$A:$I,9,FALSE),VLOOKUP(A82,Configuracion!$A:$B,2,FALSE))))</f>
        <v>#N/A</v>
      </c>
      <c r="E82">
        <f>IF(C82="Venta", IFERROR(VLOOKUP(A82, Configuracion!$A:$D, 3, FALSE), 0), 0)</f>
        <v>0</v>
      </c>
      <c r="F82">
        <f t="shared" si="4"/>
        <v>0</v>
      </c>
      <c r="H82">
        <f>IF(AND(G82="Gestor", A82&lt;&gt;""), VLOOKUP(A82, Configuracion!$A:$D, 4, FALSE), 0)*Tabla1023[[#This Row],[CANTIDAD]]</f>
        <v>0</v>
      </c>
      <c r="I82" t="str">
        <f t="shared" si="3"/>
        <v/>
      </c>
    </row>
    <row r="83" spans="2:9" x14ac:dyDescent="0.3">
      <c r="B83" t="e">
        <f>IFERROR(VLOOKUP(A83,miercoles!$A:$I,9,FALSE),IFERROR(VLOOKUP(A83,martes!$A:$I,9,FALSE),IFERROR(VLOOKUP(A83,lunes!$A:$I,9,FALSE),VLOOKUP(A83,Configuracion!$A:$B,2,FALSE))))</f>
        <v>#N/A</v>
      </c>
      <c r="E83">
        <f>IF(C83="Venta", IFERROR(VLOOKUP(A83, Configuracion!$A:$D, 3, FALSE), 0), 0)</f>
        <v>0</v>
      </c>
      <c r="F83">
        <f t="shared" si="4"/>
        <v>0</v>
      </c>
      <c r="H83">
        <f>IF(AND(G83="Gestor", A83&lt;&gt;""), VLOOKUP(A83, Configuracion!$A:$D, 4, FALSE), 0)*Tabla1023[[#This Row],[CANTIDAD]]</f>
        <v>0</v>
      </c>
      <c r="I83" t="str">
        <f t="shared" si="3"/>
        <v/>
      </c>
    </row>
    <row r="84" spans="2:9" x14ac:dyDescent="0.3">
      <c r="B84" t="e">
        <f>IFERROR(VLOOKUP(A84,miercoles!$A:$I,9,FALSE),IFERROR(VLOOKUP(A84,martes!$A:$I,9,FALSE),IFERROR(VLOOKUP(A84,lunes!$A:$I,9,FALSE),VLOOKUP(A84,Configuracion!$A:$B,2,FALSE))))</f>
        <v>#N/A</v>
      </c>
      <c r="E84">
        <f>IF(C84="Venta", IFERROR(VLOOKUP(A84, Configuracion!$A:$D, 3, FALSE), 0), 0)</f>
        <v>0</v>
      </c>
      <c r="F84">
        <f t="shared" si="4"/>
        <v>0</v>
      </c>
      <c r="H84">
        <f>IF(AND(G84="Gestor", A84&lt;&gt;""), VLOOKUP(A84, Configuracion!$A:$D, 4, FALSE), 0)*Tabla1023[[#This Row],[CANTIDAD]]</f>
        <v>0</v>
      </c>
      <c r="I84" t="str">
        <f t="shared" si="3"/>
        <v/>
      </c>
    </row>
    <row r="85" spans="2:9" x14ac:dyDescent="0.3">
      <c r="B85" t="e">
        <f>IFERROR(VLOOKUP(A85,miercoles!$A:$I,9,FALSE),IFERROR(VLOOKUP(A85,martes!$A:$I,9,FALSE),IFERROR(VLOOKUP(A85,lunes!$A:$I,9,FALSE),VLOOKUP(A85,Configuracion!$A:$B,2,FALSE))))</f>
        <v>#N/A</v>
      </c>
      <c r="E85">
        <f>IF(C85="Venta", IFERROR(VLOOKUP(A85, Configuracion!$A:$D, 3, FALSE), 0), 0)</f>
        <v>0</v>
      </c>
      <c r="F85">
        <f t="shared" si="4"/>
        <v>0</v>
      </c>
      <c r="H85">
        <f>IF(AND(G85="Gestor", A85&lt;&gt;""), VLOOKUP(A85, Configuracion!$A:$D, 4, FALSE), 0)*Tabla1023[[#This Row],[CANTIDAD]]</f>
        <v>0</v>
      </c>
      <c r="I85" t="str">
        <f t="shared" si="3"/>
        <v/>
      </c>
    </row>
    <row r="86" spans="2:9" x14ac:dyDescent="0.3">
      <c r="B86" t="e">
        <f>IFERROR(VLOOKUP(A86,miercoles!$A:$I,9,FALSE),IFERROR(VLOOKUP(A86,martes!$A:$I,9,FALSE),IFERROR(VLOOKUP(A86,lunes!$A:$I,9,FALSE),VLOOKUP(A86,Configuracion!$A:$B,2,FALSE))))</f>
        <v>#N/A</v>
      </c>
      <c r="E86">
        <f>IF(C86="Venta", IFERROR(VLOOKUP(A86, Configuracion!$A:$D, 3, FALSE), 0), 0)</f>
        <v>0</v>
      </c>
      <c r="F86">
        <f t="shared" si="4"/>
        <v>0</v>
      </c>
      <c r="H86">
        <f>IF(AND(G86="Gestor", A86&lt;&gt;""), VLOOKUP(A86, Configuracion!$A:$D, 4, FALSE), 0)*Tabla1023[[#This Row],[CANTIDAD]]</f>
        <v>0</v>
      </c>
      <c r="I86" t="str">
        <f t="shared" si="3"/>
        <v/>
      </c>
    </row>
    <row r="87" spans="2:9" x14ac:dyDescent="0.3">
      <c r="B87" t="e">
        <f>IFERROR(VLOOKUP(A87,miercoles!$A:$I,9,FALSE),IFERROR(VLOOKUP(A87,martes!$A:$I,9,FALSE),IFERROR(VLOOKUP(A87,lunes!$A:$I,9,FALSE),VLOOKUP(A87,Configuracion!$A:$B,2,FALSE))))</f>
        <v>#N/A</v>
      </c>
      <c r="E87">
        <f>IF(C87="Venta", IFERROR(VLOOKUP(A87, Configuracion!$A:$D, 3, FALSE), 0), 0)</f>
        <v>0</v>
      </c>
      <c r="F87">
        <f t="shared" si="4"/>
        <v>0</v>
      </c>
      <c r="H87">
        <f>IF(AND(G87="Gestor", A87&lt;&gt;""), VLOOKUP(A87, Configuracion!$A:$D, 4, FALSE), 0)*Tabla1023[[#This Row],[CANTIDAD]]</f>
        <v>0</v>
      </c>
      <c r="I87" t="str">
        <f t="shared" si="3"/>
        <v/>
      </c>
    </row>
    <row r="88" spans="2:9" x14ac:dyDescent="0.3">
      <c r="B88" t="e">
        <f>IFERROR(VLOOKUP(A88,miercoles!$A:$I,9,FALSE),IFERROR(VLOOKUP(A88,martes!$A:$I,9,FALSE),IFERROR(VLOOKUP(A88,lunes!$A:$I,9,FALSE),VLOOKUP(A88,Configuracion!$A:$B,2,FALSE))))</f>
        <v>#N/A</v>
      </c>
      <c r="E88">
        <f>IF(C88="Venta", IFERROR(VLOOKUP(A88, Configuracion!$A:$D, 3, FALSE), 0), 0)</f>
        <v>0</v>
      </c>
      <c r="F88">
        <f t="shared" si="4"/>
        <v>0</v>
      </c>
      <c r="H88">
        <f>IF(AND(G88="Gestor", A88&lt;&gt;""), VLOOKUP(A88, Configuracion!$A:$D, 4, FALSE), 0)*Tabla1023[[#This Row],[CANTIDAD]]</f>
        <v>0</v>
      </c>
      <c r="I88" t="str">
        <f t="shared" si="3"/>
        <v/>
      </c>
    </row>
    <row r="89" spans="2:9" x14ac:dyDescent="0.3">
      <c r="B89" t="e">
        <f>IFERROR(VLOOKUP(A89,miercoles!$A:$I,9,FALSE),IFERROR(VLOOKUP(A89,martes!$A:$I,9,FALSE),IFERROR(VLOOKUP(A89,lunes!$A:$I,9,FALSE),VLOOKUP(A89,Configuracion!$A:$B,2,FALSE))))</f>
        <v>#N/A</v>
      </c>
      <c r="E89">
        <f>IF(C89="Venta", IFERROR(VLOOKUP(A89, Configuracion!$A:$D, 3, FALSE), 0), 0)</f>
        <v>0</v>
      </c>
      <c r="F89">
        <f t="shared" si="4"/>
        <v>0</v>
      </c>
      <c r="H89">
        <f>IF(AND(G89="Gestor", A89&lt;&gt;""), VLOOKUP(A89, Configuracion!$A:$D, 4, FALSE), 0)*Tabla1023[[#This Row],[CANTIDAD]]</f>
        <v>0</v>
      </c>
      <c r="I89" t="str">
        <f t="shared" si="3"/>
        <v/>
      </c>
    </row>
    <row r="90" spans="2:9" x14ac:dyDescent="0.3">
      <c r="B90" t="e">
        <f>IFERROR(VLOOKUP(A90,miercoles!$A:$I,9,FALSE),IFERROR(VLOOKUP(A90,martes!$A:$I,9,FALSE),IFERROR(VLOOKUP(A90,lunes!$A:$I,9,FALSE),VLOOKUP(A90,Configuracion!$A:$B,2,FALSE))))</f>
        <v>#N/A</v>
      </c>
      <c r="E90">
        <f>IF(C90="Venta", IFERROR(VLOOKUP(A90, Configuracion!$A:$D, 3, FALSE), 0), 0)</f>
        <v>0</v>
      </c>
      <c r="F90">
        <f t="shared" si="4"/>
        <v>0</v>
      </c>
      <c r="H90">
        <f>IF(AND(G90="Gestor", A90&lt;&gt;""), VLOOKUP(A90, Configuracion!$A:$D, 4, FALSE), 0)*Tabla1023[[#This Row],[CANTIDAD]]</f>
        <v>0</v>
      </c>
      <c r="I90" t="str">
        <f t="shared" si="3"/>
        <v/>
      </c>
    </row>
    <row r="91" spans="2:9" x14ac:dyDescent="0.3">
      <c r="B91" t="e">
        <f>IFERROR(VLOOKUP(A91,miercoles!$A:$I,9,FALSE),IFERROR(VLOOKUP(A91,martes!$A:$I,9,FALSE),IFERROR(VLOOKUP(A91,lunes!$A:$I,9,FALSE),VLOOKUP(A91,Configuracion!$A:$B,2,FALSE))))</f>
        <v>#N/A</v>
      </c>
      <c r="E91">
        <f>IF(C91="Venta", IFERROR(VLOOKUP(A91, Configuracion!$A:$D, 3, FALSE), 0), 0)</f>
        <v>0</v>
      </c>
      <c r="F91">
        <f t="shared" si="4"/>
        <v>0</v>
      </c>
      <c r="H91">
        <f>IF(AND(G91="Gestor", A91&lt;&gt;""), VLOOKUP(A91, Configuracion!$A:$D, 4, FALSE), 0)*Tabla1023[[#This Row],[CANTIDAD]]</f>
        <v>0</v>
      </c>
      <c r="I91" t="str">
        <f t="shared" si="3"/>
        <v/>
      </c>
    </row>
    <row r="92" spans="2:9" x14ac:dyDescent="0.3">
      <c r="B92" t="e">
        <f>IFERROR(VLOOKUP(A92,miercoles!$A:$I,9,FALSE),IFERROR(VLOOKUP(A92,martes!$A:$I,9,FALSE),IFERROR(VLOOKUP(A92,lunes!$A:$I,9,FALSE),VLOOKUP(A92,Configuracion!$A:$B,2,FALSE))))</f>
        <v>#N/A</v>
      </c>
      <c r="E92">
        <f>IF(C92="Venta", IFERROR(VLOOKUP(A92, Configuracion!$A:$D, 3, FALSE), 0), 0)</f>
        <v>0</v>
      </c>
      <c r="F92">
        <f t="shared" si="4"/>
        <v>0</v>
      </c>
      <c r="H92">
        <f>IF(AND(G92="Gestor", A92&lt;&gt;""), VLOOKUP(A92, Configuracion!$A:$D, 4, FALSE), 0)*Tabla1023[[#This Row],[CANTIDAD]]</f>
        <v>0</v>
      </c>
      <c r="I92" t="str">
        <f t="shared" si="3"/>
        <v/>
      </c>
    </row>
    <row r="93" spans="2:9" x14ac:dyDescent="0.3">
      <c r="B93" t="e">
        <f>IFERROR(VLOOKUP(A93,miercoles!$A:$I,9,FALSE),IFERROR(VLOOKUP(A93,martes!$A:$I,9,FALSE),IFERROR(VLOOKUP(A93,lunes!$A:$I,9,FALSE),VLOOKUP(A93,Configuracion!$A:$B,2,FALSE))))</f>
        <v>#N/A</v>
      </c>
      <c r="E93">
        <f>IF(C93="Venta", IFERROR(VLOOKUP(A93, Configuracion!$A:$D, 3, FALSE), 0), 0)</f>
        <v>0</v>
      </c>
      <c r="F93">
        <f t="shared" si="4"/>
        <v>0</v>
      </c>
      <c r="H93">
        <f>IF(AND(G93="Gestor", A93&lt;&gt;""), VLOOKUP(A93, Configuracion!$A:$D, 4, FALSE), 0)*Tabla1023[[#This Row],[CANTIDAD]]</f>
        <v>0</v>
      </c>
      <c r="I93" t="str">
        <f t="shared" si="3"/>
        <v/>
      </c>
    </row>
    <row r="94" spans="2:9" x14ac:dyDescent="0.3">
      <c r="B94" t="e">
        <f>IFERROR(VLOOKUP(A94,miercoles!$A:$I,9,FALSE),IFERROR(VLOOKUP(A94,martes!$A:$I,9,FALSE),IFERROR(VLOOKUP(A94,lunes!$A:$I,9,FALSE),VLOOKUP(A94,Configuracion!$A:$B,2,FALSE))))</f>
        <v>#N/A</v>
      </c>
      <c r="E94">
        <f>IF(C94="Venta", IFERROR(VLOOKUP(A94, Configuracion!$A:$D, 3, FALSE), 0), 0)</f>
        <v>0</v>
      </c>
      <c r="F94">
        <f t="shared" si="4"/>
        <v>0</v>
      </c>
      <c r="H94">
        <f>IF(AND(G94="Gestor", A94&lt;&gt;""), VLOOKUP(A94, Configuracion!$A:$D, 4, FALSE), 0)*Tabla1023[[#This Row],[CANTIDAD]]</f>
        <v>0</v>
      </c>
      <c r="I94" t="str">
        <f t="shared" si="3"/>
        <v/>
      </c>
    </row>
    <row r="95" spans="2:9" x14ac:dyDescent="0.3">
      <c r="B95" t="e">
        <f>IFERROR(VLOOKUP(A95,miercoles!$A:$I,9,FALSE),IFERROR(VLOOKUP(A95,martes!$A:$I,9,FALSE),IFERROR(VLOOKUP(A95,lunes!$A:$I,9,FALSE),VLOOKUP(A95,Configuracion!$A:$B,2,FALSE))))</f>
        <v>#N/A</v>
      </c>
      <c r="E95">
        <f>IF(C95="Venta", IFERROR(VLOOKUP(A95, Configuracion!$A:$D, 3, FALSE), 0), 0)</f>
        <v>0</v>
      </c>
      <c r="F95">
        <f t="shared" si="4"/>
        <v>0</v>
      </c>
      <c r="H95">
        <f>IF(AND(G95="Gestor", A95&lt;&gt;""), VLOOKUP(A95, Configuracion!$A:$D, 4, FALSE), 0)*Tabla1023[[#This Row],[CANTIDAD]]</f>
        <v>0</v>
      </c>
      <c r="I95" t="str">
        <f t="shared" si="3"/>
        <v/>
      </c>
    </row>
    <row r="96" spans="2:9" x14ac:dyDescent="0.3">
      <c r="B96" t="e">
        <f>IFERROR(VLOOKUP(A96,miercoles!$A:$I,9,FALSE),IFERROR(VLOOKUP(A96,martes!$A:$I,9,FALSE),IFERROR(VLOOKUP(A96,lunes!$A:$I,9,FALSE),VLOOKUP(A96,Configuracion!$A:$B,2,FALSE))))</f>
        <v>#N/A</v>
      </c>
      <c r="E96">
        <f>IF(C96="Venta", IFERROR(VLOOKUP(A96, Configuracion!$A:$D, 3, FALSE), 0), 0)</f>
        <v>0</v>
      </c>
      <c r="F96">
        <f t="shared" si="4"/>
        <v>0</v>
      </c>
      <c r="H96">
        <f>IF(AND(G96="Gestor", A96&lt;&gt;""), VLOOKUP(A96, Configuracion!$A:$D, 4, FALSE), 0)*Tabla1023[[#This Row],[CANTIDAD]]</f>
        <v>0</v>
      </c>
      <c r="I96" t="str">
        <f t="shared" si="3"/>
        <v/>
      </c>
    </row>
    <row r="97" spans="2:9" x14ac:dyDescent="0.3">
      <c r="B97" t="e">
        <f>IFERROR(VLOOKUP(A97,miercoles!$A:$I,9,FALSE),IFERROR(VLOOKUP(A97,martes!$A:$I,9,FALSE),IFERROR(VLOOKUP(A97,lunes!$A:$I,9,FALSE),VLOOKUP(A97,Configuracion!$A:$B,2,FALSE))))</f>
        <v>#N/A</v>
      </c>
      <c r="E97">
        <f>IF(C97="Venta", IFERROR(VLOOKUP(A97, Configuracion!$A:$D, 3, FALSE), 0), 0)</f>
        <v>0</v>
      </c>
      <c r="F97">
        <f t="shared" si="4"/>
        <v>0</v>
      </c>
      <c r="H97">
        <f>IF(AND(G97="Gestor", A97&lt;&gt;""), VLOOKUP(A97, Configuracion!$A:$D, 4, FALSE), 0)*Tabla1023[[#This Row],[CANTIDAD]]</f>
        <v>0</v>
      </c>
      <c r="I97" t="str">
        <f t="shared" si="3"/>
        <v/>
      </c>
    </row>
    <row r="98" spans="2:9" x14ac:dyDescent="0.3">
      <c r="B98" t="e">
        <f>IFERROR(VLOOKUP(A98,miercoles!$A:$I,9,FALSE),IFERROR(VLOOKUP(A98,martes!$A:$I,9,FALSE),IFERROR(VLOOKUP(A98,lunes!$A:$I,9,FALSE),VLOOKUP(A98,Configuracion!$A:$B,2,FALSE))))</f>
        <v>#N/A</v>
      </c>
      <c r="E98">
        <f>IF(C98="Venta", IFERROR(VLOOKUP(A98, Configuracion!$A:$D, 3, FALSE), 0), 0)</f>
        <v>0</v>
      </c>
      <c r="F98">
        <f t="shared" si="4"/>
        <v>0</v>
      </c>
      <c r="H98">
        <f>IF(AND(G98="Gestor", A98&lt;&gt;""), VLOOKUP(A98, Configuracion!$A:$D, 4, FALSE), 0)*Tabla1023[[#This Row],[CANTIDAD]]</f>
        <v>0</v>
      </c>
      <c r="I98" t="str">
        <f t="shared" ref="I98:I129" si="5">IF(OR(A98="", D98=""), "", IF(C98="Entrada", B98+D98, IF(OR(C98="Venta", C98="Salida"), B98-D98, B98)))</f>
        <v/>
      </c>
    </row>
    <row r="99" spans="2:9" x14ac:dyDescent="0.3">
      <c r="B99" t="e">
        <f>IFERROR(VLOOKUP(A99,miercoles!$A:$I,9,FALSE),IFERROR(VLOOKUP(A99,martes!$A:$I,9,FALSE),IFERROR(VLOOKUP(A99,lunes!$A:$I,9,FALSE),VLOOKUP(A99,Configuracion!$A:$B,2,FALSE))))</f>
        <v>#N/A</v>
      </c>
      <c r="E99">
        <f>IF(C99="Venta", IFERROR(VLOOKUP(A99, Configuracion!$A:$D, 3, FALSE), 0), 0)</f>
        <v>0</v>
      </c>
      <c r="F99">
        <f t="shared" si="4"/>
        <v>0</v>
      </c>
      <c r="H99">
        <f>IF(AND(G99="Gestor", A99&lt;&gt;""), VLOOKUP(A99, Configuracion!$A:$D, 4, FALSE), 0)*Tabla1023[[#This Row],[CANTIDAD]]</f>
        <v>0</v>
      </c>
      <c r="I99" t="str">
        <f t="shared" si="5"/>
        <v/>
      </c>
    </row>
    <row r="100" spans="2:9" x14ac:dyDescent="0.3">
      <c r="B100" t="e">
        <f>IFERROR(VLOOKUP(A100,miercoles!$A:$I,9,FALSE),IFERROR(VLOOKUP(A100,martes!$A:$I,9,FALSE),IFERROR(VLOOKUP(A100,lunes!$A:$I,9,FALSE),VLOOKUP(A100,Configuracion!$A:$B,2,FALSE))))</f>
        <v>#N/A</v>
      </c>
      <c r="E100">
        <f>IF(C100="Venta", IFERROR(VLOOKUP(A100, Configuracion!$A:$D, 3, FALSE), 0), 0)</f>
        <v>0</v>
      </c>
      <c r="F100">
        <f t="shared" si="4"/>
        <v>0</v>
      </c>
      <c r="H100">
        <f>IF(AND(G100="Gestor", A100&lt;&gt;""), VLOOKUP(A100, Configuracion!$A:$D, 4, FALSE), 0)*Tabla1023[[#This Row],[CANTIDAD]]</f>
        <v>0</v>
      </c>
      <c r="I100" t="str">
        <f t="shared" si="5"/>
        <v/>
      </c>
    </row>
    <row r="101" spans="2:9" x14ac:dyDescent="0.3">
      <c r="B101" t="e">
        <f>IFERROR(VLOOKUP(A101,miercoles!$A:$I,9,FALSE),IFERROR(VLOOKUP(A101,martes!$A:$I,9,FALSE),IFERROR(VLOOKUP(A101,lunes!$A:$I,9,FALSE),VLOOKUP(A101,Configuracion!$A:$B,2,FALSE))))</f>
        <v>#N/A</v>
      </c>
      <c r="E101">
        <f>IF(C101="Venta", IFERROR(VLOOKUP(A101, Configuracion!$A:$D, 3, FALSE), 0), 0)</f>
        <v>0</v>
      </c>
      <c r="F101">
        <f t="shared" si="4"/>
        <v>0</v>
      </c>
      <c r="H101">
        <f>IF(AND(G101="Gestor", A101&lt;&gt;""), VLOOKUP(A101, Configuracion!$A:$D, 4, FALSE), 0)*Tabla1023[[#This Row],[CANTIDAD]]</f>
        <v>0</v>
      </c>
      <c r="I101" t="str">
        <f t="shared" si="5"/>
        <v/>
      </c>
    </row>
    <row r="102" spans="2:9" x14ac:dyDescent="0.3">
      <c r="B102" t="e">
        <f>IFERROR(VLOOKUP(A102,miercoles!$A:$I,9,FALSE),IFERROR(VLOOKUP(A102,martes!$A:$I,9,FALSE),IFERROR(VLOOKUP(A102,lunes!$A:$I,9,FALSE),VLOOKUP(A102,Configuracion!$A:$B,2,FALSE))))</f>
        <v>#N/A</v>
      </c>
      <c r="E102">
        <f>IF(C102="Venta", IFERROR(VLOOKUP(A102, Configuracion!$A:$D, 3, FALSE), 0), 0)</f>
        <v>0</v>
      </c>
      <c r="F102">
        <f t="shared" si="4"/>
        <v>0</v>
      </c>
      <c r="H102">
        <f>IF(AND(G102="Gestor", A102&lt;&gt;""), VLOOKUP(A102, Configuracion!$A:$D, 4, FALSE), 0)*Tabla1023[[#This Row],[CANTIDAD]]</f>
        <v>0</v>
      </c>
      <c r="I102" t="str">
        <f t="shared" si="5"/>
        <v/>
      </c>
    </row>
    <row r="103" spans="2:9" x14ac:dyDescent="0.3">
      <c r="B103" t="e">
        <f>IFERROR(VLOOKUP(A103,miercoles!$A:$I,9,FALSE),IFERROR(VLOOKUP(A103,martes!$A:$I,9,FALSE),IFERROR(VLOOKUP(A103,lunes!$A:$I,9,FALSE),VLOOKUP(A103,Configuracion!$A:$B,2,FALSE))))</f>
        <v>#N/A</v>
      </c>
      <c r="E103">
        <f>IF(C103="Venta", IFERROR(VLOOKUP(A103, Configuracion!$A:$D, 3, FALSE), 0), 0)</f>
        <v>0</v>
      </c>
      <c r="F103">
        <f t="shared" si="4"/>
        <v>0</v>
      </c>
      <c r="H103">
        <f>IF(AND(G103="Gestor", A103&lt;&gt;""), VLOOKUP(A103, Configuracion!$A:$D, 4, FALSE), 0)*Tabla1023[[#This Row],[CANTIDAD]]</f>
        <v>0</v>
      </c>
      <c r="I103" t="str">
        <f t="shared" si="5"/>
        <v/>
      </c>
    </row>
    <row r="104" spans="2:9" x14ac:dyDescent="0.3">
      <c r="B104" t="e">
        <f>IFERROR(VLOOKUP(A104,miercoles!$A:$I,9,FALSE),IFERROR(VLOOKUP(A104,martes!$A:$I,9,FALSE),IFERROR(VLOOKUP(A104,lunes!$A:$I,9,FALSE),VLOOKUP(A104,Configuracion!$A:$B,2,FALSE))))</f>
        <v>#N/A</v>
      </c>
      <c r="E104">
        <f>IF(C104="Venta", IFERROR(VLOOKUP(A104, Configuracion!$A:$D, 3, FALSE), 0), 0)</f>
        <v>0</v>
      </c>
      <c r="F104">
        <f t="shared" si="4"/>
        <v>0</v>
      </c>
      <c r="H104">
        <f>IF(AND(G104="Gestor", A104&lt;&gt;""), VLOOKUP(A104, Configuracion!$A:$D, 4, FALSE), 0)*Tabla1023[[#This Row],[CANTIDAD]]</f>
        <v>0</v>
      </c>
      <c r="I104" t="str">
        <f t="shared" si="5"/>
        <v/>
      </c>
    </row>
    <row r="105" spans="2:9" x14ac:dyDescent="0.3">
      <c r="B105" t="e">
        <f>IFERROR(VLOOKUP(A105,miercoles!$A:$I,9,FALSE),IFERROR(VLOOKUP(A105,martes!$A:$I,9,FALSE),IFERROR(VLOOKUP(A105,lunes!$A:$I,9,FALSE),VLOOKUP(A105,Configuracion!$A:$B,2,FALSE))))</f>
        <v>#N/A</v>
      </c>
      <c r="E105">
        <f>IF(C105="Venta", IFERROR(VLOOKUP(A105, Configuracion!$A:$D, 3, FALSE), 0), 0)</f>
        <v>0</v>
      </c>
      <c r="F105">
        <f t="shared" si="4"/>
        <v>0</v>
      </c>
      <c r="H105">
        <f>IF(AND(G105="Gestor", A105&lt;&gt;""), VLOOKUP(A105, Configuracion!$A:$D, 4, FALSE), 0)*Tabla1023[[#This Row],[CANTIDAD]]</f>
        <v>0</v>
      </c>
      <c r="I105" t="str">
        <f t="shared" si="5"/>
        <v/>
      </c>
    </row>
    <row r="106" spans="2:9" x14ac:dyDescent="0.3">
      <c r="B106" t="e">
        <f>IFERROR(VLOOKUP(A106,miercoles!$A:$I,9,FALSE),IFERROR(VLOOKUP(A106,martes!$A:$I,9,FALSE),IFERROR(VLOOKUP(A106,lunes!$A:$I,9,FALSE),VLOOKUP(A106,Configuracion!$A:$B,2,FALSE))))</f>
        <v>#N/A</v>
      </c>
      <c r="E106">
        <f>IF(C106="Venta", IFERROR(VLOOKUP(A106, Configuracion!$A:$D, 3, FALSE), 0), 0)</f>
        <v>0</v>
      </c>
      <c r="F106">
        <f t="shared" si="4"/>
        <v>0</v>
      </c>
      <c r="H106">
        <f>IF(AND(G106="Gestor", A106&lt;&gt;""), VLOOKUP(A106, Configuracion!$A:$D, 4, FALSE), 0)*Tabla1023[[#This Row],[CANTIDAD]]</f>
        <v>0</v>
      </c>
      <c r="I106" t="str">
        <f t="shared" si="5"/>
        <v/>
      </c>
    </row>
    <row r="107" spans="2:9" x14ac:dyDescent="0.3">
      <c r="B107" t="e">
        <f>IFERROR(VLOOKUP(A107,miercoles!$A:$I,9,FALSE),IFERROR(VLOOKUP(A107,martes!$A:$I,9,FALSE),IFERROR(VLOOKUP(A107,lunes!$A:$I,9,FALSE),VLOOKUP(A107,Configuracion!$A:$B,2,FALSE))))</f>
        <v>#N/A</v>
      </c>
      <c r="E107">
        <f>IF(C107="Venta", IFERROR(VLOOKUP(A107, Configuracion!$A:$D, 3, FALSE), 0), 0)</f>
        <v>0</v>
      </c>
      <c r="F107">
        <f t="shared" si="4"/>
        <v>0</v>
      </c>
      <c r="H107">
        <f>IF(AND(G107="Gestor", A107&lt;&gt;""), VLOOKUP(A107, Configuracion!$A:$D, 4, FALSE), 0)*Tabla1023[[#This Row],[CANTIDAD]]</f>
        <v>0</v>
      </c>
      <c r="I107" t="str">
        <f t="shared" si="5"/>
        <v/>
      </c>
    </row>
    <row r="108" spans="2:9" x14ac:dyDescent="0.3">
      <c r="B108" t="e">
        <f>IFERROR(VLOOKUP(A108,miercoles!$A:$I,9,FALSE),IFERROR(VLOOKUP(A108,martes!$A:$I,9,FALSE),IFERROR(VLOOKUP(A108,lunes!$A:$I,9,FALSE),VLOOKUP(A108,Configuracion!$A:$B,2,FALSE))))</f>
        <v>#N/A</v>
      </c>
      <c r="E108">
        <f>IF(C108="Venta", IFERROR(VLOOKUP(A108, Configuracion!$A:$D, 3, FALSE), 0), 0)</f>
        <v>0</v>
      </c>
      <c r="F108">
        <f t="shared" si="4"/>
        <v>0</v>
      </c>
      <c r="H108">
        <f>IF(AND(G108="Gestor", A108&lt;&gt;""), VLOOKUP(A108, Configuracion!$A:$D, 4, FALSE), 0)*Tabla1023[[#This Row],[CANTIDAD]]</f>
        <v>0</v>
      </c>
      <c r="I108" t="str">
        <f t="shared" si="5"/>
        <v/>
      </c>
    </row>
    <row r="109" spans="2:9" x14ac:dyDescent="0.3">
      <c r="B109" t="e">
        <f>IFERROR(VLOOKUP(A109,miercoles!$A:$I,9,FALSE),IFERROR(VLOOKUP(A109,martes!$A:$I,9,FALSE),IFERROR(VLOOKUP(A109,lunes!$A:$I,9,FALSE),VLOOKUP(A109,Configuracion!$A:$B,2,FALSE))))</f>
        <v>#N/A</v>
      </c>
      <c r="E109">
        <f>IF(C109="Venta", IFERROR(VLOOKUP(A109, Configuracion!$A:$D, 3, FALSE), 0), 0)</f>
        <v>0</v>
      </c>
      <c r="F109">
        <f t="shared" si="4"/>
        <v>0</v>
      </c>
      <c r="H109">
        <f>IF(AND(G109="Gestor", A109&lt;&gt;""), VLOOKUP(A109, Configuracion!$A:$D, 4, FALSE), 0)*Tabla1023[[#This Row],[CANTIDAD]]</f>
        <v>0</v>
      </c>
      <c r="I109" t="str">
        <f t="shared" si="5"/>
        <v/>
      </c>
    </row>
    <row r="110" spans="2:9" x14ac:dyDescent="0.3">
      <c r="B110" t="e">
        <f>IFERROR(VLOOKUP(A110,miercoles!$A:$I,9,FALSE),IFERROR(VLOOKUP(A110,martes!$A:$I,9,FALSE),IFERROR(VLOOKUP(A110,lunes!$A:$I,9,FALSE),VLOOKUP(A110,Configuracion!$A:$B,2,FALSE))))</f>
        <v>#N/A</v>
      </c>
      <c r="E110">
        <f>IF(C110="Venta", IFERROR(VLOOKUP(A110, Configuracion!$A:$D, 3, FALSE), 0), 0)</f>
        <v>0</v>
      </c>
      <c r="F110">
        <f t="shared" si="4"/>
        <v>0</v>
      </c>
      <c r="H110">
        <f>IF(AND(G110="Gestor", A110&lt;&gt;""), VLOOKUP(A110, Configuracion!$A:$D, 4, FALSE), 0)*Tabla1023[[#This Row],[CANTIDAD]]</f>
        <v>0</v>
      </c>
      <c r="I110" t="str">
        <f t="shared" si="5"/>
        <v/>
      </c>
    </row>
    <row r="111" spans="2:9" x14ac:dyDescent="0.3">
      <c r="B111" t="e">
        <f>IFERROR(VLOOKUP(A111,miercoles!$A:$I,9,FALSE),IFERROR(VLOOKUP(A111,martes!$A:$I,9,FALSE),IFERROR(VLOOKUP(A111,lunes!$A:$I,9,FALSE),VLOOKUP(A111,Configuracion!$A:$B,2,FALSE))))</f>
        <v>#N/A</v>
      </c>
      <c r="E111">
        <f>IF(C111="Venta", IFERROR(VLOOKUP(A111, Configuracion!$A:$D, 3, FALSE), 0), 0)</f>
        <v>0</v>
      </c>
      <c r="F111">
        <f t="shared" si="4"/>
        <v>0</v>
      </c>
      <c r="H111">
        <f>IF(AND(G111="Gestor", A111&lt;&gt;""), VLOOKUP(A111, Configuracion!$A:$D, 4, FALSE), 0)*Tabla1023[[#This Row],[CANTIDAD]]</f>
        <v>0</v>
      </c>
      <c r="I111" t="str">
        <f t="shared" si="5"/>
        <v/>
      </c>
    </row>
    <row r="112" spans="2:9" x14ac:dyDescent="0.3">
      <c r="B112" t="e">
        <f>IFERROR(VLOOKUP(A112,miercoles!$A:$I,9,FALSE),IFERROR(VLOOKUP(A112,martes!$A:$I,9,FALSE),IFERROR(VLOOKUP(A112,lunes!$A:$I,9,FALSE),VLOOKUP(A112,Configuracion!$A:$B,2,FALSE))))</f>
        <v>#N/A</v>
      </c>
      <c r="E112">
        <f>IF(C112="Venta", IFERROR(VLOOKUP(A112, Configuracion!$A:$D, 3, FALSE), 0), 0)</f>
        <v>0</v>
      </c>
      <c r="F112">
        <f t="shared" si="4"/>
        <v>0</v>
      </c>
      <c r="H112">
        <f>IF(AND(G112="Gestor", A112&lt;&gt;""), VLOOKUP(A112, Configuracion!$A:$D, 4, FALSE), 0)*Tabla1023[[#This Row],[CANTIDAD]]</f>
        <v>0</v>
      </c>
      <c r="I112" t="str">
        <f t="shared" si="5"/>
        <v/>
      </c>
    </row>
    <row r="113" spans="2:9" x14ac:dyDescent="0.3">
      <c r="B113" t="e">
        <f>IFERROR(VLOOKUP(A113,miercoles!$A:$I,9,FALSE),IFERROR(VLOOKUP(A113,martes!$A:$I,9,FALSE),IFERROR(VLOOKUP(A113,lunes!$A:$I,9,FALSE),VLOOKUP(A113,Configuracion!$A:$B,2,FALSE))))</f>
        <v>#N/A</v>
      </c>
      <c r="E113">
        <f>IF(C113="Venta", IFERROR(VLOOKUP(A113, Configuracion!$A:$D, 3, FALSE), 0), 0)</f>
        <v>0</v>
      </c>
      <c r="F113">
        <f t="shared" si="4"/>
        <v>0</v>
      </c>
      <c r="H113">
        <f>IF(AND(G113="Gestor", A113&lt;&gt;""), VLOOKUP(A113, Configuracion!$A:$D, 4, FALSE), 0)*Tabla1023[[#This Row],[CANTIDAD]]</f>
        <v>0</v>
      </c>
      <c r="I113" t="str">
        <f t="shared" si="5"/>
        <v/>
      </c>
    </row>
    <row r="114" spans="2:9" x14ac:dyDescent="0.3">
      <c r="B114" t="e">
        <f>IFERROR(VLOOKUP(A114,miercoles!$A:$I,9,FALSE),IFERROR(VLOOKUP(A114,martes!$A:$I,9,FALSE),IFERROR(VLOOKUP(A114,lunes!$A:$I,9,FALSE),VLOOKUP(A114,Configuracion!$A:$B,2,FALSE))))</f>
        <v>#N/A</v>
      </c>
      <c r="E114">
        <f>IF(C114="Venta", IFERROR(VLOOKUP(A114, Configuracion!$A:$D, 3, FALSE), 0), 0)</f>
        <v>0</v>
      </c>
      <c r="F114">
        <f t="shared" si="4"/>
        <v>0</v>
      </c>
      <c r="H114">
        <f>IF(AND(G114="Gestor", A114&lt;&gt;""), VLOOKUP(A114, Configuracion!$A:$D, 4, FALSE), 0)*Tabla1023[[#This Row],[CANTIDAD]]</f>
        <v>0</v>
      </c>
      <c r="I114" t="str">
        <f t="shared" si="5"/>
        <v/>
      </c>
    </row>
    <row r="115" spans="2:9" x14ac:dyDescent="0.3">
      <c r="B115" t="e">
        <f>IFERROR(VLOOKUP(A115,miercoles!$A:$I,9,FALSE),IFERROR(VLOOKUP(A115,martes!$A:$I,9,FALSE),IFERROR(VLOOKUP(A115,lunes!$A:$I,9,FALSE),VLOOKUP(A115,Configuracion!$A:$B,2,FALSE))))</f>
        <v>#N/A</v>
      </c>
      <c r="E115">
        <f>IF(C115="Venta", IFERROR(VLOOKUP(A115, Configuracion!$A:$D, 3, FALSE), 0), 0)</f>
        <v>0</v>
      </c>
      <c r="F115">
        <f t="shared" si="4"/>
        <v>0</v>
      </c>
      <c r="H115">
        <f>IF(AND(G115="Gestor", A115&lt;&gt;""), VLOOKUP(A115, Configuracion!$A:$D, 4, FALSE), 0)*Tabla1023[[#This Row],[CANTIDAD]]</f>
        <v>0</v>
      </c>
      <c r="I115" t="str">
        <f t="shared" si="5"/>
        <v/>
      </c>
    </row>
    <row r="116" spans="2:9" x14ac:dyDescent="0.3">
      <c r="B116" t="e">
        <f>IFERROR(VLOOKUP(A116,miercoles!$A:$I,9,FALSE),IFERROR(VLOOKUP(A116,martes!$A:$I,9,FALSE),IFERROR(VLOOKUP(A116,lunes!$A:$I,9,FALSE),VLOOKUP(A116,Configuracion!$A:$B,2,FALSE))))</f>
        <v>#N/A</v>
      </c>
      <c r="E116">
        <f>IF(C116="Venta", IFERROR(VLOOKUP(A116, Configuracion!$A:$D, 3, FALSE), 0), 0)</f>
        <v>0</v>
      </c>
      <c r="F116">
        <f t="shared" si="4"/>
        <v>0</v>
      </c>
      <c r="H116">
        <f>IF(AND(G116="Gestor", A116&lt;&gt;""), VLOOKUP(A116, Configuracion!$A:$D, 4, FALSE), 0)*Tabla1023[[#This Row],[CANTIDAD]]</f>
        <v>0</v>
      </c>
      <c r="I116" t="str">
        <f t="shared" si="5"/>
        <v/>
      </c>
    </row>
    <row r="117" spans="2:9" x14ac:dyDescent="0.3">
      <c r="B117" t="e">
        <f>IFERROR(VLOOKUP(A117,miercoles!$A:$I,9,FALSE),IFERROR(VLOOKUP(A117,martes!$A:$I,9,FALSE),IFERROR(VLOOKUP(A117,lunes!$A:$I,9,FALSE),VLOOKUP(A117,Configuracion!$A:$B,2,FALSE))))</f>
        <v>#N/A</v>
      </c>
      <c r="E117">
        <f>IF(C117="Venta", IFERROR(VLOOKUP(A117, Configuracion!$A:$D, 3, FALSE), 0), 0)</f>
        <v>0</v>
      </c>
      <c r="F117">
        <f t="shared" si="4"/>
        <v>0</v>
      </c>
      <c r="H117">
        <f>IF(AND(G117="Gestor", A117&lt;&gt;""), VLOOKUP(A117, Configuracion!$A:$D, 4, FALSE), 0)*Tabla1023[[#This Row],[CANTIDAD]]</f>
        <v>0</v>
      </c>
      <c r="I117" t="str">
        <f t="shared" si="5"/>
        <v/>
      </c>
    </row>
    <row r="118" spans="2:9" x14ac:dyDescent="0.3">
      <c r="B118" t="e">
        <f>IFERROR(VLOOKUP(A118,miercoles!$A:$I,9,FALSE),IFERROR(VLOOKUP(A118,martes!$A:$I,9,FALSE),IFERROR(VLOOKUP(A118,lunes!$A:$I,9,FALSE),VLOOKUP(A118,Configuracion!$A:$B,2,FALSE))))</f>
        <v>#N/A</v>
      </c>
      <c r="E118">
        <f>IF(C118="Venta", IFERROR(VLOOKUP(A118, Configuracion!$A:$D, 3, FALSE), 0), 0)</f>
        <v>0</v>
      </c>
      <c r="F118">
        <f t="shared" si="4"/>
        <v>0</v>
      </c>
      <c r="H118">
        <f>IF(AND(G118="Gestor", A118&lt;&gt;""), VLOOKUP(A118, Configuracion!$A:$D, 4, FALSE), 0)*Tabla1023[[#This Row],[CANTIDAD]]</f>
        <v>0</v>
      </c>
      <c r="I118" t="str">
        <f t="shared" si="5"/>
        <v/>
      </c>
    </row>
    <row r="119" spans="2:9" x14ac:dyDescent="0.3">
      <c r="B119" t="e">
        <f>IFERROR(VLOOKUP(A119,miercoles!$A:$I,9,FALSE),IFERROR(VLOOKUP(A119,martes!$A:$I,9,FALSE),IFERROR(VLOOKUP(A119,lunes!$A:$I,9,FALSE),VLOOKUP(A119,Configuracion!$A:$B,2,FALSE))))</f>
        <v>#N/A</v>
      </c>
      <c r="E119">
        <f>IF(C119="Venta", IFERROR(VLOOKUP(A119, Configuracion!$A:$D, 3, FALSE), 0), 0)</f>
        <v>0</v>
      </c>
      <c r="F119">
        <f t="shared" si="4"/>
        <v>0</v>
      </c>
      <c r="H119">
        <f>IF(AND(G119="Gestor", A119&lt;&gt;""), VLOOKUP(A119, Configuracion!$A:$D, 4, FALSE), 0)*Tabla1023[[#This Row],[CANTIDAD]]</f>
        <v>0</v>
      </c>
      <c r="I119" t="str">
        <f t="shared" si="5"/>
        <v/>
      </c>
    </row>
    <row r="120" spans="2:9" x14ac:dyDescent="0.3">
      <c r="B120" t="e">
        <f>IFERROR(VLOOKUP(A120,miercoles!$A:$I,9,FALSE),IFERROR(VLOOKUP(A120,martes!$A:$I,9,FALSE),IFERROR(VLOOKUP(A120,lunes!$A:$I,9,FALSE),VLOOKUP(A120,Configuracion!$A:$B,2,FALSE))))</f>
        <v>#N/A</v>
      </c>
      <c r="E120">
        <f>IF(C120="Venta", IFERROR(VLOOKUP(A120, Configuracion!$A:$D, 3, FALSE), 0), 0)</f>
        <v>0</v>
      </c>
      <c r="F120">
        <f t="shared" si="4"/>
        <v>0</v>
      </c>
      <c r="H120">
        <f>IF(AND(G120="Gestor", A120&lt;&gt;""), VLOOKUP(A120, Configuracion!$A:$D, 4, FALSE), 0)*Tabla1023[[#This Row],[CANTIDAD]]</f>
        <v>0</v>
      </c>
      <c r="I120" t="str">
        <f t="shared" si="5"/>
        <v/>
      </c>
    </row>
    <row r="121" spans="2:9" x14ac:dyDescent="0.3">
      <c r="B121" t="e">
        <f>IFERROR(VLOOKUP(A121,miercoles!$A:$I,9,FALSE),IFERROR(VLOOKUP(A121,martes!$A:$I,9,FALSE),IFERROR(VLOOKUP(A121,lunes!$A:$I,9,FALSE),VLOOKUP(A121,Configuracion!$A:$B,2,FALSE))))</f>
        <v>#N/A</v>
      </c>
      <c r="E121">
        <f>IF(C121="Venta", IFERROR(VLOOKUP(A121, Configuracion!$A:$D, 3, FALSE), 0), 0)</f>
        <v>0</v>
      </c>
      <c r="F121">
        <f t="shared" si="4"/>
        <v>0</v>
      </c>
      <c r="H121">
        <f>IF(AND(G121="Gestor", A121&lt;&gt;""), VLOOKUP(A121, Configuracion!$A:$D, 4, FALSE), 0)*Tabla1023[[#This Row],[CANTIDAD]]</f>
        <v>0</v>
      </c>
      <c r="I121" t="str">
        <f t="shared" si="5"/>
        <v/>
      </c>
    </row>
    <row r="122" spans="2:9" x14ac:dyDescent="0.3">
      <c r="B122" t="e">
        <f>IFERROR(VLOOKUP(A122,miercoles!$A:$I,9,FALSE),IFERROR(VLOOKUP(A122,martes!$A:$I,9,FALSE),IFERROR(VLOOKUP(A122,lunes!$A:$I,9,FALSE),VLOOKUP(A122,Configuracion!$A:$B,2,FALSE))))</f>
        <v>#N/A</v>
      </c>
      <c r="E122">
        <f>IF(C122="Venta", IFERROR(VLOOKUP(A122, Configuracion!$A:$D, 3, FALSE), 0), 0)</f>
        <v>0</v>
      </c>
      <c r="F122">
        <f t="shared" si="4"/>
        <v>0</v>
      </c>
      <c r="H122">
        <f>IF(AND(G122="Gestor", A122&lt;&gt;""), VLOOKUP(A122, Configuracion!$A:$D, 4, FALSE), 0)*Tabla1023[[#This Row],[CANTIDAD]]</f>
        <v>0</v>
      </c>
      <c r="I122" t="str">
        <f t="shared" si="5"/>
        <v/>
      </c>
    </row>
    <row r="123" spans="2:9" x14ac:dyDescent="0.3">
      <c r="B123" t="e">
        <f>IFERROR(VLOOKUP(A123,miercoles!$A:$I,9,FALSE),IFERROR(VLOOKUP(A123,martes!$A:$I,9,FALSE),IFERROR(VLOOKUP(A123,lunes!$A:$I,9,FALSE),VLOOKUP(A123,Configuracion!$A:$B,2,FALSE))))</f>
        <v>#N/A</v>
      </c>
      <c r="E123">
        <f>IF(C123="Venta", IFERROR(VLOOKUP(A123, Configuracion!$A:$D, 3, FALSE), 0), 0)</f>
        <v>0</v>
      </c>
      <c r="F123">
        <f t="shared" si="4"/>
        <v>0</v>
      </c>
      <c r="H123">
        <f>IF(AND(G123="Gestor", A123&lt;&gt;""), VLOOKUP(A123, Configuracion!$A:$D, 4, FALSE), 0)*Tabla1023[[#This Row],[CANTIDAD]]</f>
        <v>0</v>
      </c>
      <c r="I123" t="str">
        <f t="shared" si="5"/>
        <v/>
      </c>
    </row>
    <row r="124" spans="2:9" x14ac:dyDescent="0.3">
      <c r="B124" t="e">
        <f>IFERROR(VLOOKUP(A124,miercoles!$A:$I,9,FALSE),IFERROR(VLOOKUP(A124,martes!$A:$I,9,FALSE),IFERROR(VLOOKUP(A124,lunes!$A:$I,9,FALSE),VLOOKUP(A124,Configuracion!$A:$B,2,FALSE))))</f>
        <v>#N/A</v>
      </c>
      <c r="E124">
        <f>IF(C124="Venta", IFERROR(VLOOKUP(A124, Configuracion!$A:$D, 3, FALSE), 0), 0)</f>
        <v>0</v>
      </c>
      <c r="F124">
        <f t="shared" si="4"/>
        <v>0</v>
      </c>
      <c r="H124">
        <f>IF(AND(G124="Gestor", A124&lt;&gt;""), VLOOKUP(A124, Configuracion!$A:$D, 4, FALSE), 0)*Tabla1023[[#This Row],[CANTIDAD]]</f>
        <v>0</v>
      </c>
      <c r="I124" t="str">
        <f t="shared" si="5"/>
        <v/>
      </c>
    </row>
    <row r="125" spans="2:9" x14ac:dyDescent="0.3">
      <c r="B125" t="e">
        <f>IFERROR(VLOOKUP(A125,miercoles!$A:$I,9,FALSE),IFERROR(VLOOKUP(A125,martes!$A:$I,9,FALSE),IFERROR(VLOOKUP(A125,lunes!$A:$I,9,FALSE),VLOOKUP(A125,Configuracion!$A:$B,2,FALSE))))</f>
        <v>#N/A</v>
      </c>
      <c r="E125">
        <f>IF(C125="Venta", IFERROR(VLOOKUP(A125, Configuracion!$A:$D, 3, FALSE), 0), 0)</f>
        <v>0</v>
      </c>
      <c r="F125">
        <f t="shared" si="4"/>
        <v>0</v>
      </c>
      <c r="H125">
        <f>IF(AND(G125="Gestor", A125&lt;&gt;""), VLOOKUP(A125, Configuracion!$A:$D, 4, FALSE), 0)*Tabla1023[[#This Row],[CANTIDAD]]</f>
        <v>0</v>
      </c>
      <c r="I125" t="str">
        <f t="shared" si="5"/>
        <v/>
      </c>
    </row>
    <row r="126" spans="2:9" x14ac:dyDescent="0.3">
      <c r="B126" t="e">
        <f>IFERROR(VLOOKUP(A126,miercoles!$A:$I,9,FALSE),IFERROR(VLOOKUP(A126,martes!$A:$I,9,FALSE),IFERROR(VLOOKUP(A126,lunes!$A:$I,9,FALSE),VLOOKUP(A126,Configuracion!$A:$B,2,FALSE))))</f>
        <v>#N/A</v>
      </c>
      <c r="E126">
        <f>IF(C126="Venta", IFERROR(VLOOKUP(A126, Configuracion!$A:$D, 3, FALSE), 0), 0)</f>
        <v>0</v>
      </c>
      <c r="F126">
        <f t="shared" si="4"/>
        <v>0</v>
      </c>
      <c r="H126">
        <f>IF(AND(G126="Gestor", A126&lt;&gt;""), VLOOKUP(A126, Configuracion!$A:$D, 4, FALSE), 0)*Tabla1023[[#This Row],[CANTIDAD]]</f>
        <v>0</v>
      </c>
      <c r="I126" t="str">
        <f t="shared" si="5"/>
        <v/>
      </c>
    </row>
    <row r="127" spans="2:9" x14ac:dyDescent="0.3">
      <c r="B127" t="e">
        <f>IFERROR(VLOOKUP(A127,miercoles!$A:$I,9,FALSE),IFERROR(VLOOKUP(A127,martes!$A:$I,9,FALSE),IFERROR(VLOOKUP(A127,lunes!$A:$I,9,FALSE),VLOOKUP(A127,Configuracion!$A:$B,2,FALSE))))</f>
        <v>#N/A</v>
      </c>
      <c r="E127">
        <f>IF(C127="Venta", IFERROR(VLOOKUP(A127, Configuracion!$A:$D, 3, FALSE), 0), 0)</f>
        <v>0</v>
      </c>
      <c r="F127">
        <f t="shared" si="4"/>
        <v>0</v>
      </c>
      <c r="H127">
        <f>IF(AND(G127="Gestor", A127&lt;&gt;""), VLOOKUP(A127, Configuracion!$A:$D, 4, FALSE), 0)*Tabla1023[[#This Row],[CANTIDAD]]</f>
        <v>0</v>
      </c>
      <c r="I127" t="str">
        <f t="shared" si="5"/>
        <v/>
      </c>
    </row>
    <row r="128" spans="2:9" x14ac:dyDescent="0.3">
      <c r="B128" t="e">
        <f>IFERROR(VLOOKUP(A128,miercoles!$A:$I,9,FALSE),IFERROR(VLOOKUP(A128,martes!$A:$I,9,FALSE),IFERROR(VLOOKUP(A128,lunes!$A:$I,9,FALSE),VLOOKUP(A128,Configuracion!$A:$B,2,FALSE))))</f>
        <v>#N/A</v>
      </c>
      <c r="E128">
        <f>IF(C128="Venta", IFERROR(VLOOKUP(A128, Configuracion!$A:$D, 3, FALSE), 0), 0)</f>
        <v>0</v>
      </c>
      <c r="F128">
        <f t="shared" si="4"/>
        <v>0</v>
      </c>
      <c r="H128">
        <f>IF(AND(G128="Gestor", A128&lt;&gt;""), VLOOKUP(A128, Configuracion!$A:$D, 4, FALSE), 0)*Tabla1023[[#This Row],[CANTIDAD]]</f>
        <v>0</v>
      </c>
      <c r="I128" t="str">
        <f t="shared" si="5"/>
        <v/>
      </c>
    </row>
    <row r="129" spans="2:9" x14ac:dyDescent="0.3">
      <c r="B129" t="e">
        <f>IFERROR(VLOOKUP(A129,miercoles!$A:$I,9,FALSE),IFERROR(VLOOKUP(A129,martes!$A:$I,9,FALSE),IFERROR(VLOOKUP(A129,lunes!$A:$I,9,FALSE),VLOOKUP(A129,Configuracion!$A:$B,2,FALSE))))</f>
        <v>#N/A</v>
      </c>
      <c r="E129">
        <f>IF(C129="Venta", IFERROR(VLOOKUP(A129, Configuracion!$A:$D, 3, FALSE), 0), 0)</f>
        <v>0</v>
      </c>
      <c r="F129">
        <f t="shared" si="4"/>
        <v>0</v>
      </c>
      <c r="H129">
        <f>IF(AND(G129="Gestor", A129&lt;&gt;""), VLOOKUP(A129, Configuracion!$A:$D, 4, FALSE), 0)*Tabla1023[[#This Row],[CANTIDAD]]</f>
        <v>0</v>
      </c>
      <c r="I129" t="str">
        <f t="shared" si="5"/>
        <v/>
      </c>
    </row>
    <row r="130" spans="2:9" x14ac:dyDescent="0.3">
      <c r="B130" t="e">
        <f>IFERROR(VLOOKUP(A130,miercoles!$A:$I,9,FALSE),IFERROR(VLOOKUP(A130,martes!$A:$I,9,FALSE),IFERROR(VLOOKUP(A130,lunes!$A:$I,9,FALSE),VLOOKUP(A130,Configuracion!$A:$B,2,FALSE))))</f>
        <v>#N/A</v>
      </c>
      <c r="E130">
        <f>IF(C130="Venta", IFERROR(VLOOKUP(A130, Configuracion!$A:$D, 3, FALSE), 0), 0)</f>
        <v>0</v>
      </c>
      <c r="F130">
        <f t="shared" si="4"/>
        <v>0</v>
      </c>
      <c r="H130">
        <f>IF(AND(G130="Gestor", A130&lt;&gt;""), VLOOKUP(A130, Configuracion!$A:$D, 4, FALSE), 0)*Tabla1023[[#This Row],[CANTIDAD]]</f>
        <v>0</v>
      </c>
      <c r="I130" t="str">
        <f t="shared" ref="I130:I161" si="6">IF(OR(A130="", D130=""), "", IF(C130="Entrada", B130+D130, IF(OR(C130="Venta", C130="Salida"), B130-D130, B130)))</f>
        <v/>
      </c>
    </row>
    <row r="131" spans="2:9" x14ac:dyDescent="0.3">
      <c r="B131" t="e">
        <f>IFERROR(VLOOKUP(A131,miercoles!$A:$I,9,FALSE),IFERROR(VLOOKUP(A131,martes!$A:$I,9,FALSE),IFERROR(VLOOKUP(A131,lunes!$A:$I,9,FALSE),VLOOKUP(A131,Configuracion!$A:$B,2,FALSE))))</f>
        <v>#N/A</v>
      </c>
      <c r="E131">
        <f>IF(C131="Venta", IFERROR(VLOOKUP(A131, Configuracion!$A:$D, 3, FALSE), 0), 0)</f>
        <v>0</v>
      </c>
      <c r="F131">
        <f t="shared" si="4"/>
        <v>0</v>
      </c>
      <c r="H131">
        <f>IF(AND(G131="Gestor", A131&lt;&gt;""), VLOOKUP(A131, Configuracion!$A:$D, 4, FALSE), 0)*Tabla1023[[#This Row],[CANTIDAD]]</f>
        <v>0</v>
      </c>
      <c r="I131" t="str">
        <f t="shared" si="6"/>
        <v/>
      </c>
    </row>
    <row r="132" spans="2:9" x14ac:dyDescent="0.3">
      <c r="B132" t="e">
        <f>IFERROR(VLOOKUP(A132,miercoles!$A:$I,9,FALSE),IFERROR(VLOOKUP(A132,martes!$A:$I,9,FALSE),IFERROR(VLOOKUP(A132,lunes!$A:$I,9,FALSE),VLOOKUP(A132,Configuracion!$A:$B,2,FALSE))))</f>
        <v>#N/A</v>
      </c>
      <c r="E132">
        <f>IF(C132="Venta", IFERROR(VLOOKUP(A132, Configuracion!$A:$D, 3, FALSE), 0), 0)</f>
        <v>0</v>
      </c>
      <c r="F132">
        <f t="shared" ref="F132:F190" si="7">E132*D132</f>
        <v>0</v>
      </c>
      <c r="H132">
        <f>IF(AND(G132="Gestor", A132&lt;&gt;""), VLOOKUP(A132, Configuracion!$A:$D, 4, FALSE), 0)*Tabla1023[[#This Row],[CANTIDAD]]</f>
        <v>0</v>
      </c>
      <c r="I132" t="str">
        <f t="shared" si="6"/>
        <v/>
      </c>
    </row>
    <row r="133" spans="2:9" x14ac:dyDescent="0.3">
      <c r="B133" t="e">
        <f>IFERROR(VLOOKUP(A133,miercoles!$A:$I,9,FALSE),IFERROR(VLOOKUP(A133,martes!$A:$I,9,FALSE),IFERROR(VLOOKUP(A133,lunes!$A:$I,9,FALSE),VLOOKUP(A133,Configuracion!$A:$B,2,FALSE))))</f>
        <v>#N/A</v>
      </c>
      <c r="E133">
        <f>IF(C133="Venta", IFERROR(VLOOKUP(A133, Configuracion!$A:$D, 3, FALSE), 0), 0)</f>
        <v>0</v>
      </c>
      <c r="F133">
        <f t="shared" si="7"/>
        <v>0</v>
      </c>
      <c r="H133">
        <f>IF(AND(G133="Gestor", A133&lt;&gt;""), VLOOKUP(A133, Configuracion!$A:$D, 4, FALSE), 0)*Tabla1023[[#This Row],[CANTIDAD]]</f>
        <v>0</v>
      </c>
      <c r="I133" t="str">
        <f t="shared" si="6"/>
        <v/>
      </c>
    </row>
    <row r="134" spans="2:9" x14ac:dyDescent="0.3">
      <c r="B134" t="e">
        <f>IFERROR(VLOOKUP(A134,miercoles!$A:$I,9,FALSE),IFERROR(VLOOKUP(A134,martes!$A:$I,9,FALSE),IFERROR(VLOOKUP(A134,lunes!$A:$I,9,FALSE),VLOOKUP(A134,Configuracion!$A:$B,2,FALSE))))</f>
        <v>#N/A</v>
      </c>
      <c r="E134">
        <f>IF(C134="Venta", IFERROR(VLOOKUP(A134, Configuracion!$A:$D, 3, FALSE), 0), 0)</f>
        <v>0</v>
      </c>
      <c r="F134">
        <f t="shared" si="7"/>
        <v>0</v>
      </c>
      <c r="H134">
        <f>IF(AND(G134="Gestor", A134&lt;&gt;""), VLOOKUP(A134, Configuracion!$A:$D, 4, FALSE), 0)*Tabla1023[[#This Row],[CANTIDAD]]</f>
        <v>0</v>
      </c>
      <c r="I134" t="str">
        <f t="shared" si="6"/>
        <v/>
      </c>
    </row>
    <row r="135" spans="2:9" x14ac:dyDescent="0.3">
      <c r="B135" t="e">
        <f>IFERROR(VLOOKUP(A135,miercoles!$A:$I,9,FALSE),IFERROR(VLOOKUP(A135,martes!$A:$I,9,FALSE),IFERROR(VLOOKUP(A135,lunes!$A:$I,9,FALSE),VLOOKUP(A135,Configuracion!$A:$B,2,FALSE))))</f>
        <v>#N/A</v>
      </c>
      <c r="E135">
        <f>IF(C135="Venta", IFERROR(VLOOKUP(A135, Configuracion!$A:$D, 3, FALSE), 0), 0)</f>
        <v>0</v>
      </c>
      <c r="F135">
        <f t="shared" si="7"/>
        <v>0</v>
      </c>
      <c r="H135">
        <f>IF(AND(G135="Gestor", A135&lt;&gt;""), VLOOKUP(A135, Configuracion!$A:$D, 4, FALSE), 0)*Tabla1023[[#This Row],[CANTIDAD]]</f>
        <v>0</v>
      </c>
      <c r="I135" t="str">
        <f t="shared" si="6"/>
        <v/>
      </c>
    </row>
    <row r="136" spans="2:9" x14ac:dyDescent="0.3">
      <c r="B136" t="e">
        <f>IFERROR(VLOOKUP(A136,miercoles!$A:$I,9,FALSE),IFERROR(VLOOKUP(A136,martes!$A:$I,9,FALSE),IFERROR(VLOOKUP(A136,lunes!$A:$I,9,FALSE),VLOOKUP(A136,Configuracion!$A:$B,2,FALSE))))</f>
        <v>#N/A</v>
      </c>
      <c r="E136">
        <f>IF(C136="Venta", IFERROR(VLOOKUP(A136, Configuracion!$A:$D, 3, FALSE), 0), 0)</f>
        <v>0</v>
      </c>
      <c r="F136">
        <f t="shared" si="7"/>
        <v>0</v>
      </c>
      <c r="H136">
        <f>IF(AND(G136="Gestor", A136&lt;&gt;""), VLOOKUP(A136, Configuracion!$A:$D, 4, FALSE), 0)*Tabla1023[[#This Row],[CANTIDAD]]</f>
        <v>0</v>
      </c>
      <c r="I136" t="str">
        <f t="shared" si="6"/>
        <v/>
      </c>
    </row>
    <row r="137" spans="2:9" x14ac:dyDescent="0.3">
      <c r="B137" t="e">
        <f>IFERROR(VLOOKUP(A137,miercoles!$A:$I,9,FALSE),IFERROR(VLOOKUP(A137,martes!$A:$I,9,FALSE),IFERROR(VLOOKUP(A137,lunes!$A:$I,9,FALSE),VLOOKUP(A137,Configuracion!$A:$B,2,FALSE))))</f>
        <v>#N/A</v>
      </c>
      <c r="E137">
        <f>IF(C137="Venta", IFERROR(VLOOKUP(A137, Configuracion!$A:$D, 3, FALSE), 0), 0)</f>
        <v>0</v>
      </c>
      <c r="F137">
        <f t="shared" si="7"/>
        <v>0</v>
      </c>
      <c r="H137">
        <f>IF(AND(G137="Gestor", A137&lt;&gt;""), VLOOKUP(A137, Configuracion!$A:$D, 4, FALSE), 0)*Tabla1023[[#This Row],[CANTIDAD]]</f>
        <v>0</v>
      </c>
      <c r="I137" t="str">
        <f t="shared" si="6"/>
        <v/>
      </c>
    </row>
    <row r="138" spans="2:9" x14ac:dyDescent="0.3">
      <c r="B138" t="e">
        <f>IFERROR(VLOOKUP(A138,miercoles!$A:$I,9,FALSE),IFERROR(VLOOKUP(A138,martes!$A:$I,9,FALSE),IFERROR(VLOOKUP(A138,lunes!$A:$I,9,FALSE),VLOOKUP(A138,Configuracion!$A:$B,2,FALSE))))</f>
        <v>#N/A</v>
      </c>
      <c r="E138">
        <f>IF(C138="Venta", IFERROR(VLOOKUP(A138, Configuracion!$A:$D, 3, FALSE), 0), 0)</f>
        <v>0</v>
      </c>
      <c r="F138">
        <f t="shared" si="7"/>
        <v>0</v>
      </c>
      <c r="H138">
        <f>IF(AND(G138="Gestor", A138&lt;&gt;""), VLOOKUP(A138, Configuracion!$A:$D, 4, FALSE), 0)*Tabla1023[[#This Row],[CANTIDAD]]</f>
        <v>0</v>
      </c>
      <c r="I138" t="str">
        <f t="shared" si="6"/>
        <v/>
      </c>
    </row>
    <row r="139" spans="2:9" x14ac:dyDescent="0.3">
      <c r="B139" t="e">
        <f>IFERROR(VLOOKUP(A139,miercoles!$A:$I,9,FALSE),IFERROR(VLOOKUP(A139,martes!$A:$I,9,FALSE),IFERROR(VLOOKUP(A139,lunes!$A:$I,9,FALSE),VLOOKUP(A139,Configuracion!$A:$B,2,FALSE))))</f>
        <v>#N/A</v>
      </c>
      <c r="E139">
        <f>IF(C139="Venta", IFERROR(VLOOKUP(A139, Configuracion!$A:$D, 3, FALSE), 0), 0)</f>
        <v>0</v>
      </c>
      <c r="F139">
        <f t="shared" si="7"/>
        <v>0</v>
      </c>
      <c r="H139">
        <f>IF(AND(G139="Gestor", A139&lt;&gt;""), VLOOKUP(A139, Configuracion!$A:$D, 4, FALSE), 0)*Tabla1023[[#This Row],[CANTIDAD]]</f>
        <v>0</v>
      </c>
      <c r="I139" t="str">
        <f t="shared" si="6"/>
        <v/>
      </c>
    </row>
    <row r="140" spans="2:9" x14ac:dyDescent="0.3">
      <c r="B140" t="e">
        <f>IFERROR(VLOOKUP(A140,miercoles!$A:$I,9,FALSE),IFERROR(VLOOKUP(A140,martes!$A:$I,9,FALSE),IFERROR(VLOOKUP(A140,lunes!$A:$I,9,FALSE),VLOOKUP(A140,Configuracion!$A:$B,2,FALSE))))</f>
        <v>#N/A</v>
      </c>
      <c r="E140">
        <f>IF(C140="Venta", IFERROR(VLOOKUP(A140, Configuracion!$A:$D, 3, FALSE), 0), 0)</f>
        <v>0</v>
      </c>
      <c r="F140">
        <f t="shared" si="7"/>
        <v>0</v>
      </c>
      <c r="H140">
        <f>IF(AND(G140="Gestor", A140&lt;&gt;""), VLOOKUP(A140, Configuracion!$A:$D, 4, FALSE), 0)*Tabla1023[[#This Row],[CANTIDAD]]</f>
        <v>0</v>
      </c>
      <c r="I140" t="str">
        <f t="shared" si="6"/>
        <v/>
      </c>
    </row>
    <row r="141" spans="2:9" x14ac:dyDescent="0.3">
      <c r="B141" t="e">
        <f>IFERROR(VLOOKUP(A141,miercoles!$A:$I,9,FALSE),IFERROR(VLOOKUP(A141,martes!$A:$I,9,FALSE),IFERROR(VLOOKUP(A141,lunes!$A:$I,9,FALSE),VLOOKUP(A141,Configuracion!$A:$B,2,FALSE))))</f>
        <v>#N/A</v>
      </c>
      <c r="E141">
        <f>IF(C141="Venta", IFERROR(VLOOKUP(A141, Configuracion!$A:$D, 3, FALSE), 0), 0)</f>
        <v>0</v>
      </c>
      <c r="F141">
        <f t="shared" si="7"/>
        <v>0</v>
      </c>
      <c r="H141">
        <f>IF(AND(G141="Gestor", A141&lt;&gt;""), VLOOKUP(A141, Configuracion!$A:$D, 4, FALSE), 0)*Tabla1023[[#This Row],[CANTIDAD]]</f>
        <v>0</v>
      </c>
      <c r="I141" t="str">
        <f t="shared" si="6"/>
        <v/>
      </c>
    </row>
    <row r="142" spans="2:9" x14ac:dyDescent="0.3">
      <c r="B142" t="e">
        <f>IFERROR(VLOOKUP(A142,miercoles!$A:$I,9,FALSE),IFERROR(VLOOKUP(A142,martes!$A:$I,9,FALSE),IFERROR(VLOOKUP(A142,lunes!$A:$I,9,FALSE),VLOOKUP(A142,Configuracion!$A:$B,2,FALSE))))</f>
        <v>#N/A</v>
      </c>
      <c r="E142">
        <f>IF(C142="Venta", IFERROR(VLOOKUP(A142, Configuracion!$A:$D, 3, FALSE), 0), 0)</f>
        <v>0</v>
      </c>
      <c r="F142">
        <f t="shared" si="7"/>
        <v>0</v>
      </c>
      <c r="H142">
        <f>IF(AND(G142="Gestor", A142&lt;&gt;""), VLOOKUP(A142, Configuracion!$A:$D, 4, FALSE), 0)*Tabla1023[[#This Row],[CANTIDAD]]</f>
        <v>0</v>
      </c>
      <c r="I142" t="str">
        <f t="shared" si="6"/>
        <v/>
      </c>
    </row>
    <row r="143" spans="2:9" x14ac:dyDescent="0.3">
      <c r="B143" t="e">
        <f>IFERROR(VLOOKUP(A143,miercoles!$A:$I,9,FALSE),IFERROR(VLOOKUP(A143,martes!$A:$I,9,FALSE),IFERROR(VLOOKUP(A143,lunes!$A:$I,9,FALSE),VLOOKUP(A143,Configuracion!$A:$B,2,FALSE))))</f>
        <v>#N/A</v>
      </c>
      <c r="E143">
        <f>IF(C143="Venta", IFERROR(VLOOKUP(A143, Configuracion!$A:$D, 3, FALSE), 0), 0)</f>
        <v>0</v>
      </c>
      <c r="F143">
        <f t="shared" si="7"/>
        <v>0</v>
      </c>
      <c r="H143">
        <f>IF(AND(G143="Gestor", A143&lt;&gt;""), VLOOKUP(A143, Configuracion!$A:$D, 4, FALSE), 0)*Tabla1023[[#This Row],[CANTIDAD]]</f>
        <v>0</v>
      </c>
      <c r="I143" t="str">
        <f t="shared" si="6"/>
        <v/>
      </c>
    </row>
    <row r="144" spans="2:9" x14ac:dyDescent="0.3">
      <c r="B144" t="e">
        <f>IFERROR(VLOOKUP(A144,miercoles!$A:$I,9,FALSE),IFERROR(VLOOKUP(A144,martes!$A:$I,9,FALSE),IFERROR(VLOOKUP(A144,lunes!$A:$I,9,FALSE),VLOOKUP(A144,Configuracion!$A:$B,2,FALSE))))</f>
        <v>#N/A</v>
      </c>
      <c r="E144">
        <f>IF(C144="Venta", IFERROR(VLOOKUP(A144, Configuracion!$A:$D, 3, FALSE), 0), 0)</f>
        <v>0</v>
      </c>
      <c r="F144">
        <f t="shared" si="7"/>
        <v>0</v>
      </c>
      <c r="H144">
        <f>IF(AND(G144="Gestor", A144&lt;&gt;""), VLOOKUP(A144, Configuracion!$A:$D, 4, FALSE), 0)*Tabla1023[[#This Row],[CANTIDAD]]</f>
        <v>0</v>
      </c>
      <c r="I144" t="str">
        <f t="shared" si="6"/>
        <v/>
      </c>
    </row>
    <row r="145" spans="2:9" x14ac:dyDescent="0.3">
      <c r="B145" t="e">
        <f>IFERROR(VLOOKUP(A145,miercoles!$A:$I,9,FALSE),IFERROR(VLOOKUP(A145,martes!$A:$I,9,FALSE),IFERROR(VLOOKUP(A145,lunes!$A:$I,9,FALSE),VLOOKUP(A145,Configuracion!$A:$B,2,FALSE))))</f>
        <v>#N/A</v>
      </c>
      <c r="E145">
        <f>IF(C145="Venta", IFERROR(VLOOKUP(A145, Configuracion!$A:$D, 3, FALSE), 0), 0)</f>
        <v>0</v>
      </c>
      <c r="F145">
        <f t="shared" si="7"/>
        <v>0</v>
      </c>
      <c r="H145">
        <f>IF(AND(G145="Gestor", A145&lt;&gt;""), VLOOKUP(A145, Configuracion!$A:$D, 4, FALSE), 0)*Tabla1023[[#This Row],[CANTIDAD]]</f>
        <v>0</v>
      </c>
      <c r="I145" t="str">
        <f t="shared" si="6"/>
        <v/>
      </c>
    </row>
    <row r="146" spans="2:9" x14ac:dyDescent="0.3">
      <c r="B146" t="e">
        <f>IFERROR(VLOOKUP(A146,miercoles!$A:$I,9,FALSE),IFERROR(VLOOKUP(A146,martes!$A:$I,9,FALSE),IFERROR(VLOOKUP(A146,lunes!$A:$I,9,FALSE),VLOOKUP(A146,Configuracion!$A:$B,2,FALSE))))</f>
        <v>#N/A</v>
      </c>
      <c r="E146">
        <f>IF(C146="Venta", IFERROR(VLOOKUP(A146, Configuracion!$A:$D, 3, FALSE), 0), 0)</f>
        <v>0</v>
      </c>
      <c r="F146">
        <f t="shared" si="7"/>
        <v>0</v>
      </c>
      <c r="H146">
        <f>IF(AND(G146="Gestor", A146&lt;&gt;""), VLOOKUP(A146, Configuracion!$A:$D, 4, FALSE), 0)*Tabla1023[[#This Row],[CANTIDAD]]</f>
        <v>0</v>
      </c>
      <c r="I146" t="str">
        <f t="shared" si="6"/>
        <v/>
      </c>
    </row>
    <row r="147" spans="2:9" x14ac:dyDescent="0.3">
      <c r="B147" t="e">
        <f>IFERROR(VLOOKUP(A147,miercoles!$A:$I,9,FALSE),IFERROR(VLOOKUP(A147,martes!$A:$I,9,FALSE),IFERROR(VLOOKUP(A147,lunes!$A:$I,9,FALSE),VLOOKUP(A147,Configuracion!$A:$B,2,FALSE))))</f>
        <v>#N/A</v>
      </c>
      <c r="E147">
        <f>IF(C147="Venta", IFERROR(VLOOKUP(A147, Configuracion!$A:$D, 3, FALSE), 0), 0)</f>
        <v>0</v>
      </c>
      <c r="F147">
        <f t="shared" si="7"/>
        <v>0</v>
      </c>
      <c r="H147">
        <f>IF(AND(G147="Gestor", A147&lt;&gt;""), VLOOKUP(A147, Configuracion!$A:$D, 4, FALSE), 0)*Tabla1023[[#This Row],[CANTIDAD]]</f>
        <v>0</v>
      </c>
      <c r="I147" t="str">
        <f t="shared" si="6"/>
        <v/>
      </c>
    </row>
    <row r="148" spans="2:9" x14ac:dyDescent="0.3">
      <c r="B148" t="e">
        <f>IFERROR(VLOOKUP(A148,miercoles!$A:$I,9,FALSE),IFERROR(VLOOKUP(A148,martes!$A:$I,9,FALSE),IFERROR(VLOOKUP(A148,lunes!$A:$I,9,FALSE),VLOOKUP(A148,Configuracion!$A:$B,2,FALSE))))</f>
        <v>#N/A</v>
      </c>
      <c r="E148">
        <f>IF(C148="Venta", IFERROR(VLOOKUP(A148, Configuracion!$A:$D, 3, FALSE), 0), 0)</f>
        <v>0</v>
      </c>
      <c r="F148">
        <f t="shared" si="7"/>
        <v>0</v>
      </c>
      <c r="H148">
        <f>IF(AND(G148="Gestor", A148&lt;&gt;""), VLOOKUP(A148, Configuracion!$A:$D, 4, FALSE), 0)*Tabla1023[[#This Row],[CANTIDAD]]</f>
        <v>0</v>
      </c>
      <c r="I148" t="str">
        <f t="shared" si="6"/>
        <v/>
      </c>
    </row>
    <row r="149" spans="2:9" x14ac:dyDescent="0.3">
      <c r="B149" t="e">
        <f>IFERROR(VLOOKUP(A149,miercoles!$A:$I,9,FALSE),IFERROR(VLOOKUP(A149,martes!$A:$I,9,FALSE),IFERROR(VLOOKUP(A149,lunes!$A:$I,9,FALSE),VLOOKUP(A149,Configuracion!$A:$B,2,FALSE))))</f>
        <v>#N/A</v>
      </c>
      <c r="E149">
        <f>IF(C149="Venta", IFERROR(VLOOKUP(A149, Configuracion!$A:$D, 3, FALSE), 0), 0)</f>
        <v>0</v>
      </c>
      <c r="F149">
        <f t="shared" si="7"/>
        <v>0</v>
      </c>
      <c r="H149">
        <f>IF(AND(G149="Gestor", A149&lt;&gt;""), VLOOKUP(A149, Configuracion!$A:$D, 4, FALSE), 0)*Tabla1023[[#This Row],[CANTIDAD]]</f>
        <v>0</v>
      </c>
      <c r="I149" t="str">
        <f t="shared" si="6"/>
        <v/>
      </c>
    </row>
    <row r="150" spans="2:9" x14ac:dyDescent="0.3">
      <c r="B150" t="e">
        <f>IFERROR(VLOOKUP(A150,miercoles!$A:$I,9,FALSE),IFERROR(VLOOKUP(A150,martes!$A:$I,9,FALSE),IFERROR(VLOOKUP(A150,lunes!$A:$I,9,FALSE),VLOOKUP(A150,Configuracion!$A:$B,2,FALSE))))</f>
        <v>#N/A</v>
      </c>
      <c r="E150">
        <f>IF(C150="Venta", IFERROR(VLOOKUP(A150, Configuracion!$A:$D, 3, FALSE), 0), 0)</f>
        <v>0</v>
      </c>
      <c r="F150">
        <f t="shared" si="7"/>
        <v>0</v>
      </c>
      <c r="H150">
        <f>IF(AND(G150="Gestor", A150&lt;&gt;""), VLOOKUP(A150, Configuracion!$A:$D, 4, FALSE), 0)*Tabla1023[[#This Row],[CANTIDAD]]</f>
        <v>0</v>
      </c>
      <c r="I150" t="str">
        <f t="shared" si="6"/>
        <v/>
      </c>
    </row>
    <row r="151" spans="2:9" x14ac:dyDescent="0.3">
      <c r="B151" t="e">
        <f>IFERROR(VLOOKUP(A151,miercoles!$A:$I,9,FALSE),IFERROR(VLOOKUP(A151,martes!$A:$I,9,FALSE),IFERROR(VLOOKUP(A151,lunes!$A:$I,9,FALSE),VLOOKUP(A151,Configuracion!$A:$B,2,FALSE))))</f>
        <v>#N/A</v>
      </c>
      <c r="E151">
        <f>IF(C151="Venta", IFERROR(VLOOKUP(A151, Configuracion!$A:$D, 3, FALSE), 0), 0)</f>
        <v>0</v>
      </c>
      <c r="F151">
        <f t="shared" si="7"/>
        <v>0</v>
      </c>
      <c r="H151">
        <f>IF(AND(G151="Gestor", A151&lt;&gt;""), VLOOKUP(A151, Configuracion!$A:$D, 4, FALSE), 0)*Tabla1023[[#This Row],[CANTIDAD]]</f>
        <v>0</v>
      </c>
      <c r="I151" t="str">
        <f t="shared" si="6"/>
        <v/>
      </c>
    </row>
    <row r="152" spans="2:9" x14ac:dyDescent="0.3">
      <c r="B152" t="e">
        <f>IFERROR(VLOOKUP(A152,miercoles!$A:$I,9,FALSE),IFERROR(VLOOKUP(A152,martes!$A:$I,9,FALSE),IFERROR(VLOOKUP(A152,lunes!$A:$I,9,FALSE),VLOOKUP(A152,Configuracion!$A:$B,2,FALSE))))</f>
        <v>#N/A</v>
      </c>
      <c r="E152">
        <f>IF(C152="Venta", IFERROR(VLOOKUP(A152, Configuracion!$A:$D, 3, FALSE), 0), 0)</f>
        <v>0</v>
      </c>
      <c r="F152">
        <f t="shared" si="7"/>
        <v>0</v>
      </c>
      <c r="H152">
        <f>IF(AND(G152="Gestor", A152&lt;&gt;""), VLOOKUP(A152, Configuracion!$A:$D, 4, FALSE), 0)*Tabla1023[[#This Row],[CANTIDAD]]</f>
        <v>0</v>
      </c>
      <c r="I152" t="str">
        <f t="shared" si="6"/>
        <v/>
      </c>
    </row>
    <row r="153" spans="2:9" x14ac:dyDescent="0.3">
      <c r="B153" t="e">
        <f>IFERROR(VLOOKUP(A153,miercoles!$A:$I,9,FALSE),IFERROR(VLOOKUP(A153,martes!$A:$I,9,FALSE),IFERROR(VLOOKUP(A153,lunes!$A:$I,9,FALSE),VLOOKUP(A153,Configuracion!$A:$B,2,FALSE))))</f>
        <v>#N/A</v>
      </c>
      <c r="E153">
        <f>IF(C153="Venta", IFERROR(VLOOKUP(A153, Configuracion!$A:$D, 3, FALSE), 0), 0)</f>
        <v>0</v>
      </c>
      <c r="F153">
        <f t="shared" si="7"/>
        <v>0</v>
      </c>
      <c r="H153">
        <f>IF(AND(G153="Gestor", A153&lt;&gt;""), VLOOKUP(A153, Configuracion!$A:$D, 4, FALSE), 0)*Tabla1023[[#This Row],[CANTIDAD]]</f>
        <v>0</v>
      </c>
      <c r="I153" t="str">
        <f t="shared" si="6"/>
        <v/>
      </c>
    </row>
    <row r="154" spans="2:9" x14ac:dyDescent="0.3">
      <c r="B154" t="e">
        <f>IFERROR(VLOOKUP(A154,miercoles!$A:$I,9,FALSE),IFERROR(VLOOKUP(A154,martes!$A:$I,9,FALSE),IFERROR(VLOOKUP(A154,lunes!$A:$I,9,FALSE),VLOOKUP(A154,Configuracion!$A:$B,2,FALSE))))</f>
        <v>#N/A</v>
      </c>
      <c r="E154">
        <f>IF(C154="Venta", IFERROR(VLOOKUP(A154, Configuracion!$A:$D, 3, FALSE), 0), 0)</f>
        <v>0</v>
      </c>
      <c r="F154">
        <f t="shared" si="7"/>
        <v>0</v>
      </c>
      <c r="H154">
        <f>IF(AND(G154="Gestor", A154&lt;&gt;""), VLOOKUP(A154, Configuracion!$A:$D, 4, FALSE), 0)*Tabla1023[[#This Row],[CANTIDAD]]</f>
        <v>0</v>
      </c>
      <c r="I154" t="str">
        <f t="shared" si="6"/>
        <v/>
      </c>
    </row>
    <row r="155" spans="2:9" x14ac:dyDescent="0.3">
      <c r="B155" t="e">
        <f>IFERROR(VLOOKUP(A155,miercoles!$A:$I,9,FALSE),IFERROR(VLOOKUP(A155,martes!$A:$I,9,FALSE),IFERROR(VLOOKUP(A155,lunes!$A:$I,9,FALSE),VLOOKUP(A155,Configuracion!$A:$B,2,FALSE))))</f>
        <v>#N/A</v>
      </c>
      <c r="E155">
        <f>IF(C155="Venta", IFERROR(VLOOKUP(A155, Configuracion!$A:$D, 3, FALSE), 0), 0)</f>
        <v>0</v>
      </c>
      <c r="F155">
        <f t="shared" si="7"/>
        <v>0</v>
      </c>
      <c r="H155">
        <f>IF(AND(G155="Gestor", A155&lt;&gt;""), VLOOKUP(A155, Configuracion!$A:$D, 4, FALSE), 0)*Tabla1023[[#This Row],[CANTIDAD]]</f>
        <v>0</v>
      </c>
      <c r="I155" t="str">
        <f t="shared" si="6"/>
        <v/>
      </c>
    </row>
    <row r="156" spans="2:9" x14ac:dyDescent="0.3">
      <c r="B156" t="e">
        <f>IFERROR(VLOOKUP(A156,miercoles!$A:$I,9,FALSE),IFERROR(VLOOKUP(A156,martes!$A:$I,9,FALSE),IFERROR(VLOOKUP(A156,lunes!$A:$I,9,FALSE),VLOOKUP(A156,Configuracion!$A:$B,2,FALSE))))</f>
        <v>#N/A</v>
      </c>
      <c r="E156">
        <f>IF(C156="Venta", IFERROR(VLOOKUP(A156, Configuracion!$A:$D, 3, FALSE), 0), 0)</f>
        <v>0</v>
      </c>
      <c r="F156">
        <f t="shared" si="7"/>
        <v>0</v>
      </c>
      <c r="H156">
        <f>IF(AND(G156="Gestor", A156&lt;&gt;""), VLOOKUP(A156, Configuracion!$A:$D, 4, FALSE), 0)*Tabla1023[[#This Row],[CANTIDAD]]</f>
        <v>0</v>
      </c>
      <c r="I156" t="str">
        <f t="shared" si="6"/>
        <v/>
      </c>
    </row>
    <row r="157" spans="2:9" x14ac:dyDescent="0.3">
      <c r="B157" t="e">
        <f>IFERROR(VLOOKUP(A157,miercoles!$A:$I,9,FALSE),IFERROR(VLOOKUP(A157,martes!$A:$I,9,FALSE),IFERROR(VLOOKUP(A157,lunes!$A:$I,9,FALSE),VLOOKUP(A157,Configuracion!$A:$B,2,FALSE))))</f>
        <v>#N/A</v>
      </c>
      <c r="E157">
        <f>IF(C157="Venta", IFERROR(VLOOKUP(A157, Configuracion!$A:$D, 3, FALSE), 0), 0)</f>
        <v>0</v>
      </c>
      <c r="F157">
        <f t="shared" si="7"/>
        <v>0</v>
      </c>
      <c r="H157">
        <f>IF(AND(G157="Gestor", A157&lt;&gt;""), VLOOKUP(A157, Configuracion!$A:$D, 4, FALSE), 0)*Tabla1023[[#This Row],[CANTIDAD]]</f>
        <v>0</v>
      </c>
      <c r="I157" t="str">
        <f t="shared" si="6"/>
        <v/>
      </c>
    </row>
    <row r="158" spans="2:9" x14ac:dyDescent="0.3">
      <c r="B158" t="e">
        <f>IFERROR(VLOOKUP(A158,miercoles!$A:$I,9,FALSE),IFERROR(VLOOKUP(A158,martes!$A:$I,9,FALSE),IFERROR(VLOOKUP(A158,lunes!$A:$I,9,FALSE),VLOOKUP(A158,Configuracion!$A:$B,2,FALSE))))</f>
        <v>#N/A</v>
      </c>
      <c r="E158">
        <f>IF(C158="Venta", IFERROR(VLOOKUP(A158, Configuracion!$A:$D, 3, FALSE), 0), 0)</f>
        <v>0</v>
      </c>
      <c r="F158">
        <f t="shared" si="7"/>
        <v>0</v>
      </c>
      <c r="H158">
        <f>IF(AND(G158="Gestor", A158&lt;&gt;""), VLOOKUP(A158, Configuracion!$A:$D, 4, FALSE), 0)*Tabla1023[[#This Row],[CANTIDAD]]</f>
        <v>0</v>
      </c>
      <c r="I158" t="str">
        <f t="shared" si="6"/>
        <v/>
      </c>
    </row>
    <row r="159" spans="2:9" x14ac:dyDescent="0.3">
      <c r="B159" t="e">
        <f>IFERROR(VLOOKUP(A159,miercoles!$A:$I,9,FALSE),IFERROR(VLOOKUP(A159,martes!$A:$I,9,FALSE),IFERROR(VLOOKUP(A159,lunes!$A:$I,9,FALSE),VLOOKUP(A159,Configuracion!$A:$B,2,FALSE))))</f>
        <v>#N/A</v>
      </c>
      <c r="E159">
        <f>IF(C159="Venta", IFERROR(VLOOKUP(A159, Configuracion!$A:$D, 3, FALSE), 0), 0)</f>
        <v>0</v>
      </c>
      <c r="F159">
        <f t="shared" si="7"/>
        <v>0</v>
      </c>
      <c r="H159">
        <f>IF(AND(G159="Gestor", A159&lt;&gt;""), VLOOKUP(A159, Configuracion!$A:$D, 4, FALSE), 0)*Tabla1023[[#This Row],[CANTIDAD]]</f>
        <v>0</v>
      </c>
      <c r="I159" t="str">
        <f t="shared" si="6"/>
        <v/>
      </c>
    </row>
    <row r="160" spans="2:9" x14ac:dyDescent="0.3">
      <c r="B160" t="e">
        <f>IFERROR(VLOOKUP(A160,miercoles!$A:$I,9,FALSE),IFERROR(VLOOKUP(A160,martes!$A:$I,9,FALSE),IFERROR(VLOOKUP(A160,lunes!$A:$I,9,FALSE),VLOOKUP(A160,Configuracion!$A:$B,2,FALSE))))</f>
        <v>#N/A</v>
      </c>
      <c r="E160">
        <f>IF(C160="Venta", IFERROR(VLOOKUP(A160, Configuracion!$A:$D, 3, FALSE), 0), 0)</f>
        <v>0</v>
      </c>
      <c r="F160">
        <f t="shared" si="7"/>
        <v>0</v>
      </c>
      <c r="H160">
        <f>IF(AND(G160="Gestor", A160&lt;&gt;""), VLOOKUP(A160, Configuracion!$A:$D, 4, FALSE), 0)*Tabla1023[[#This Row],[CANTIDAD]]</f>
        <v>0</v>
      </c>
      <c r="I160" t="str">
        <f t="shared" si="6"/>
        <v/>
      </c>
    </row>
    <row r="161" spans="2:9" x14ac:dyDescent="0.3">
      <c r="B161" t="e">
        <f>IFERROR(VLOOKUP(A161,miercoles!$A:$I,9,FALSE),IFERROR(VLOOKUP(A161,martes!$A:$I,9,FALSE),IFERROR(VLOOKUP(A161,lunes!$A:$I,9,FALSE),VLOOKUP(A161,Configuracion!$A:$B,2,FALSE))))</f>
        <v>#N/A</v>
      </c>
      <c r="E161">
        <f>IF(C161="Venta", IFERROR(VLOOKUP(A161, Configuracion!$A:$D, 3, FALSE), 0), 0)</f>
        <v>0</v>
      </c>
      <c r="F161">
        <f t="shared" si="7"/>
        <v>0</v>
      </c>
      <c r="H161">
        <f>IF(AND(G161="Gestor", A161&lt;&gt;""), VLOOKUP(A161, Configuracion!$A:$D, 4, FALSE), 0)*Tabla1023[[#This Row],[CANTIDAD]]</f>
        <v>0</v>
      </c>
      <c r="I161" t="str">
        <f t="shared" si="6"/>
        <v/>
      </c>
    </row>
    <row r="162" spans="2:9" x14ac:dyDescent="0.3">
      <c r="B162" t="e">
        <f>IFERROR(VLOOKUP(A162,miercoles!$A:$I,9,FALSE),IFERROR(VLOOKUP(A162,martes!$A:$I,9,FALSE),IFERROR(VLOOKUP(A162,lunes!$A:$I,9,FALSE),VLOOKUP(A162,Configuracion!$A:$B,2,FALSE))))</f>
        <v>#N/A</v>
      </c>
      <c r="E162">
        <f>IF(C162="Venta", IFERROR(VLOOKUP(A162, Configuracion!$A:$D, 3, FALSE), 0), 0)</f>
        <v>0</v>
      </c>
      <c r="F162">
        <f t="shared" si="7"/>
        <v>0</v>
      </c>
      <c r="H162">
        <f>IF(AND(G162="Gestor", A162&lt;&gt;""), VLOOKUP(A162, Configuracion!$A:$D, 4, FALSE), 0)*Tabla1023[[#This Row],[CANTIDAD]]</f>
        <v>0</v>
      </c>
      <c r="I162" t="str">
        <f t="shared" ref="I162:I189" si="8">IF(OR(A162="", D162=""), "", IF(C162="Entrada", B162+D162, IF(OR(C162="Venta", C162="Salida"), B162-D162, B162)))</f>
        <v/>
      </c>
    </row>
    <row r="163" spans="2:9" x14ac:dyDescent="0.3">
      <c r="B163" t="e">
        <f>IFERROR(VLOOKUP(A163,miercoles!$A:$I,9,FALSE),IFERROR(VLOOKUP(A163,martes!$A:$I,9,FALSE),IFERROR(VLOOKUP(A163,lunes!$A:$I,9,FALSE),VLOOKUP(A163,Configuracion!$A:$B,2,FALSE))))</f>
        <v>#N/A</v>
      </c>
      <c r="E163">
        <f>IF(C163="Venta", IFERROR(VLOOKUP(A163, Configuracion!$A:$D, 3, FALSE), 0), 0)</f>
        <v>0</v>
      </c>
      <c r="F163">
        <f t="shared" si="7"/>
        <v>0</v>
      </c>
      <c r="H163">
        <f>IF(AND(G163="Gestor", A163&lt;&gt;""), VLOOKUP(A163, Configuracion!$A:$D, 4, FALSE), 0)*Tabla1023[[#This Row],[CANTIDAD]]</f>
        <v>0</v>
      </c>
      <c r="I163" t="str">
        <f t="shared" si="8"/>
        <v/>
      </c>
    </row>
    <row r="164" spans="2:9" x14ac:dyDescent="0.3">
      <c r="B164" t="e">
        <f>IFERROR(VLOOKUP(A164,miercoles!$A:$I,9,FALSE),IFERROR(VLOOKUP(A164,martes!$A:$I,9,FALSE),IFERROR(VLOOKUP(A164,lunes!$A:$I,9,FALSE),VLOOKUP(A164,Configuracion!$A:$B,2,FALSE))))</f>
        <v>#N/A</v>
      </c>
      <c r="E164">
        <f>IF(C164="Venta", IFERROR(VLOOKUP(A164, Configuracion!$A:$D, 3, FALSE), 0), 0)</f>
        <v>0</v>
      </c>
      <c r="F164">
        <f t="shared" si="7"/>
        <v>0</v>
      </c>
      <c r="H164">
        <f>IF(AND(G164="Gestor", A164&lt;&gt;""), VLOOKUP(A164, Configuracion!$A:$D, 4, FALSE), 0)*Tabla1023[[#This Row],[CANTIDAD]]</f>
        <v>0</v>
      </c>
      <c r="I164" t="str">
        <f t="shared" si="8"/>
        <v/>
      </c>
    </row>
    <row r="165" spans="2:9" x14ac:dyDescent="0.3">
      <c r="B165" t="e">
        <f>IFERROR(VLOOKUP(A165,miercoles!$A:$I,9,FALSE),IFERROR(VLOOKUP(A165,martes!$A:$I,9,FALSE),IFERROR(VLOOKUP(A165,lunes!$A:$I,9,FALSE),VLOOKUP(A165,Configuracion!$A:$B,2,FALSE))))</f>
        <v>#N/A</v>
      </c>
      <c r="E165">
        <f>IF(C165="Venta", IFERROR(VLOOKUP(A165, Configuracion!$A:$D, 3, FALSE), 0), 0)</f>
        <v>0</v>
      </c>
      <c r="F165">
        <f t="shared" si="7"/>
        <v>0</v>
      </c>
      <c r="H165">
        <f>IF(AND(G165="Gestor", A165&lt;&gt;""), VLOOKUP(A165, Configuracion!$A:$D, 4, FALSE), 0)*Tabla1023[[#This Row],[CANTIDAD]]</f>
        <v>0</v>
      </c>
      <c r="I165" t="str">
        <f t="shared" si="8"/>
        <v/>
      </c>
    </row>
    <row r="166" spans="2:9" x14ac:dyDescent="0.3">
      <c r="B166" t="e">
        <f>IFERROR(VLOOKUP(A166,miercoles!$A:$I,9,FALSE),IFERROR(VLOOKUP(A166,martes!$A:$I,9,FALSE),IFERROR(VLOOKUP(A166,lunes!$A:$I,9,FALSE),VLOOKUP(A166,Configuracion!$A:$B,2,FALSE))))</f>
        <v>#N/A</v>
      </c>
      <c r="E166">
        <f>IF(C166="Venta", IFERROR(VLOOKUP(A166, Configuracion!$A:$D, 3, FALSE), 0), 0)</f>
        <v>0</v>
      </c>
      <c r="F166">
        <f t="shared" si="7"/>
        <v>0</v>
      </c>
      <c r="H166">
        <f>IF(AND(G166="Gestor", A166&lt;&gt;""), VLOOKUP(A166, Configuracion!$A:$D, 4, FALSE), 0)*Tabla1023[[#This Row],[CANTIDAD]]</f>
        <v>0</v>
      </c>
      <c r="I166" t="str">
        <f t="shared" si="8"/>
        <v/>
      </c>
    </row>
    <row r="167" spans="2:9" x14ac:dyDescent="0.3">
      <c r="B167" t="e">
        <f>IFERROR(VLOOKUP(A167,miercoles!$A:$I,9,FALSE),IFERROR(VLOOKUP(A167,martes!$A:$I,9,FALSE),IFERROR(VLOOKUP(A167,lunes!$A:$I,9,FALSE),VLOOKUP(A167,Configuracion!$A:$B,2,FALSE))))</f>
        <v>#N/A</v>
      </c>
      <c r="E167">
        <f>IF(C167="Venta", IFERROR(VLOOKUP(A167, Configuracion!$A:$D, 3, FALSE), 0), 0)</f>
        <v>0</v>
      </c>
      <c r="F167">
        <f t="shared" si="7"/>
        <v>0</v>
      </c>
      <c r="H167">
        <f>IF(AND(G167="Gestor", A167&lt;&gt;""), VLOOKUP(A167, Configuracion!$A:$D, 4, FALSE), 0)*Tabla1023[[#This Row],[CANTIDAD]]</f>
        <v>0</v>
      </c>
      <c r="I167" t="str">
        <f t="shared" si="8"/>
        <v/>
      </c>
    </row>
    <row r="168" spans="2:9" x14ac:dyDescent="0.3">
      <c r="B168" t="e">
        <f>IFERROR(VLOOKUP(A168,miercoles!$A:$I,9,FALSE),IFERROR(VLOOKUP(A168,martes!$A:$I,9,FALSE),IFERROR(VLOOKUP(A168,lunes!$A:$I,9,FALSE),VLOOKUP(A168,Configuracion!$A:$B,2,FALSE))))</f>
        <v>#N/A</v>
      </c>
      <c r="E168">
        <f>IF(C168="Venta", IFERROR(VLOOKUP(A168, Configuracion!$A:$D, 3, FALSE), 0), 0)</f>
        <v>0</v>
      </c>
      <c r="F168">
        <f t="shared" si="7"/>
        <v>0</v>
      </c>
      <c r="H168">
        <f>IF(AND(G168="Gestor", A168&lt;&gt;""), VLOOKUP(A168, Configuracion!$A:$D, 4, FALSE), 0)*Tabla1023[[#This Row],[CANTIDAD]]</f>
        <v>0</v>
      </c>
      <c r="I168" t="str">
        <f t="shared" si="8"/>
        <v/>
      </c>
    </row>
    <row r="169" spans="2:9" x14ac:dyDescent="0.3">
      <c r="B169" t="e">
        <f>IFERROR(VLOOKUP(A169,miercoles!$A:$I,9,FALSE),IFERROR(VLOOKUP(A169,martes!$A:$I,9,FALSE),IFERROR(VLOOKUP(A169,lunes!$A:$I,9,FALSE),VLOOKUP(A169,Configuracion!$A:$B,2,FALSE))))</f>
        <v>#N/A</v>
      </c>
      <c r="E169">
        <f>IF(C169="Venta", IFERROR(VLOOKUP(A169, Configuracion!$A:$D, 3, FALSE), 0), 0)</f>
        <v>0</v>
      </c>
      <c r="F169">
        <f t="shared" si="7"/>
        <v>0</v>
      </c>
      <c r="H169">
        <f>IF(AND(G169="Gestor", A169&lt;&gt;""), VLOOKUP(A169, Configuracion!$A:$D, 4, FALSE), 0)*Tabla1023[[#This Row],[CANTIDAD]]</f>
        <v>0</v>
      </c>
      <c r="I169" t="str">
        <f t="shared" si="8"/>
        <v/>
      </c>
    </row>
    <row r="170" spans="2:9" x14ac:dyDescent="0.3">
      <c r="B170" t="e">
        <f>IFERROR(VLOOKUP(A170,miercoles!$A:$I,9,FALSE),IFERROR(VLOOKUP(A170,martes!$A:$I,9,FALSE),IFERROR(VLOOKUP(A170,lunes!$A:$I,9,FALSE),VLOOKUP(A170,Configuracion!$A:$B,2,FALSE))))</f>
        <v>#N/A</v>
      </c>
      <c r="E170">
        <f>IF(C170="Venta", IFERROR(VLOOKUP(A170, Configuracion!$A:$D, 3, FALSE), 0), 0)</f>
        <v>0</v>
      </c>
      <c r="F170">
        <f t="shared" si="7"/>
        <v>0</v>
      </c>
      <c r="H170">
        <f>IF(AND(G170="Gestor", A170&lt;&gt;""), VLOOKUP(A170, Configuracion!$A:$D, 4, FALSE), 0)*Tabla1023[[#This Row],[CANTIDAD]]</f>
        <v>0</v>
      </c>
      <c r="I170" t="str">
        <f t="shared" si="8"/>
        <v/>
      </c>
    </row>
    <row r="171" spans="2:9" x14ac:dyDescent="0.3">
      <c r="B171" t="e">
        <f>IFERROR(VLOOKUP(A171,miercoles!$A:$I,9,FALSE),IFERROR(VLOOKUP(A171,martes!$A:$I,9,FALSE),IFERROR(VLOOKUP(A171,lunes!$A:$I,9,FALSE),VLOOKUP(A171,Configuracion!$A:$B,2,FALSE))))</f>
        <v>#N/A</v>
      </c>
      <c r="E171">
        <f>IF(C171="Venta", IFERROR(VLOOKUP(A171, Configuracion!$A:$D, 3, FALSE), 0), 0)</f>
        <v>0</v>
      </c>
      <c r="F171">
        <f t="shared" si="7"/>
        <v>0</v>
      </c>
      <c r="H171">
        <f>IF(AND(G171="Gestor", A171&lt;&gt;""), VLOOKUP(A171, Configuracion!$A:$D, 4, FALSE), 0)*Tabla1023[[#This Row],[CANTIDAD]]</f>
        <v>0</v>
      </c>
      <c r="I171" t="str">
        <f t="shared" si="8"/>
        <v/>
      </c>
    </row>
    <row r="172" spans="2:9" x14ac:dyDescent="0.3">
      <c r="B172" t="e">
        <f>IFERROR(VLOOKUP(A172,miercoles!$A:$I,9,FALSE),IFERROR(VLOOKUP(A172,martes!$A:$I,9,FALSE),IFERROR(VLOOKUP(A172,lunes!$A:$I,9,FALSE),VLOOKUP(A172,Configuracion!$A:$B,2,FALSE))))</f>
        <v>#N/A</v>
      </c>
      <c r="E172">
        <f>IF(C172="Venta", IFERROR(VLOOKUP(A172, Configuracion!$A:$D, 3, FALSE), 0), 0)</f>
        <v>0</v>
      </c>
      <c r="F172">
        <f t="shared" si="7"/>
        <v>0</v>
      </c>
      <c r="H172">
        <f>IF(AND(G172="Gestor", A172&lt;&gt;""), VLOOKUP(A172, Configuracion!$A:$D, 4, FALSE), 0)*Tabla1023[[#This Row],[CANTIDAD]]</f>
        <v>0</v>
      </c>
      <c r="I172" t="str">
        <f t="shared" si="8"/>
        <v/>
      </c>
    </row>
    <row r="173" spans="2:9" x14ac:dyDescent="0.3">
      <c r="B173" t="e">
        <f>IFERROR(VLOOKUP(A173,miercoles!$A:$I,9,FALSE),IFERROR(VLOOKUP(A173,martes!$A:$I,9,FALSE),IFERROR(VLOOKUP(A173,lunes!$A:$I,9,FALSE),VLOOKUP(A173,Configuracion!$A:$B,2,FALSE))))</f>
        <v>#N/A</v>
      </c>
      <c r="E173">
        <f>IF(C173="Venta", IFERROR(VLOOKUP(A173, Configuracion!$A:$D, 3, FALSE), 0), 0)</f>
        <v>0</v>
      </c>
      <c r="F173">
        <f t="shared" si="7"/>
        <v>0</v>
      </c>
      <c r="H173">
        <f>IF(AND(G173="Gestor", A173&lt;&gt;""), VLOOKUP(A173, Configuracion!$A:$D, 4, FALSE), 0)*Tabla1023[[#This Row],[CANTIDAD]]</f>
        <v>0</v>
      </c>
      <c r="I173" t="str">
        <f t="shared" si="8"/>
        <v/>
      </c>
    </row>
    <row r="174" spans="2:9" x14ac:dyDescent="0.3">
      <c r="B174" t="e">
        <f>IFERROR(VLOOKUP(A174,miercoles!$A:$I,9,FALSE),IFERROR(VLOOKUP(A174,martes!$A:$I,9,FALSE),IFERROR(VLOOKUP(A174,lunes!$A:$I,9,FALSE),VLOOKUP(A174,Configuracion!$A:$B,2,FALSE))))</f>
        <v>#N/A</v>
      </c>
      <c r="E174">
        <f>IF(C174="Venta", IFERROR(VLOOKUP(A174, Configuracion!$A:$D, 3, FALSE), 0), 0)</f>
        <v>0</v>
      </c>
      <c r="F174">
        <f t="shared" si="7"/>
        <v>0</v>
      </c>
      <c r="H174">
        <f>IF(AND(G174="Gestor", A174&lt;&gt;""), VLOOKUP(A174, Configuracion!$A:$D, 4, FALSE), 0)*Tabla1023[[#This Row],[CANTIDAD]]</f>
        <v>0</v>
      </c>
      <c r="I174" t="str">
        <f t="shared" si="8"/>
        <v/>
      </c>
    </row>
    <row r="175" spans="2:9" x14ac:dyDescent="0.3">
      <c r="B175" t="e">
        <f>IFERROR(VLOOKUP(A175,miercoles!$A:$I,9,FALSE),IFERROR(VLOOKUP(A175,martes!$A:$I,9,FALSE),IFERROR(VLOOKUP(A175,lunes!$A:$I,9,FALSE),VLOOKUP(A175,Configuracion!$A:$B,2,FALSE))))</f>
        <v>#N/A</v>
      </c>
      <c r="E175">
        <f>IF(C175="Venta", IFERROR(VLOOKUP(A175, Configuracion!$A:$D, 3, FALSE), 0), 0)</f>
        <v>0</v>
      </c>
      <c r="F175">
        <f t="shared" si="7"/>
        <v>0</v>
      </c>
      <c r="H175">
        <f>IF(AND(G175="Gestor", A175&lt;&gt;""), VLOOKUP(A175, Configuracion!$A:$D, 4, FALSE), 0)*Tabla1023[[#This Row],[CANTIDAD]]</f>
        <v>0</v>
      </c>
      <c r="I175" t="str">
        <f t="shared" si="8"/>
        <v/>
      </c>
    </row>
    <row r="176" spans="2:9" x14ac:dyDescent="0.3">
      <c r="B176" t="e">
        <f>IFERROR(VLOOKUP(A176,miercoles!$A:$I,9,FALSE),IFERROR(VLOOKUP(A176,martes!$A:$I,9,FALSE),IFERROR(VLOOKUP(A176,lunes!$A:$I,9,FALSE),VLOOKUP(A176,Configuracion!$A:$B,2,FALSE))))</f>
        <v>#N/A</v>
      </c>
      <c r="E176">
        <f>IF(C176="Venta", IFERROR(VLOOKUP(A176, Configuracion!$A:$D, 3, FALSE), 0), 0)</f>
        <v>0</v>
      </c>
      <c r="F176">
        <f t="shared" si="7"/>
        <v>0</v>
      </c>
      <c r="H176">
        <f>IF(AND(G176="Gestor", A176&lt;&gt;""), VLOOKUP(A176, Configuracion!$A:$D, 4, FALSE), 0)*Tabla1023[[#This Row],[CANTIDAD]]</f>
        <v>0</v>
      </c>
      <c r="I176" t="str">
        <f t="shared" si="8"/>
        <v/>
      </c>
    </row>
    <row r="177" spans="2:9" x14ac:dyDescent="0.3">
      <c r="B177" t="e">
        <f>IFERROR(VLOOKUP(A177,miercoles!$A:$I,9,FALSE),IFERROR(VLOOKUP(A177,martes!$A:$I,9,FALSE),IFERROR(VLOOKUP(A177,lunes!$A:$I,9,FALSE),VLOOKUP(A177,Configuracion!$A:$B,2,FALSE))))</f>
        <v>#N/A</v>
      </c>
      <c r="E177">
        <f>IF(C177="Venta", IFERROR(VLOOKUP(A177, Configuracion!$A:$D, 3, FALSE), 0), 0)</f>
        <v>0</v>
      </c>
      <c r="F177">
        <f t="shared" si="7"/>
        <v>0</v>
      </c>
      <c r="H177">
        <f>IF(AND(G177="Gestor", A177&lt;&gt;""), VLOOKUP(A177, Configuracion!$A:$D, 4, FALSE), 0)*Tabla1023[[#This Row],[CANTIDAD]]</f>
        <v>0</v>
      </c>
      <c r="I177" t="str">
        <f t="shared" si="8"/>
        <v/>
      </c>
    </row>
    <row r="178" spans="2:9" x14ac:dyDescent="0.3">
      <c r="B178" t="e">
        <f>IFERROR(VLOOKUP(A178,miercoles!$A:$I,9,FALSE),IFERROR(VLOOKUP(A178,martes!$A:$I,9,FALSE),IFERROR(VLOOKUP(A178,lunes!$A:$I,9,FALSE),VLOOKUP(A178,Configuracion!$A:$B,2,FALSE))))</f>
        <v>#N/A</v>
      </c>
      <c r="E178">
        <f>IF(C178="Venta", IFERROR(VLOOKUP(A178, Configuracion!$A:$D, 3, FALSE), 0), 0)</f>
        <v>0</v>
      </c>
      <c r="F178">
        <f t="shared" si="7"/>
        <v>0</v>
      </c>
      <c r="H178">
        <f>IF(AND(G178="Gestor", A178&lt;&gt;""), VLOOKUP(A178, Configuracion!$A:$D, 4, FALSE), 0)*Tabla1023[[#This Row],[CANTIDAD]]</f>
        <v>0</v>
      </c>
      <c r="I178" t="str">
        <f t="shared" si="8"/>
        <v/>
      </c>
    </row>
    <row r="179" spans="2:9" x14ac:dyDescent="0.3">
      <c r="B179" t="e">
        <f>IFERROR(VLOOKUP(A179,miercoles!$A:$I,9,FALSE),IFERROR(VLOOKUP(A179,martes!$A:$I,9,FALSE),IFERROR(VLOOKUP(A179,lunes!$A:$I,9,FALSE),VLOOKUP(A179,Configuracion!$A:$B,2,FALSE))))</f>
        <v>#N/A</v>
      </c>
      <c r="E179">
        <f>IF(C179="Venta", IFERROR(VLOOKUP(A179, Configuracion!$A:$D, 3, FALSE), 0), 0)</f>
        <v>0</v>
      </c>
      <c r="F179">
        <f t="shared" si="7"/>
        <v>0</v>
      </c>
      <c r="H179">
        <f>IF(AND(G179="Gestor", A179&lt;&gt;""), VLOOKUP(A179, Configuracion!$A:$D, 4, FALSE), 0)*Tabla1023[[#This Row],[CANTIDAD]]</f>
        <v>0</v>
      </c>
      <c r="I179" t="str">
        <f t="shared" si="8"/>
        <v/>
      </c>
    </row>
    <row r="180" spans="2:9" x14ac:dyDescent="0.3">
      <c r="B180" t="e">
        <f>IFERROR(VLOOKUP(A180,miercoles!$A:$I,9,FALSE),IFERROR(VLOOKUP(A180,martes!$A:$I,9,FALSE),IFERROR(VLOOKUP(A180,lunes!$A:$I,9,FALSE),VLOOKUP(A180,Configuracion!$A:$B,2,FALSE))))</f>
        <v>#N/A</v>
      </c>
      <c r="E180">
        <f>IF(C180="Venta", IFERROR(VLOOKUP(A180, Configuracion!$A:$D, 3, FALSE), 0), 0)</f>
        <v>0</v>
      </c>
      <c r="F180">
        <f t="shared" si="7"/>
        <v>0</v>
      </c>
      <c r="H180">
        <f>IF(AND(G180="Gestor", A180&lt;&gt;""), VLOOKUP(A180, Configuracion!$A:$D, 4, FALSE), 0)*Tabla1023[[#This Row],[CANTIDAD]]</f>
        <v>0</v>
      </c>
      <c r="I180" t="str">
        <f t="shared" si="8"/>
        <v/>
      </c>
    </row>
    <row r="181" spans="2:9" x14ac:dyDescent="0.3">
      <c r="B181" t="e">
        <f>IFERROR(VLOOKUP(A181,miercoles!$A:$I,9,FALSE),IFERROR(VLOOKUP(A181,martes!$A:$I,9,FALSE),IFERROR(VLOOKUP(A181,lunes!$A:$I,9,FALSE),VLOOKUP(A181,Configuracion!$A:$B,2,FALSE))))</f>
        <v>#N/A</v>
      </c>
      <c r="E181">
        <f>IF(C181="Venta", IFERROR(VLOOKUP(A181, Configuracion!$A:$D, 3, FALSE), 0), 0)</f>
        <v>0</v>
      </c>
      <c r="F181">
        <f t="shared" si="7"/>
        <v>0</v>
      </c>
      <c r="H181">
        <f>IF(AND(G181="Gestor", A181&lt;&gt;""), VLOOKUP(A181, Configuracion!$A:$D, 4, FALSE), 0)*Tabla1023[[#This Row],[CANTIDAD]]</f>
        <v>0</v>
      </c>
      <c r="I181" t="str">
        <f t="shared" si="8"/>
        <v/>
      </c>
    </row>
    <row r="182" spans="2:9" x14ac:dyDescent="0.3">
      <c r="B182" t="e">
        <f>IFERROR(VLOOKUP(A182,miercoles!$A:$I,9,FALSE),IFERROR(VLOOKUP(A182,martes!$A:$I,9,FALSE),IFERROR(VLOOKUP(A182,lunes!$A:$I,9,FALSE),VLOOKUP(A182,Configuracion!$A:$B,2,FALSE))))</f>
        <v>#N/A</v>
      </c>
      <c r="E182">
        <f>IF(C182="Venta", IFERROR(VLOOKUP(A182, Configuracion!$A:$D, 3, FALSE), 0), 0)</f>
        <v>0</v>
      </c>
      <c r="F182">
        <f t="shared" si="7"/>
        <v>0</v>
      </c>
      <c r="H182">
        <f>IF(AND(G182="Gestor", A182&lt;&gt;""), VLOOKUP(A182, Configuracion!$A:$D, 4, FALSE), 0)*Tabla1023[[#This Row],[CANTIDAD]]</f>
        <v>0</v>
      </c>
      <c r="I182" t="str">
        <f t="shared" si="8"/>
        <v/>
      </c>
    </row>
    <row r="183" spans="2:9" x14ac:dyDescent="0.3">
      <c r="B183" t="e">
        <f>IFERROR(VLOOKUP(A183,miercoles!$A:$I,9,FALSE),IFERROR(VLOOKUP(A183,martes!$A:$I,9,FALSE),IFERROR(VLOOKUP(A183,lunes!$A:$I,9,FALSE),VLOOKUP(A183,Configuracion!$A:$B,2,FALSE))))</f>
        <v>#N/A</v>
      </c>
      <c r="E183">
        <f>IF(C183="Venta", IFERROR(VLOOKUP(A183, Configuracion!$A:$D, 3, FALSE), 0), 0)</f>
        <v>0</v>
      </c>
      <c r="F183">
        <f t="shared" si="7"/>
        <v>0</v>
      </c>
      <c r="H183">
        <f>IF(AND(G183="Gestor", A183&lt;&gt;""), VLOOKUP(A183, Configuracion!$A:$D, 4, FALSE), 0)*Tabla1023[[#This Row],[CANTIDAD]]</f>
        <v>0</v>
      </c>
      <c r="I183" t="str">
        <f t="shared" si="8"/>
        <v/>
      </c>
    </row>
    <row r="184" spans="2:9" x14ac:dyDescent="0.3">
      <c r="B184" t="e">
        <f>IFERROR(VLOOKUP(A184,miercoles!$A:$I,9,FALSE),IFERROR(VLOOKUP(A184,martes!$A:$I,9,FALSE),IFERROR(VLOOKUP(A184,lunes!$A:$I,9,FALSE),VLOOKUP(A184,Configuracion!$A:$B,2,FALSE))))</f>
        <v>#N/A</v>
      </c>
      <c r="E184">
        <f>IF(C184="Venta", IFERROR(VLOOKUP(A184, Configuracion!$A:$D, 3, FALSE), 0), 0)</f>
        <v>0</v>
      </c>
      <c r="F184">
        <f t="shared" si="7"/>
        <v>0</v>
      </c>
      <c r="H184">
        <f>IF(AND(G184="Gestor", A184&lt;&gt;""), VLOOKUP(A184, Configuracion!$A:$D, 4, FALSE), 0)*Tabla1023[[#This Row],[CANTIDAD]]</f>
        <v>0</v>
      </c>
      <c r="I184" t="str">
        <f t="shared" si="8"/>
        <v/>
      </c>
    </row>
    <row r="185" spans="2:9" x14ac:dyDescent="0.3">
      <c r="B185" t="e">
        <f>IFERROR(VLOOKUP(A185,miercoles!$A:$I,9,FALSE),IFERROR(VLOOKUP(A185,martes!$A:$I,9,FALSE),IFERROR(VLOOKUP(A185,lunes!$A:$I,9,FALSE),VLOOKUP(A185,Configuracion!$A:$B,2,FALSE))))</f>
        <v>#N/A</v>
      </c>
      <c r="E185">
        <f>IF(C185="Venta", IFERROR(VLOOKUP(A185, Configuracion!$A:$D, 3, FALSE), 0), 0)</f>
        <v>0</v>
      </c>
      <c r="F185">
        <f t="shared" si="7"/>
        <v>0</v>
      </c>
      <c r="H185">
        <f>IF(AND(G185="Gestor", A185&lt;&gt;""), VLOOKUP(A185, Configuracion!$A:$D, 4, FALSE), 0)*Tabla1023[[#This Row],[CANTIDAD]]</f>
        <v>0</v>
      </c>
      <c r="I185" t="str">
        <f t="shared" si="8"/>
        <v/>
      </c>
    </row>
    <row r="186" spans="2:9" x14ac:dyDescent="0.3">
      <c r="B186" t="e">
        <f>IFERROR(VLOOKUP(A186,miercoles!$A:$I,9,FALSE),IFERROR(VLOOKUP(A186,martes!$A:$I,9,FALSE),IFERROR(VLOOKUP(A186,lunes!$A:$I,9,FALSE),VLOOKUP(A186,Configuracion!$A:$B,2,FALSE))))</f>
        <v>#N/A</v>
      </c>
      <c r="E186">
        <f>IF(C186="Venta", IFERROR(VLOOKUP(A186, Configuracion!$A:$D, 3, FALSE), 0), 0)</f>
        <v>0</v>
      </c>
      <c r="F186">
        <f t="shared" si="7"/>
        <v>0</v>
      </c>
      <c r="H186">
        <f>IF(AND(G186="Gestor", A186&lt;&gt;""), VLOOKUP(A186, Configuracion!$A:$D, 4, FALSE), 0)*Tabla1023[[#This Row],[CANTIDAD]]</f>
        <v>0</v>
      </c>
      <c r="I186" t="str">
        <f t="shared" si="8"/>
        <v/>
      </c>
    </row>
    <row r="187" spans="2:9" x14ac:dyDescent="0.3">
      <c r="B187" t="e">
        <f>IFERROR(VLOOKUP(A187,miercoles!$A:$I,9,FALSE),IFERROR(VLOOKUP(A187,martes!$A:$I,9,FALSE),IFERROR(VLOOKUP(A187,lunes!$A:$I,9,FALSE),VLOOKUP(A187,Configuracion!$A:$B,2,FALSE))))</f>
        <v>#N/A</v>
      </c>
      <c r="E187">
        <f>IF(C187="Venta", IFERROR(VLOOKUP(A187, Configuracion!$A:$D, 3, FALSE), 0), 0)</f>
        <v>0</v>
      </c>
      <c r="F187">
        <f t="shared" si="7"/>
        <v>0</v>
      </c>
      <c r="H187">
        <f>IF(AND(G187="Gestor", A187&lt;&gt;""), VLOOKUP(A187, Configuracion!$A:$D, 4, FALSE), 0)*Tabla1023[[#This Row],[CANTIDAD]]</f>
        <v>0</v>
      </c>
      <c r="I187" t="str">
        <f t="shared" si="8"/>
        <v/>
      </c>
    </row>
    <row r="188" spans="2:9" x14ac:dyDescent="0.3">
      <c r="B188" t="e">
        <f>IFERROR(VLOOKUP(A188,miercoles!$A:$I,9,FALSE),IFERROR(VLOOKUP(A188,martes!$A:$I,9,FALSE),IFERROR(VLOOKUP(A188,lunes!$A:$I,9,FALSE),VLOOKUP(A188,Configuracion!$A:$B,2,FALSE))))</f>
        <v>#N/A</v>
      </c>
      <c r="E188">
        <f>IF(C188="Venta", IFERROR(VLOOKUP(A188, Configuracion!$A:$D, 3, FALSE), 0), 0)</f>
        <v>0</v>
      </c>
      <c r="F188">
        <f t="shared" si="7"/>
        <v>0</v>
      </c>
      <c r="H188">
        <f>IF(AND(G188="Gestor", A188&lt;&gt;""), VLOOKUP(A188, Configuracion!$A:$D, 4, FALSE), 0)*Tabla1023[[#This Row],[CANTIDAD]]</f>
        <v>0</v>
      </c>
      <c r="I188" t="str">
        <f t="shared" si="8"/>
        <v/>
      </c>
    </row>
    <row r="189" spans="2:9" x14ac:dyDescent="0.3">
      <c r="B189" t="e">
        <f>IFERROR(VLOOKUP(A189,miercoles!$A:$I,9,FALSE),IFERROR(VLOOKUP(A189,martes!$A:$I,9,FALSE),IFERROR(VLOOKUP(A189,lunes!$A:$I,9,FALSE),VLOOKUP(A189,Configuracion!$A:$B,2,FALSE))))</f>
        <v>#N/A</v>
      </c>
      <c r="E189">
        <f>IF(C189="Venta", IFERROR(VLOOKUP(A189, Configuracion!$A:$D, 3, FALSE), 0), 0)</f>
        <v>0</v>
      </c>
      <c r="F189">
        <f t="shared" si="7"/>
        <v>0</v>
      </c>
      <c r="H189">
        <f>IF(AND(G189="Gestor", A189&lt;&gt;""), VLOOKUP(A189, Configuracion!$A:$D, 4, FALSE), 0)*Tabla1023[[#This Row],[CANTIDAD]]</f>
        <v>0</v>
      </c>
      <c r="I189" t="str">
        <f t="shared" si="8"/>
        <v/>
      </c>
    </row>
    <row r="190" spans="2:9" x14ac:dyDescent="0.3">
      <c r="B190" t="e">
        <f>IFERROR(VLOOKUP(A190,miercoles!$A:$I,9,FALSE),IFERROR(VLOOKUP(A190,martes!$A:$I,9,FALSE),IFERROR(VLOOKUP(A190,lunes!$A:$I,9,FALSE),VLOOKUP(A190,Configuracion!$A:$B,2,FALSE))))</f>
        <v>#N/A</v>
      </c>
      <c r="E190">
        <f>IF(C190="Venta", IFERROR(VLOOKUP(A190, Configuracion!$A:$D, 3, FALSE), 0), 0)</f>
        <v>0</v>
      </c>
      <c r="F190">
        <f t="shared" si="7"/>
        <v>0</v>
      </c>
      <c r="H190">
        <f>IF(AND(G190="Gestor", A190&lt;&gt;""), VLOOKUP(A190, Configuracion!$A:$D, 4, FALSE), 0)*Tabla1023[[#This Row],[CANTIDAD]]</f>
        <v>0</v>
      </c>
    </row>
  </sheetData>
  <dataValidations count="3">
    <dataValidation type="list" allowBlank="1" showInputMessage="1" showErrorMessage="1" sqref="C2:C194" xr:uid="{00000000-0002-0000-0400-000000000000}">
      <formula1>"ENTRADA, SALIDA, VENTA"</formula1>
    </dataValidation>
    <dataValidation type="list" allowBlank="1" showInputMessage="1" showErrorMessage="1" sqref="A2:A194" xr:uid="{00000000-0002-0000-0400-000001000000}">
      <formula1>LISTA_PRODUCTOS</formula1>
    </dataValidation>
    <dataValidation type="list" allowBlank="1" showInputMessage="1" showErrorMessage="1" sqref="G2:G194" xr:uid="{00000000-0002-0000-0400-000002000000}">
      <formula1>"TIENDA, GESTOR, MOV"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90"/>
  <sheetViews>
    <sheetView topLeftCell="C5" workbookViewId="0">
      <selection activeCell="O6" sqref="O6"/>
    </sheetView>
  </sheetViews>
  <sheetFormatPr baseColWidth="10" defaultColWidth="11.5546875" defaultRowHeight="14.4" x14ac:dyDescent="0.3"/>
  <cols>
    <col min="1" max="1" width="25.6640625" customWidth="1"/>
    <col min="2" max="2" width="15.109375" customWidth="1"/>
    <col min="3" max="3" width="14.6640625" customWidth="1"/>
    <col min="4" max="4" width="11.6640625" style="17" customWidth="1"/>
    <col min="5" max="5" width="15.33203125" customWidth="1"/>
    <col min="6" max="6" width="10.6640625" customWidth="1"/>
    <col min="7" max="7" width="22.33203125" customWidth="1"/>
    <col min="8" max="8" width="11.88671875" customWidth="1"/>
    <col min="9" max="9" width="13.6640625" customWidth="1"/>
    <col min="10" max="10" width="5.33203125" customWidth="1"/>
    <col min="11" max="11" width="14.44140625" customWidth="1"/>
    <col min="12" max="12" width="12.6640625" customWidth="1"/>
    <col min="13" max="13" width="4.33203125" customWidth="1"/>
    <col min="14" max="14" width="15.6640625" customWidth="1"/>
    <col min="15" max="15" width="13.77734375" bestFit="1" customWidth="1"/>
  </cols>
  <sheetData>
    <row r="1" spans="1:19" x14ac:dyDescent="0.3">
      <c r="A1" s="1" t="s">
        <v>7</v>
      </c>
      <c r="B1" s="1" t="s">
        <v>3</v>
      </c>
      <c r="C1" s="1" t="s">
        <v>8</v>
      </c>
      <c r="D1" s="16" t="s">
        <v>9</v>
      </c>
      <c r="E1" s="1" t="s">
        <v>1</v>
      </c>
      <c r="F1" s="1" t="s">
        <v>185</v>
      </c>
      <c r="G1" s="1" t="s">
        <v>189</v>
      </c>
      <c r="H1" s="1" t="s">
        <v>2</v>
      </c>
      <c r="I1" s="1" t="s">
        <v>6</v>
      </c>
      <c r="J1" s="1"/>
      <c r="K1" s="8" t="s">
        <v>200</v>
      </c>
      <c r="L1" s="9" t="s">
        <v>218</v>
      </c>
      <c r="M1" s="1"/>
      <c r="N1" s="1"/>
      <c r="O1" s="1" t="s">
        <v>9</v>
      </c>
      <c r="P1" s="1" t="s">
        <v>192</v>
      </c>
      <c r="Q1" s="1" t="s">
        <v>244</v>
      </c>
      <c r="R1" s="23" t="s">
        <v>192</v>
      </c>
      <c r="S1" s="23" t="s">
        <v>226</v>
      </c>
    </row>
    <row r="2" spans="1:19" x14ac:dyDescent="0.3">
      <c r="B2" t="e">
        <f>IFERROR(VLOOKUP(A2,jueves!$A:$I,9,FALSE),IFERROR(VLOOKUP(A2,miercoles!$A:$I,9,FALSE),IFERROR(VLOOKUP(A2,martes!$A:$I,9,FALSE),IFERROR(VLOOKUP(A2,lunes!$A:$I,9,FALSE),VLOOKUP(A2,Configuracion!$A:$B,2,FALSE)))))</f>
        <v>#N/A</v>
      </c>
      <c r="C2" t="s">
        <v>184</v>
      </c>
      <c r="D2" s="17">
        <v>1</v>
      </c>
      <c r="E2">
        <f>IF(C2="Venta", IFERROR(VLOOKUP(A2, Configuracion!$A:$D, 3, FALSE), 0), 0)</f>
        <v>0</v>
      </c>
      <c r="F2">
        <f>E2*D2</f>
        <v>0</v>
      </c>
      <c r="G2" t="s">
        <v>188</v>
      </c>
      <c r="H2">
        <f>IF(AND(G2="Gestor", A2&lt;&gt;""), VLOOKUP(A2, Configuracion!$A:$D, 4, FALSE), 0)*Tabla1025[[#This Row],[CANTIDAD]]</f>
        <v>0</v>
      </c>
      <c r="I2" t="str">
        <f t="shared" ref="I2:I33" si="0">IF(OR(A2="", D2=""), "", IF(C2="Entrada", B2+D2, IF(OR(C2="Venta", C2="Salida"), B2-D2, B2)))</f>
        <v/>
      </c>
      <c r="K2" s="6" t="s">
        <v>205</v>
      </c>
      <c r="L2" s="7">
        <v>540</v>
      </c>
      <c r="N2" s="2" t="s">
        <v>191</v>
      </c>
      <c r="O2" s="2">
        <f>Tabla15[[#Totals],[IMPORTE]]</f>
        <v>9440</v>
      </c>
      <c r="P2" s="2">
        <f>O2</f>
        <v>9440</v>
      </c>
      <c r="Q2" s="1"/>
    </row>
    <row r="3" spans="1:19" x14ac:dyDescent="0.3">
      <c r="B3" t="e">
        <f>IFERROR(VLOOKUP(A3,jueves!$A:$I,9,FALSE),IFERROR(VLOOKUP(A3,miercoles!$A:$I,9,FALSE),IFERROR(VLOOKUP(A3,martes!$A:$I,9,FALSE),IFERROR(VLOOKUP(A3,lunes!$A:$I,9,FALSE),VLOOKUP(A3,Configuracion!$A:$B,2,FALSE)))))</f>
        <v>#N/A</v>
      </c>
      <c r="C3" t="s">
        <v>184</v>
      </c>
      <c r="D3" s="17">
        <v>1</v>
      </c>
      <c r="E3">
        <f>IF(C3="Venta", IFERROR(VLOOKUP(A3, Configuracion!$A:$D, 3, FALSE), 0), 0)</f>
        <v>0</v>
      </c>
      <c r="F3">
        <f>E3*D3</f>
        <v>0</v>
      </c>
      <c r="G3" t="s">
        <v>10</v>
      </c>
      <c r="H3">
        <f>IF(AND(G3="Gestor", A3&lt;&gt;""), VLOOKUP(A3, Configuracion!$A:$D, 4, FALSE), 0)*Tabla1025[[#This Row],[CANTIDAD]]</f>
        <v>0</v>
      </c>
      <c r="I3" t="str">
        <f t="shared" si="0"/>
        <v/>
      </c>
      <c r="K3" s="10" t="s">
        <v>206</v>
      </c>
      <c r="L3" s="11">
        <v>20</v>
      </c>
      <c r="N3" s="3" t="s">
        <v>194</v>
      </c>
      <c r="O3" s="3">
        <v>4710</v>
      </c>
      <c r="P3" s="3">
        <f>O3</f>
        <v>4710</v>
      </c>
    </row>
    <row r="4" spans="1:19" x14ac:dyDescent="0.3">
      <c r="B4" t="e">
        <f>IFERROR(VLOOKUP(A4,jueves!$A:$I,9,FALSE),IFERROR(VLOOKUP(A4,miercoles!$A:$I,9,FALSE),IFERROR(VLOOKUP(A4,martes!$A:$I,9,FALSE),IFERROR(VLOOKUP(A4,lunes!$A:$I,9,FALSE),VLOOKUP(A4,Configuracion!$A:$B,2,FALSE)))))</f>
        <v>#N/A</v>
      </c>
      <c r="C4" t="s">
        <v>186</v>
      </c>
      <c r="D4" s="17">
        <v>1</v>
      </c>
      <c r="E4">
        <f>IF(C4="Venta", IFERROR(VLOOKUP(A4, Configuracion!$A:$D, 3, FALSE), 0), 0)</f>
        <v>0</v>
      </c>
      <c r="F4">
        <f t="shared" ref="F4:F67" si="1">E4*D4</f>
        <v>0</v>
      </c>
      <c r="G4" t="s">
        <v>190</v>
      </c>
      <c r="H4">
        <f>IF(AND(G4="Gestor", A4&lt;&gt;""), VLOOKUP(A4, Configuracion!$A:$D, 4, FALSE), 0)*Tabla1025[[#This Row],[CANTIDAD]]</f>
        <v>0</v>
      </c>
      <c r="I4" t="str">
        <f t="shared" si="0"/>
        <v/>
      </c>
      <c r="N4" s="3" t="s">
        <v>195</v>
      </c>
      <c r="O4" s="3">
        <v>380</v>
      </c>
      <c r="P4" s="3">
        <f>O4</f>
        <v>380</v>
      </c>
    </row>
    <row r="5" spans="1:19" x14ac:dyDescent="0.3">
      <c r="B5" t="e">
        <f>IFERROR(VLOOKUP(A5,jueves!$A:$I,9,FALSE),IFERROR(VLOOKUP(A5,miercoles!$A:$I,9,FALSE),IFERROR(VLOOKUP(A5,martes!$A:$I,9,FALSE),IFERROR(VLOOKUP(A5,lunes!$A:$I,9,FALSE),VLOOKUP(A5,Configuracion!$A:$B,2,FALSE)))))</f>
        <v>#N/A</v>
      </c>
      <c r="E5">
        <f>IF(C5="Venta", IFERROR(VLOOKUP(A5, Configuracion!$A:$D, 3, FALSE), 0), 0)</f>
        <v>0</v>
      </c>
      <c r="F5">
        <f t="shared" si="1"/>
        <v>0</v>
      </c>
      <c r="H5">
        <f>IF(AND(G5="Gestor", A5&lt;&gt;""), VLOOKUP(A5, Configuracion!$A:$D, 4, FALSE), 0)*Tabla1025[[#This Row],[CANTIDAD]]</f>
        <v>0</v>
      </c>
      <c r="I5" t="str">
        <f t="shared" si="0"/>
        <v/>
      </c>
      <c r="N5" s="3" t="s">
        <v>196</v>
      </c>
      <c r="O5" s="3"/>
      <c r="P5" s="3">
        <f>O5/L3</f>
        <v>0</v>
      </c>
    </row>
    <row r="6" spans="1:19" x14ac:dyDescent="0.3">
      <c r="B6" t="e">
        <f>IFERROR(VLOOKUP(A6,jueves!$A:$I,9,FALSE),IFERROR(VLOOKUP(A6,miercoles!$A:$I,9,FALSE),IFERROR(VLOOKUP(A6,martes!$A:$I,9,FALSE),IFERROR(VLOOKUP(A6,lunes!$A:$I,9,FALSE),VLOOKUP(A6,Configuracion!$A:$B,2,FALSE)))))</f>
        <v>#N/A</v>
      </c>
      <c r="E6">
        <f>IF(C6="Venta", IFERROR(VLOOKUP(A6, Configuracion!$A:$D, 3, FALSE), 0), 0)</f>
        <v>0</v>
      </c>
      <c r="F6">
        <f t="shared" si="1"/>
        <v>0</v>
      </c>
      <c r="H6">
        <f>IF(AND(G6="Gestor", A6&lt;&gt;""), VLOOKUP(A6, Configuracion!$A:$D, 4, FALSE), 0)*Tabla1025[[#This Row],[CANTIDAD]]</f>
        <v>0</v>
      </c>
      <c r="I6" t="str">
        <f t="shared" si="0"/>
        <v/>
      </c>
      <c r="N6" s="3" t="s">
        <v>197</v>
      </c>
      <c r="O6" s="33">
        <v>1252800</v>
      </c>
      <c r="P6" s="3">
        <f>O6/L2</f>
        <v>2320</v>
      </c>
    </row>
    <row r="7" spans="1:19" x14ac:dyDescent="0.3">
      <c r="B7" t="e">
        <f>IFERROR(VLOOKUP(A7,jueves!$A:$I,9,FALSE),IFERROR(VLOOKUP(A7,miercoles!$A:$I,9,FALSE),IFERROR(VLOOKUP(A7,martes!$A:$I,9,FALSE),IFERROR(VLOOKUP(A7,lunes!$A:$I,9,FALSE),VLOOKUP(A7,Configuracion!$A:$B,2,FALSE)))))</f>
        <v>#N/A</v>
      </c>
      <c r="E7">
        <f>IF(C7="Venta", IFERROR(VLOOKUP(A7, Configuracion!$A:$D, 3, FALSE), 0), 0)</f>
        <v>0</v>
      </c>
      <c r="F7">
        <f t="shared" si="1"/>
        <v>0</v>
      </c>
      <c r="H7">
        <f>IF(AND(G7="Gestor", A7&lt;&gt;""), VLOOKUP(A7, Configuracion!$A:$D, 4, FALSE), 0)*Tabla1025[[#This Row],[CANTIDAD]]</f>
        <v>0</v>
      </c>
      <c r="I7" t="str">
        <f t="shared" si="0"/>
        <v/>
      </c>
      <c r="N7" s="3" t="s">
        <v>198</v>
      </c>
      <c r="O7" s="3"/>
      <c r="P7" s="3">
        <f>O7/L2</f>
        <v>0</v>
      </c>
    </row>
    <row r="8" spans="1:19" x14ac:dyDescent="0.3">
      <c r="B8" t="e">
        <f>IFERROR(VLOOKUP(A8,jueves!$A:$I,9,FALSE),IFERROR(VLOOKUP(A8,miercoles!$A:$I,9,FALSE),IFERROR(VLOOKUP(A8,martes!$A:$I,9,FALSE),IFERROR(VLOOKUP(A8,lunes!$A:$I,9,FALSE),VLOOKUP(A8,Configuracion!$A:$B,2,FALSE)))))</f>
        <v>#N/A</v>
      </c>
      <c r="E8">
        <f>IF(C8="Venta", IFERROR(VLOOKUP(A8, Configuracion!$A:$D, 3, FALSE), 0), 0)</f>
        <v>0</v>
      </c>
      <c r="F8">
        <f t="shared" si="1"/>
        <v>0</v>
      </c>
      <c r="H8">
        <f>IF(AND(G8="Gestor", A8&lt;&gt;""), VLOOKUP(A8, Configuracion!$A:$D, 4, FALSE), 0)*Tabla1025[[#This Row],[CANTIDAD]]</f>
        <v>0</v>
      </c>
      <c r="I8" t="str">
        <f t="shared" si="0"/>
        <v/>
      </c>
      <c r="N8" s="3" t="s">
        <v>199</v>
      </c>
      <c r="O8" s="3"/>
      <c r="P8" s="3">
        <f>O8</f>
        <v>0</v>
      </c>
    </row>
    <row r="9" spans="1:19" x14ac:dyDescent="0.3">
      <c r="B9" t="e">
        <f>IFERROR(VLOOKUP(A9,jueves!$A:$I,9,FALSE),IFERROR(VLOOKUP(A9,miercoles!$A:$I,9,FALSE),IFERROR(VLOOKUP(A9,martes!$A:$I,9,FALSE),IFERROR(VLOOKUP(A9,lunes!$A:$I,9,FALSE),VLOOKUP(A9,Configuracion!$A:$B,2,FALSE)))))</f>
        <v>#N/A</v>
      </c>
      <c r="E9">
        <f>IF(C9="Venta", IFERROR(VLOOKUP(A9, Configuracion!$A:$D, 3, FALSE), 0), 0)</f>
        <v>0</v>
      </c>
      <c r="F9">
        <f t="shared" si="1"/>
        <v>0</v>
      </c>
      <c r="H9">
        <f>IF(AND(G9="Gestor", A9&lt;&gt;""), VLOOKUP(A9, Configuracion!$A:$D, 4, FALSE), 0)*Tabla1025[[#This Row],[CANTIDAD]]</f>
        <v>0</v>
      </c>
      <c r="I9" t="str">
        <f t="shared" si="0"/>
        <v/>
      </c>
      <c r="N9" s="2" t="s">
        <v>193</v>
      </c>
      <c r="O9" s="3"/>
      <c r="P9" s="5">
        <f>P3+P4+P5+P6+P7+P8</f>
        <v>7410</v>
      </c>
      <c r="Q9" s="27"/>
    </row>
    <row r="10" spans="1:19" x14ac:dyDescent="0.3">
      <c r="B10" t="e">
        <f>IFERROR(VLOOKUP(A10,jueves!$A:$I,9,FALSE),IFERROR(VLOOKUP(A10,miercoles!$A:$I,9,FALSE),IFERROR(VLOOKUP(A10,martes!$A:$I,9,FALSE),IFERROR(VLOOKUP(A10,lunes!$A:$I,9,FALSE),VLOOKUP(A10,Configuracion!$A:$B,2,FALSE)))))</f>
        <v>#N/A</v>
      </c>
      <c r="E10">
        <f>IF(C10="Venta", IFERROR(VLOOKUP(A10, Configuracion!$A:$D, 3, FALSE), 0), 0)</f>
        <v>0</v>
      </c>
      <c r="F10">
        <f t="shared" si="1"/>
        <v>0</v>
      </c>
      <c r="H10">
        <f>IF(AND(G10="Gestor", A10&lt;&gt;""), VLOOKUP(A10, Configuracion!$A:$D, 4, FALSE), 0)*Tabla1025[[#This Row],[CANTIDAD]]</f>
        <v>0</v>
      </c>
      <c r="I10" t="str">
        <f t="shared" si="0"/>
        <v/>
      </c>
      <c r="N10" s="2" t="s">
        <v>208</v>
      </c>
      <c r="O10" s="3"/>
      <c r="P10" s="3">
        <f>P12+P11</f>
        <v>20</v>
      </c>
    </row>
    <row r="11" spans="1:19" x14ac:dyDescent="0.3">
      <c r="B11" t="e">
        <f>IFERROR(VLOOKUP(A11,jueves!$A:$I,9,FALSE),IFERROR(VLOOKUP(A11,miercoles!$A:$I,9,FALSE),IFERROR(VLOOKUP(A11,martes!$A:$I,9,FALSE),IFERROR(VLOOKUP(A11,lunes!$A:$I,9,FALSE),VLOOKUP(A11,Configuracion!$A:$B,2,FALSE)))))</f>
        <v>#N/A</v>
      </c>
      <c r="E11">
        <f>IF(C11="Venta", IFERROR(VLOOKUP(A11, Configuracion!$A:$D, 3, FALSE), 0), 0)</f>
        <v>0</v>
      </c>
      <c r="F11">
        <f t="shared" si="1"/>
        <v>0</v>
      </c>
      <c r="H11">
        <f>IF(AND(G11="Gestor", A11&lt;&gt;""), VLOOKUP(A11, Configuracion!$A:$D, 4, FALSE), 0)*Tabla1025[[#This Row],[CANTIDAD]]</f>
        <v>0</v>
      </c>
      <c r="I11" t="str">
        <f t="shared" si="0"/>
        <v/>
      </c>
      <c r="N11" s="3" t="s">
        <v>212</v>
      </c>
      <c r="O11" s="3"/>
      <c r="P11" s="3">
        <f>O11/L2</f>
        <v>0</v>
      </c>
    </row>
    <row r="12" spans="1:19" x14ac:dyDescent="0.3">
      <c r="B12" t="e">
        <f>IFERROR(VLOOKUP(A12,jueves!$A:$I,9,FALSE),IFERROR(VLOOKUP(A12,miercoles!$A:$I,9,FALSE),IFERROR(VLOOKUP(A12,martes!$A:$I,9,FALSE),IFERROR(VLOOKUP(A12,lunes!$A:$I,9,FALSE),VLOOKUP(A12,Configuracion!$A:$B,2,FALSE)))))</f>
        <v>#N/A</v>
      </c>
      <c r="E12">
        <f>IF(C12="Venta", IFERROR(VLOOKUP(A12, Configuracion!$A:$D, 3, FALSE), 0), 0)</f>
        <v>0</v>
      </c>
      <c r="F12">
        <f t="shared" si="1"/>
        <v>0</v>
      </c>
      <c r="H12">
        <f>IF(AND(G12="Gestor", A12&lt;&gt;""), VLOOKUP(A12, Configuracion!$A:$D, 4, FALSE), 0)*Tabla1025[[#This Row],[CANTIDAD]]</f>
        <v>0</v>
      </c>
      <c r="I12" t="str">
        <f t="shared" si="0"/>
        <v/>
      </c>
      <c r="N12" s="3" t="s">
        <v>194</v>
      </c>
      <c r="O12" s="3">
        <v>20</v>
      </c>
      <c r="P12" s="3">
        <f>O12</f>
        <v>20</v>
      </c>
      <c r="Q12" t="s">
        <v>245</v>
      </c>
    </row>
    <row r="13" spans="1:19" x14ac:dyDescent="0.3">
      <c r="B13" t="e">
        <f>IFERROR(VLOOKUP(A13,jueves!$A:$I,9,FALSE),IFERROR(VLOOKUP(A13,miercoles!$A:$I,9,FALSE),IFERROR(VLOOKUP(A13,martes!$A:$I,9,FALSE),IFERROR(VLOOKUP(A13,lunes!$A:$I,9,FALSE),VLOOKUP(A13,Configuracion!$A:$B,2,FALSE)))))</f>
        <v>#N/A</v>
      </c>
      <c r="E13">
        <f>IF(C13="Venta", IFERROR(VLOOKUP(A13, Configuracion!$A:$D, 3, FALSE), 0), 0)</f>
        <v>0</v>
      </c>
      <c r="F13">
        <f t="shared" si="1"/>
        <v>0</v>
      </c>
      <c r="H13">
        <f>IF(AND(G13="Gestor", A13&lt;&gt;""), VLOOKUP(A13, Configuracion!$A:$D, 4, FALSE), 0)*Tabla1025[[#This Row],[CANTIDAD]]</f>
        <v>0</v>
      </c>
      <c r="I13" t="str">
        <f t="shared" si="0"/>
        <v/>
      </c>
      <c r="N13" s="2" t="s">
        <v>201</v>
      </c>
      <c r="O13" s="3"/>
      <c r="P13" s="3">
        <f>P15+P14</f>
        <v>2050</v>
      </c>
    </row>
    <row r="14" spans="1:19" x14ac:dyDescent="0.3">
      <c r="B14" t="e">
        <f>IFERROR(VLOOKUP(A14,jueves!$A:$I,9,FALSE),IFERROR(VLOOKUP(A14,miercoles!$A:$I,9,FALSE),IFERROR(VLOOKUP(A14,martes!$A:$I,9,FALSE),IFERROR(VLOOKUP(A14,lunes!$A:$I,9,FALSE),VLOOKUP(A14,Configuracion!$A:$B,2,FALSE)))))</f>
        <v>#N/A</v>
      </c>
      <c r="E14">
        <f>IF(C14="Venta", IFERROR(VLOOKUP(A14, Configuracion!$A:$D, 3, FALSE), 0), 0)</f>
        <v>0</v>
      </c>
      <c r="F14">
        <f t="shared" si="1"/>
        <v>0</v>
      </c>
      <c r="H14">
        <f>IF(AND(G14="Gestor", A14&lt;&gt;""), VLOOKUP(A14, Configuracion!$A:$D, 4, FALSE), 0)*Tabla1025[[#This Row],[CANTIDAD]]</f>
        <v>0</v>
      </c>
      <c r="I14" t="str">
        <f t="shared" si="0"/>
        <v/>
      </c>
      <c r="N14" s="3" t="s">
        <v>212</v>
      </c>
      <c r="O14" s="3"/>
      <c r="P14" s="3">
        <f>O14/L2</f>
        <v>0</v>
      </c>
    </row>
    <row r="15" spans="1:19" x14ac:dyDescent="0.3">
      <c r="B15" t="e">
        <f>IFERROR(VLOOKUP(A15,jueves!$A:$I,9,FALSE),IFERROR(VLOOKUP(A15,miercoles!$A:$I,9,FALSE),IFERROR(VLOOKUP(A15,martes!$A:$I,9,FALSE),IFERROR(VLOOKUP(A15,lunes!$A:$I,9,FALSE),VLOOKUP(A15,Configuracion!$A:$B,2,FALSE)))))</f>
        <v>#N/A</v>
      </c>
      <c r="E15">
        <f>IF(C15="Venta", IFERROR(VLOOKUP(A15, Configuracion!$A:$D, 3, FALSE), 0), 0)</f>
        <v>0</v>
      </c>
      <c r="F15">
        <f t="shared" si="1"/>
        <v>0</v>
      </c>
      <c r="H15">
        <f>IF(AND(G15="Gestor", A15&lt;&gt;""), VLOOKUP(A15, Configuracion!$A:$D, 4, FALSE), 0)*Tabla1025[[#This Row],[CANTIDAD]]</f>
        <v>0</v>
      </c>
      <c r="I15" t="str">
        <f t="shared" si="0"/>
        <v/>
      </c>
      <c r="N15" s="3" t="s">
        <v>194</v>
      </c>
      <c r="O15" s="3">
        <v>2050</v>
      </c>
      <c r="P15" s="3">
        <v>2050</v>
      </c>
    </row>
    <row r="16" spans="1:19" x14ac:dyDescent="0.3">
      <c r="B16" t="e">
        <f>IFERROR(VLOOKUP(A16,jueves!$A:$I,9,FALSE),IFERROR(VLOOKUP(A16,miercoles!$A:$I,9,FALSE),IFERROR(VLOOKUP(A16,martes!$A:$I,9,FALSE),IFERROR(VLOOKUP(A16,lunes!$A:$I,9,FALSE),VLOOKUP(A16,Configuracion!$A:$B,2,FALSE)))))</f>
        <v>#N/A</v>
      </c>
      <c r="E16">
        <f>IF(C16="Venta", IFERROR(VLOOKUP(A16, Configuracion!$A:$D, 3, FALSE), 0), 0)</f>
        <v>0</v>
      </c>
      <c r="F16">
        <f t="shared" si="1"/>
        <v>0</v>
      </c>
      <c r="H16">
        <f>IF(AND(G16="Gestor", A16&lt;&gt;""), VLOOKUP(A16, Configuracion!$A:$D, 4, FALSE), 0)*Tabla1025[[#This Row],[CANTIDAD]]</f>
        <v>0</v>
      </c>
      <c r="I16" t="str">
        <f t="shared" si="0"/>
        <v/>
      </c>
      <c r="N16" s="2" t="s">
        <v>211</v>
      </c>
      <c r="O16" s="3"/>
      <c r="P16" s="5">
        <f>P9+P13-P10</f>
        <v>9440</v>
      </c>
      <c r="Q16" s="27"/>
      <c r="R16" s="24">
        <f>P2-P16</f>
        <v>0</v>
      </c>
      <c r="S16" s="25">
        <f>R16*L2</f>
        <v>0</v>
      </c>
    </row>
    <row r="17" spans="2:17" x14ac:dyDescent="0.3">
      <c r="B17" t="e">
        <f>IFERROR(VLOOKUP(A17,jueves!$A:$I,9,FALSE),IFERROR(VLOOKUP(A17,miercoles!$A:$I,9,FALSE),IFERROR(VLOOKUP(A17,martes!$A:$I,9,FALSE),IFERROR(VLOOKUP(A17,lunes!$A:$I,9,FALSE),VLOOKUP(A17,Configuracion!$A:$B,2,FALSE)))))</f>
        <v>#N/A</v>
      </c>
      <c r="E17">
        <f>IF(C17="Venta", IFERROR(VLOOKUP(A17, Configuracion!$A:$D, 3, FALSE), 0), 0)</f>
        <v>0</v>
      </c>
      <c r="F17">
        <f t="shared" si="1"/>
        <v>0</v>
      </c>
      <c r="H17">
        <f>IF(AND(G17="Gestor", A17&lt;&gt;""), VLOOKUP(A17, Configuracion!$A:$D, 4, FALSE), 0)*Tabla1025[[#This Row],[CANTIDAD]]</f>
        <v>0</v>
      </c>
      <c r="I17" t="str">
        <f t="shared" si="0"/>
        <v/>
      </c>
      <c r="N17" s="4"/>
      <c r="O17" s="4"/>
      <c r="P17" s="4"/>
      <c r="Q17" s="28"/>
    </row>
    <row r="18" spans="2:17" x14ac:dyDescent="0.3">
      <c r="B18" t="e">
        <f>IFERROR(VLOOKUP(A18,jueves!$A:$I,9,FALSE),IFERROR(VLOOKUP(A18,miercoles!$A:$I,9,FALSE),IFERROR(VLOOKUP(A18,martes!$A:$I,9,FALSE),IFERROR(VLOOKUP(A18,lunes!$A:$I,9,FALSE),VLOOKUP(A18,Configuracion!$A:$B,2,FALSE)))))</f>
        <v>#N/A</v>
      </c>
      <c r="E18">
        <f>IF(C18="Venta", IFERROR(VLOOKUP(A18, Configuracion!$A:$D, 3, FALSE), 0), 0)</f>
        <v>0</v>
      </c>
      <c r="F18">
        <f t="shared" si="1"/>
        <v>0</v>
      </c>
      <c r="H18">
        <f>IF(AND(G18="Gestor", A18&lt;&gt;""), VLOOKUP(A18, Configuracion!$A:$D, 4, FALSE), 0)*Tabla1025[[#This Row],[CANTIDAD]]</f>
        <v>0</v>
      </c>
      <c r="I18" t="str">
        <f t="shared" si="0"/>
        <v/>
      </c>
      <c r="O18" t="s">
        <v>202</v>
      </c>
      <c r="P18" t="s">
        <v>192</v>
      </c>
    </row>
    <row r="19" spans="2:17" x14ac:dyDescent="0.3">
      <c r="B19" t="e">
        <f>IFERROR(VLOOKUP(A19,jueves!$A:$I,9,FALSE),IFERROR(VLOOKUP(A19,miercoles!$A:$I,9,FALSE),IFERROR(VLOOKUP(A19,martes!$A:$I,9,FALSE),IFERROR(VLOOKUP(A19,lunes!$A:$I,9,FALSE),VLOOKUP(A19,Configuracion!$A:$B,2,FALSE)))))</f>
        <v>#N/A</v>
      </c>
      <c r="E19">
        <f>IF(C19="Venta", IFERROR(VLOOKUP(A19, Configuracion!$A:$D, 3, FALSE), 0), 0)</f>
        <v>0</v>
      </c>
      <c r="F19">
        <f t="shared" si="1"/>
        <v>0</v>
      </c>
      <c r="H19">
        <f>IF(AND(G19="Gestor", A19&lt;&gt;""), VLOOKUP(A19, Configuracion!$A:$D, 4, FALSE), 0)*Tabla1025[[#This Row],[CANTIDAD]]</f>
        <v>0</v>
      </c>
      <c r="I19" t="str">
        <f t="shared" si="0"/>
        <v/>
      </c>
      <c r="N19" s="2" t="s">
        <v>207</v>
      </c>
      <c r="O19" s="33">
        <v>100000</v>
      </c>
      <c r="P19" s="3">
        <v>150</v>
      </c>
    </row>
    <row r="20" spans="2:17" x14ac:dyDescent="0.3">
      <c r="B20" t="e">
        <f>IFERROR(VLOOKUP(A20,jueves!$A:$I,9,FALSE),IFERROR(VLOOKUP(A20,miercoles!$A:$I,9,FALSE),IFERROR(VLOOKUP(A20,martes!$A:$I,9,FALSE),IFERROR(VLOOKUP(A20,lunes!$A:$I,9,FALSE),VLOOKUP(A20,Configuracion!$A:$B,2,FALSE)))))</f>
        <v>#N/A</v>
      </c>
      <c r="E20">
        <f>IF(C20="Venta", IFERROR(VLOOKUP(A20, Configuracion!$A:$D, 3, FALSE), 0), 0)</f>
        <v>0</v>
      </c>
      <c r="F20">
        <f t="shared" si="1"/>
        <v>0</v>
      </c>
      <c r="H20">
        <f>IF(AND(G20="Gestor", A20&lt;&gt;""), VLOOKUP(A20, Configuracion!$A:$D, 4, FALSE), 0)*Tabla1025[[#This Row],[CANTIDAD]]</f>
        <v>0</v>
      </c>
      <c r="I20" t="str">
        <f t="shared" si="0"/>
        <v/>
      </c>
      <c r="N20" s="3" t="s">
        <v>221</v>
      </c>
      <c r="O20" s="3"/>
      <c r="P20" s="3"/>
    </row>
    <row r="21" spans="2:17" x14ac:dyDescent="0.3">
      <c r="B21" t="e">
        <f>IFERROR(VLOOKUP(A21,jueves!$A:$I,9,FALSE),IFERROR(VLOOKUP(A21,miercoles!$A:$I,9,FALSE),IFERROR(VLOOKUP(A21,martes!$A:$I,9,FALSE),IFERROR(VLOOKUP(A21,lunes!$A:$I,9,FALSE),VLOOKUP(A21,Configuracion!$A:$B,2,FALSE)))))</f>
        <v>#N/A</v>
      </c>
      <c r="E21">
        <f>IF(C21="Venta", IFERROR(VLOOKUP(A21, Configuracion!$A:$D, 3, FALSE), 0), 0)</f>
        <v>0</v>
      </c>
      <c r="F21">
        <f t="shared" si="1"/>
        <v>0</v>
      </c>
      <c r="H21">
        <f>IF(AND(G21="Gestor", A21&lt;&gt;""), VLOOKUP(A21, Configuracion!$A:$D, 4, FALSE), 0)*Tabla1025[[#This Row],[CANTIDAD]]</f>
        <v>0</v>
      </c>
      <c r="I21" t="str">
        <f t="shared" si="0"/>
        <v/>
      </c>
      <c r="N21" s="3" t="s">
        <v>203</v>
      </c>
      <c r="O21" s="3"/>
      <c r="P21" s="3"/>
    </row>
    <row r="22" spans="2:17" x14ac:dyDescent="0.3">
      <c r="B22" t="e">
        <f>IFERROR(VLOOKUP(A22,jueves!$A:$I,9,FALSE),IFERROR(VLOOKUP(A22,miercoles!$A:$I,9,FALSE),IFERROR(VLOOKUP(A22,martes!$A:$I,9,FALSE),IFERROR(VLOOKUP(A22,lunes!$A:$I,9,FALSE),VLOOKUP(A22,Configuracion!$A:$B,2,FALSE)))))</f>
        <v>#N/A</v>
      </c>
      <c r="E22">
        <f>IF(C22="Venta", IFERROR(VLOOKUP(A22, Configuracion!$A:$D, 3, FALSE), 0), 0)</f>
        <v>0</v>
      </c>
      <c r="F22">
        <f t="shared" si="1"/>
        <v>0</v>
      </c>
      <c r="H22">
        <f>IF(AND(G22="Gestor", A22&lt;&gt;""), VLOOKUP(A22, Configuracion!$A:$D, 4, FALSE), 0)*Tabla1025[[#This Row],[CANTIDAD]]</f>
        <v>0</v>
      </c>
      <c r="I22" t="str">
        <f t="shared" si="0"/>
        <v/>
      </c>
      <c r="N22" s="3" t="s">
        <v>204</v>
      </c>
      <c r="O22" s="3"/>
      <c r="P22" s="3"/>
    </row>
    <row r="23" spans="2:17" x14ac:dyDescent="0.3">
      <c r="B23" t="e">
        <f>IFERROR(VLOOKUP(A23,jueves!$A:$I,9,FALSE),IFERROR(VLOOKUP(A23,miercoles!$A:$I,9,FALSE),IFERROR(VLOOKUP(A23,martes!$A:$I,9,FALSE),IFERROR(VLOOKUP(A23,lunes!$A:$I,9,FALSE),VLOOKUP(A23,Configuracion!$A:$B,2,FALSE)))))</f>
        <v>#N/A</v>
      </c>
      <c r="E23">
        <f>IF(C23="Venta", IFERROR(VLOOKUP(A23, Configuracion!$A:$D, 3, FALSE), 0), 0)</f>
        <v>0</v>
      </c>
      <c r="F23">
        <f t="shared" si="1"/>
        <v>0</v>
      </c>
      <c r="H23">
        <f>IF(AND(G23="Gestor", A23&lt;&gt;""), VLOOKUP(A23, Configuracion!$A:$D, 4, FALSE), 0)*Tabla1025[[#This Row],[CANTIDAD]]</f>
        <v>0</v>
      </c>
      <c r="I23" t="str">
        <f t="shared" si="0"/>
        <v/>
      </c>
      <c r="N23" s="3" t="s">
        <v>210</v>
      </c>
      <c r="O23" s="3"/>
      <c r="P23" s="3"/>
    </row>
    <row r="24" spans="2:17" x14ac:dyDescent="0.3">
      <c r="B24" t="e">
        <f>IFERROR(VLOOKUP(A24,jueves!$A:$I,9,FALSE),IFERROR(VLOOKUP(A24,miercoles!$A:$I,9,FALSE),IFERROR(VLOOKUP(A24,martes!$A:$I,9,FALSE),IFERROR(VLOOKUP(A24,lunes!$A:$I,9,FALSE),VLOOKUP(A24,Configuracion!$A:$B,2,FALSE)))))</f>
        <v>#N/A</v>
      </c>
      <c r="E24">
        <f>IF(C24="Venta", IFERROR(VLOOKUP(A24, Configuracion!$A:$D, 3, FALSE), 0), 0)</f>
        <v>0</v>
      </c>
      <c r="F24">
        <f t="shared" si="1"/>
        <v>0</v>
      </c>
      <c r="H24">
        <f>IF(AND(G24="Gestor", A24&lt;&gt;""), VLOOKUP(A24, Configuracion!$A:$D, 4, FALSE), 0)*Tabla1025[[#This Row],[CANTIDAD]]</f>
        <v>0</v>
      </c>
      <c r="I24" t="str">
        <f t="shared" si="0"/>
        <v/>
      </c>
      <c r="N24" s="2" t="s">
        <v>209</v>
      </c>
      <c r="O24" s="3">
        <f>O19-O21-O22-O23-O20</f>
        <v>100000</v>
      </c>
      <c r="P24" s="3">
        <f>P19-P21-P22-P23-P20</f>
        <v>150</v>
      </c>
    </row>
    <row r="25" spans="2:17" x14ac:dyDescent="0.3">
      <c r="B25" t="e">
        <f>IFERROR(VLOOKUP(A25,jueves!$A:$I,9,FALSE),IFERROR(VLOOKUP(A25,miercoles!$A:$I,9,FALSE),IFERROR(VLOOKUP(A25,martes!$A:$I,9,FALSE),IFERROR(VLOOKUP(A25,lunes!$A:$I,9,FALSE),VLOOKUP(A25,Configuracion!$A:$B,2,FALSE)))))</f>
        <v>#N/A</v>
      </c>
      <c r="E25">
        <f>IF(C25="Venta", IFERROR(VLOOKUP(A25, Configuracion!$A:$D, 3, FALSE), 0), 0)</f>
        <v>0</v>
      </c>
      <c r="F25">
        <f t="shared" si="1"/>
        <v>0</v>
      </c>
      <c r="H25">
        <f>IF(AND(G25="Gestor", A25&lt;&gt;""), VLOOKUP(A25, Configuracion!$A:$D, 4, FALSE), 0)*Tabla1025[[#This Row],[CANTIDAD]]</f>
        <v>0</v>
      </c>
      <c r="I25" t="str">
        <f t="shared" si="0"/>
        <v/>
      </c>
    </row>
    <row r="26" spans="2:17" x14ac:dyDescent="0.3">
      <c r="B26" t="e">
        <f>IFERROR(VLOOKUP(A26,jueves!$A:$I,9,FALSE),IFERROR(VLOOKUP(A26,miercoles!$A:$I,9,FALSE),IFERROR(VLOOKUP(A26,martes!$A:$I,9,FALSE),IFERROR(VLOOKUP(A26,lunes!$A:$I,9,FALSE),VLOOKUP(A26,Configuracion!$A:$B,2,FALSE)))))</f>
        <v>#N/A</v>
      </c>
      <c r="E26">
        <f>IF(C26="Venta", IFERROR(VLOOKUP(A26, Configuracion!$A:$D, 3, FALSE), 0), 0)</f>
        <v>0</v>
      </c>
      <c r="F26">
        <f t="shared" si="1"/>
        <v>0</v>
      </c>
      <c r="H26">
        <f>IF(AND(G26="Gestor", A26&lt;&gt;""), VLOOKUP(A26, Configuracion!$A:$D, 4, FALSE), 0)*Tabla1025[[#This Row],[CANTIDAD]]</f>
        <v>0</v>
      </c>
      <c r="I26" t="str">
        <f t="shared" si="0"/>
        <v/>
      </c>
    </row>
    <row r="27" spans="2:17" x14ac:dyDescent="0.3">
      <c r="B27" t="e">
        <f>IFERROR(VLOOKUP(A27,jueves!$A:$I,9,FALSE),IFERROR(VLOOKUP(A27,miercoles!$A:$I,9,FALSE),IFERROR(VLOOKUP(A27,martes!$A:$I,9,FALSE),IFERROR(VLOOKUP(A27,lunes!$A:$I,9,FALSE),VLOOKUP(A27,Configuracion!$A:$B,2,FALSE)))))</f>
        <v>#N/A</v>
      </c>
      <c r="E27">
        <f>IF(C27="Venta", IFERROR(VLOOKUP(A27, Configuracion!$A:$D, 3, FALSE), 0), 0)</f>
        <v>0</v>
      </c>
      <c r="F27">
        <f t="shared" si="1"/>
        <v>0</v>
      </c>
      <c r="H27">
        <f>IF(AND(G27="Gestor", A27&lt;&gt;""), VLOOKUP(A27, Configuracion!$A:$D, 4, FALSE), 0)*Tabla1025[[#This Row],[CANTIDAD]]</f>
        <v>0</v>
      </c>
      <c r="I27" t="str">
        <f t="shared" si="0"/>
        <v/>
      </c>
    </row>
    <row r="28" spans="2:17" x14ac:dyDescent="0.3">
      <c r="B28" t="e">
        <f>IFERROR(VLOOKUP(A28,jueves!$A:$I,9,FALSE),IFERROR(VLOOKUP(A28,miercoles!$A:$I,9,FALSE),IFERROR(VLOOKUP(A28,martes!$A:$I,9,FALSE),IFERROR(VLOOKUP(A28,lunes!$A:$I,9,FALSE),VLOOKUP(A28,Configuracion!$A:$B,2,FALSE)))))</f>
        <v>#N/A</v>
      </c>
      <c r="E28">
        <f>IF(C28="Venta", IFERROR(VLOOKUP(A28, Configuracion!$A:$D, 3, FALSE), 0), 0)</f>
        <v>0</v>
      </c>
      <c r="F28">
        <f t="shared" si="1"/>
        <v>0</v>
      </c>
      <c r="H28">
        <f>IF(AND(G28="Gestor", A28&lt;&gt;""), VLOOKUP(A28, Configuracion!$A:$D, 4, FALSE), 0)*Tabla1025[[#This Row],[CANTIDAD]]</f>
        <v>0</v>
      </c>
      <c r="I28" t="str">
        <f t="shared" si="0"/>
        <v/>
      </c>
      <c r="N28" s="1"/>
      <c r="O28" s="1"/>
      <c r="P28" s="1"/>
    </row>
    <row r="29" spans="2:17" x14ac:dyDescent="0.3">
      <c r="B29" t="e">
        <f>IFERROR(VLOOKUP(A29,jueves!$A:$I,9,FALSE),IFERROR(VLOOKUP(A29,miercoles!$A:$I,9,FALSE),IFERROR(VLOOKUP(A29,martes!$A:$I,9,FALSE),IFERROR(VLOOKUP(A29,lunes!$A:$I,9,FALSE),VLOOKUP(A29,Configuracion!$A:$B,2,FALSE)))))</f>
        <v>#N/A</v>
      </c>
      <c r="E29">
        <f>IF(C29="Venta", IFERROR(VLOOKUP(A29, Configuracion!$A:$D, 3, FALSE), 0), 0)</f>
        <v>0</v>
      </c>
      <c r="F29">
        <f t="shared" si="1"/>
        <v>0</v>
      </c>
      <c r="H29">
        <f>IF(AND(G29="Gestor", A29&lt;&gt;""), VLOOKUP(A29, Configuracion!$A:$D, 4, FALSE), 0)*Tabla1025[[#This Row],[CANTIDAD]]</f>
        <v>0</v>
      </c>
      <c r="I29" t="str">
        <f t="shared" si="0"/>
        <v/>
      </c>
    </row>
    <row r="30" spans="2:17" x14ac:dyDescent="0.3">
      <c r="B30" t="e">
        <f>IFERROR(VLOOKUP(A30,jueves!$A:$I,9,FALSE),IFERROR(VLOOKUP(A30,miercoles!$A:$I,9,FALSE),IFERROR(VLOOKUP(A30,martes!$A:$I,9,FALSE),IFERROR(VLOOKUP(A30,lunes!$A:$I,9,FALSE),VLOOKUP(A30,Configuracion!$A:$B,2,FALSE)))))</f>
        <v>#N/A</v>
      </c>
      <c r="E30">
        <f>IF(C30="Venta", IFERROR(VLOOKUP(A30, Configuracion!$A:$D, 3, FALSE), 0), 0)</f>
        <v>0</v>
      </c>
      <c r="F30">
        <f t="shared" si="1"/>
        <v>0</v>
      </c>
      <c r="H30">
        <f>IF(AND(G30="Gestor", A30&lt;&gt;""), VLOOKUP(A30, Configuracion!$A:$D, 4, FALSE), 0)*Tabla1025[[#This Row],[CANTIDAD]]</f>
        <v>0</v>
      </c>
      <c r="I30" t="str">
        <f t="shared" si="0"/>
        <v/>
      </c>
    </row>
    <row r="31" spans="2:17" x14ac:dyDescent="0.3">
      <c r="B31" t="e">
        <f>IFERROR(VLOOKUP(A31,jueves!$A:$I,9,FALSE),IFERROR(VLOOKUP(A31,miercoles!$A:$I,9,FALSE),IFERROR(VLOOKUP(A31,martes!$A:$I,9,FALSE),IFERROR(VLOOKUP(A31,lunes!$A:$I,9,FALSE),VLOOKUP(A31,Configuracion!$A:$B,2,FALSE)))))</f>
        <v>#N/A</v>
      </c>
      <c r="E31">
        <f>IF(C31="Venta", IFERROR(VLOOKUP(A31, Configuracion!$A:$D, 3, FALSE), 0), 0)</f>
        <v>0</v>
      </c>
      <c r="F31">
        <f t="shared" si="1"/>
        <v>0</v>
      </c>
      <c r="H31">
        <f>IF(AND(G31="Gestor", A31&lt;&gt;""), VLOOKUP(A31, Configuracion!$A:$D, 4, FALSE), 0)*Tabla1025[[#This Row],[CANTIDAD]]</f>
        <v>0</v>
      </c>
      <c r="I31" t="str">
        <f t="shared" si="0"/>
        <v/>
      </c>
    </row>
    <row r="32" spans="2:17" x14ac:dyDescent="0.3">
      <c r="B32" t="e">
        <f>IFERROR(VLOOKUP(A32,jueves!$A:$I,9,FALSE),IFERROR(VLOOKUP(A32,miercoles!$A:$I,9,FALSE),IFERROR(VLOOKUP(A32,martes!$A:$I,9,FALSE),IFERROR(VLOOKUP(A32,lunes!$A:$I,9,FALSE),VLOOKUP(A32,Configuracion!$A:$B,2,FALSE)))))</f>
        <v>#N/A</v>
      </c>
      <c r="E32">
        <f>IF(C32="Venta", IFERROR(VLOOKUP(A32, Configuracion!$A:$D, 3, FALSE), 0), 0)</f>
        <v>0</v>
      </c>
      <c r="F32">
        <f t="shared" si="1"/>
        <v>0</v>
      </c>
      <c r="H32">
        <f>IF(AND(G32="Gestor", A32&lt;&gt;""), VLOOKUP(A32, Configuracion!$A:$D, 4, FALSE), 0)*Tabla1025[[#This Row],[CANTIDAD]]</f>
        <v>0</v>
      </c>
      <c r="I32" t="str">
        <f t="shared" si="0"/>
        <v/>
      </c>
    </row>
    <row r="33" spans="2:14" x14ac:dyDescent="0.3">
      <c r="B33" t="e">
        <f>IFERROR(VLOOKUP(A33,jueves!$A:$I,9,FALSE),IFERROR(VLOOKUP(A33,miercoles!$A:$I,9,FALSE),IFERROR(VLOOKUP(A33,martes!$A:$I,9,FALSE),IFERROR(VLOOKUP(A33,lunes!$A:$I,9,FALSE),VLOOKUP(A33,Configuracion!$A:$B,2,FALSE)))))</f>
        <v>#N/A</v>
      </c>
      <c r="E33">
        <f>IF(C33="Venta", IFERROR(VLOOKUP(A33, Configuracion!$A:$D, 3, FALSE), 0), 0)</f>
        <v>0</v>
      </c>
      <c r="F33">
        <f t="shared" si="1"/>
        <v>0</v>
      </c>
      <c r="H33">
        <f>IF(AND(G33="Gestor", A33&lt;&gt;""), VLOOKUP(A33, Configuracion!$A:$D, 4, FALSE), 0)*Tabla1025[[#This Row],[CANTIDAD]]</f>
        <v>0</v>
      </c>
      <c r="I33" t="str">
        <f t="shared" si="0"/>
        <v/>
      </c>
    </row>
    <row r="34" spans="2:14" x14ac:dyDescent="0.3">
      <c r="B34" t="e">
        <f>IFERROR(VLOOKUP(A34,jueves!$A:$I,9,FALSE),IFERROR(VLOOKUP(A34,miercoles!$A:$I,9,FALSE),IFERROR(VLOOKUP(A34,martes!$A:$I,9,FALSE),IFERROR(VLOOKUP(A34,lunes!$A:$I,9,FALSE),VLOOKUP(A34,Configuracion!$A:$B,2,FALSE)))))</f>
        <v>#N/A</v>
      </c>
      <c r="E34">
        <f>IF(C34="Venta", IFERROR(VLOOKUP(A34, Configuracion!$A:$D, 3, FALSE), 0), 0)</f>
        <v>0</v>
      </c>
      <c r="F34">
        <f t="shared" si="1"/>
        <v>0</v>
      </c>
      <c r="H34">
        <f>IF(AND(G34="Gestor", A34&lt;&gt;""), VLOOKUP(A34, Configuracion!$A:$D, 4, FALSE), 0)*Tabla1025[[#This Row],[CANTIDAD]]</f>
        <v>0</v>
      </c>
      <c r="I34" t="str">
        <f t="shared" ref="I34:I65" si="2">IF(OR(A34="", D34=""), "", IF(C34="Entrada", B34+D34, IF(OR(C34="Venta", C34="Salida"), B34-D34, B34)))</f>
        <v/>
      </c>
    </row>
    <row r="35" spans="2:14" x14ac:dyDescent="0.3">
      <c r="B35" t="e">
        <f>IFERROR(VLOOKUP(A35,jueves!$A:$I,9,FALSE),IFERROR(VLOOKUP(A35,miercoles!$A:$I,9,FALSE),IFERROR(VLOOKUP(A35,martes!$A:$I,9,FALSE),IFERROR(VLOOKUP(A35,lunes!$A:$I,9,FALSE),VLOOKUP(A35,Configuracion!$A:$B,2,FALSE)))))</f>
        <v>#N/A</v>
      </c>
      <c r="E35">
        <f>IF(C35="Venta", IFERROR(VLOOKUP(A35, Configuracion!$A:$D, 3, FALSE), 0), 0)</f>
        <v>0</v>
      </c>
      <c r="F35">
        <f t="shared" si="1"/>
        <v>0</v>
      </c>
      <c r="H35">
        <f>IF(AND(G35="Gestor", A35&lt;&gt;""), VLOOKUP(A35, Configuracion!$A:$D, 4, FALSE), 0)*Tabla1025[[#This Row],[CANTIDAD]]</f>
        <v>0</v>
      </c>
      <c r="I35" t="str">
        <f t="shared" si="2"/>
        <v/>
      </c>
      <c r="N35" s="1"/>
    </row>
    <row r="36" spans="2:14" x14ac:dyDescent="0.3">
      <c r="B36" t="e">
        <f>IFERROR(VLOOKUP(A36,jueves!$A:$I,9,FALSE),IFERROR(VLOOKUP(A36,miercoles!$A:$I,9,FALSE),IFERROR(VLOOKUP(A36,martes!$A:$I,9,FALSE),IFERROR(VLOOKUP(A36,lunes!$A:$I,9,FALSE),VLOOKUP(A36,Configuracion!$A:$B,2,FALSE)))))</f>
        <v>#N/A</v>
      </c>
      <c r="E36">
        <f>IF(C36="Venta", IFERROR(VLOOKUP(A36, Configuracion!$A:$D, 3, FALSE), 0), 0)</f>
        <v>0</v>
      </c>
      <c r="F36">
        <f t="shared" si="1"/>
        <v>0</v>
      </c>
      <c r="H36">
        <f>IF(AND(G36="Gestor", A36&lt;&gt;""), VLOOKUP(A36, Configuracion!$A:$D, 4, FALSE), 0)*Tabla1025[[#This Row],[CANTIDAD]]</f>
        <v>0</v>
      </c>
      <c r="I36" t="str">
        <f t="shared" si="2"/>
        <v/>
      </c>
      <c r="N36" s="1"/>
    </row>
    <row r="37" spans="2:14" x14ac:dyDescent="0.3">
      <c r="B37" t="e">
        <f>IFERROR(VLOOKUP(A37,jueves!$A:$I,9,FALSE),IFERROR(VLOOKUP(A37,miercoles!$A:$I,9,FALSE),IFERROR(VLOOKUP(A37,martes!$A:$I,9,FALSE),IFERROR(VLOOKUP(A37,lunes!$A:$I,9,FALSE),VLOOKUP(A37,Configuracion!$A:$B,2,FALSE)))))</f>
        <v>#N/A</v>
      </c>
      <c r="E37">
        <f>IF(C37="Venta", IFERROR(VLOOKUP(A37, Configuracion!$A:$D, 3, FALSE), 0), 0)</f>
        <v>0</v>
      </c>
      <c r="F37">
        <f t="shared" si="1"/>
        <v>0</v>
      </c>
      <c r="H37">
        <f>IF(AND(G37="Gestor", A37&lt;&gt;""), VLOOKUP(A37, Configuracion!$A:$D, 4, FALSE), 0)*Tabla1025[[#This Row],[CANTIDAD]]</f>
        <v>0</v>
      </c>
      <c r="I37" t="str">
        <f t="shared" si="2"/>
        <v/>
      </c>
      <c r="N37" s="1"/>
    </row>
    <row r="38" spans="2:14" x14ac:dyDescent="0.3">
      <c r="B38" t="e">
        <f>IFERROR(VLOOKUP(A38,jueves!$A:$I,9,FALSE),IFERROR(VLOOKUP(A38,miercoles!$A:$I,9,FALSE),IFERROR(VLOOKUP(A38,martes!$A:$I,9,FALSE),IFERROR(VLOOKUP(A38,lunes!$A:$I,9,FALSE),VLOOKUP(A38,Configuracion!$A:$B,2,FALSE)))))</f>
        <v>#N/A</v>
      </c>
      <c r="E38">
        <f>IF(C38="Venta", IFERROR(VLOOKUP(A38, Configuracion!$A:$D, 3, FALSE), 0), 0)</f>
        <v>0</v>
      </c>
      <c r="F38">
        <f t="shared" si="1"/>
        <v>0</v>
      </c>
      <c r="H38">
        <f>IF(AND(G38="Gestor", A38&lt;&gt;""), VLOOKUP(A38, Configuracion!$A:$D, 4, FALSE), 0)*Tabla1025[[#This Row],[CANTIDAD]]</f>
        <v>0</v>
      </c>
      <c r="I38" t="str">
        <f t="shared" si="2"/>
        <v/>
      </c>
      <c r="N38" s="1"/>
    </row>
    <row r="39" spans="2:14" x14ac:dyDescent="0.3">
      <c r="B39" t="e">
        <f>IFERROR(VLOOKUP(A39,jueves!$A:$I,9,FALSE),IFERROR(VLOOKUP(A39,miercoles!$A:$I,9,FALSE),IFERROR(VLOOKUP(A39,martes!$A:$I,9,FALSE),IFERROR(VLOOKUP(A39,lunes!$A:$I,9,FALSE),VLOOKUP(A39,Configuracion!$A:$B,2,FALSE)))))</f>
        <v>#N/A</v>
      </c>
      <c r="E39">
        <f>IF(C39="Venta", IFERROR(VLOOKUP(A39, Configuracion!$A:$D, 3, FALSE), 0), 0)</f>
        <v>0</v>
      </c>
      <c r="F39">
        <f t="shared" si="1"/>
        <v>0</v>
      </c>
      <c r="H39">
        <f>IF(AND(G39="Gestor", A39&lt;&gt;""), VLOOKUP(A39, Configuracion!$A:$D, 4, FALSE), 0)*Tabla1025[[#This Row],[CANTIDAD]]</f>
        <v>0</v>
      </c>
      <c r="I39" t="str">
        <f t="shared" si="2"/>
        <v/>
      </c>
      <c r="N39" s="1"/>
    </row>
    <row r="40" spans="2:14" x14ac:dyDescent="0.3">
      <c r="B40" t="e">
        <f>IFERROR(VLOOKUP(A40,jueves!$A:$I,9,FALSE),IFERROR(VLOOKUP(A40,miercoles!$A:$I,9,FALSE),IFERROR(VLOOKUP(A40,martes!$A:$I,9,FALSE),IFERROR(VLOOKUP(A40,lunes!$A:$I,9,FALSE),VLOOKUP(A40,Configuracion!$A:$B,2,FALSE)))))</f>
        <v>#N/A</v>
      </c>
      <c r="E40">
        <f>IF(C40="Venta", IFERROR(VLOOKUP(A40, Configuracion!$A:$D, 3, FALSE), 0), 0)</f>
        <v>0</v>
      </c>
      <c r="F40">
        <f t="shared" si="1"/>
        <v>0</v>
      </c>
      <c r="H40">
        <f>IF(AND(G40="Gestor", A40&lt;&gt;""), VLOOKUP(A40, Configuracion!$A:$D, 4, FALSE), 0)*Tabla1025[[#This Row],[CANTIDAD]]</f>
        <v>0</v>
      </c>
      <c r="I40" t="str">
        <f t="shared" si="2"/>
        <v/>
      </c>
      <c r="N40" s="1"/>
    </row>
    <row r="41" spans="2:14" x14ac:dyDescent="0.3">
      <c r="B41" t="e">
        <f>IFERROR(VLOOKUP(A41,jueves!$A:$I,9,FALSE),IFERROR(VLOOKUP(A41,miercoles!$A:$I,9,FALSE),IFERROR(VLOOKUP(A41,martes!$A:$I,9,FALSE),IFERROR(VLOOKUP(A41,lunes!$A:$I,9,FALSE),VLOOKUP(A41,Configuracion!$A:$B,2,FALSE)))))</f>
        <v>#N/A</v>
      </c>
      <c r="E41">
        <f>IF(C41="Venta", IFERROR(VLOOKUP(A41, Configuracion!$A:$D, 3, FALSE), 0), 0)</f>
        <v>0</v>
      </c>
      <c r="F41">
        <f t="shared" si="1"/>
        <v>0</v>
      </c>
      <c r="H41">
        <f>IF(AND(G41="Gestor", A41&lt;&gt;""), VLOOKUP(A41, Configuracion!$A:$D, 4, FALSE), 0)*Tabla1025[[#This Row],[CANTIDAD]]</f>
        <v>0</v>
      </c>
      <c r="I41" t="str">
        <f t="shared" si="2"/>
        <v/>
      </c>
    </row>
    <row r="42" spans="2:14" x14ac:dyDescent="0.3">
      <c r="B42" t="e">
        <f>IFERROR(VLOOKUP(A42,jueves!$A:$I,9,FALSE),IFERROR(VLOOKUP(A42,miercoles!$A:$I,9,FALSE),IFERROR(VLOOKUP(A42,martes!$A:$I,9,FALSE),IFERROR(VLOOKUP(A42,lunes!$A:$I,9,FALSE),VLOOKUP(A42,Configuracion!$A:$B,2,FALSE)))))</f>
        <v>#N/A</v>
      </c>
      <c r="E42">
        <f>IF(C42="Venta", IFERROR(VLOOKUP(A42, Configuracion!$A:$D, 3, FALSE), 0), 0)</f>
        <v>0</v>
      </c>
      <c r="F42">
        <f t="shared" si="1"/>
        <v>0</v>
      </c>
      <c r="H42">
        <f>IF(AND(G42="Gestor", A42&lt;&gt;""), VLOOKUP(A42, Configuracion!$A:$D, 4, FALSE), 0)*Tabla1025[[#This Row],[CANTIDAD]]</f>
        <v>0</v>
      </c>
      <c r="I42" t="str">
        <f t="shared" si="2"/>
        <v/>
      </c>
    </row>
    <row r="43" spans="2:14" x14ac:dyDescent="0.3">
      <c r="B43" t="e">
        <f>IFERROR(VLOOKUP(A43,jueves!$A:$I,9,FALSE),IFERROR(VLOOKUP(A43,miercoles!$A:$I,9,FALSE),IFERROR(VLOOKUP(A43,martes!$A:$I,9,FALSE),IFERROR(VLOOKUP(A43,lunes!$A:$I,9,FALSE),VLOOKUP(A43,Configuracion!$A:$B,2,FALSE)))))</f>
        <v>#N/A</v>
      </c>
      <c r="E43">
        <f>IF(C43="Venta", IFERROR(VLOOKUP(A43, Configuracion!$A:$D, 3, FALSE), 0), 0)</f>
        <v>0</v>
      </c>
      <c r="F43">
        <f t="shared" si="1"/>
        <v>0</v>
      </c>
      <c r="H43">
        <f>IF(AND(G43="Gestor", A43&lt;&gt;""), VLOOKUP(A43, Configuracion!$A:$D, 4, FALSE), 0)*Tabla1025[[#This Row],[CANTIDAD]]</f>
        <v>0</v>
      </c>
      <c r="I43" t="str">
        <f t="shared" si="2"/>
        <v/>
      </c>
    </row>
    <row r="44" spans="2:14" x14ac:dyDescent="0.3">
      <c r="B44" t="e">
        <f>IFERROR(VLOOKUP(A44,jueves!$A:$I,9,FALSE),IFERROR(VLOOKUP(A44,miercoles!$A:$I,9,FALSE),IFERROR(VLOOKUP(A44,martes!$A:$I,9,FALSE),IFERROR(VLOOKUP(A44,lunes!$A:$I,9,FALSE),VLOOKUP(A44,Configuracion!$A:$B,2,FALSE)))))</f>
        <v>#N/A</v>
      </c>
      <c r="E44">
        <f>IF(C44="Venta", IFERROR(VLOOKUP(A44, Configuracion!$A:$D, 3, FALSE), 0), 0)</f>
        <v>0</v>
      </c>
      <c r="F44">
        <f t="shared" si="1"/>
        <v>0</v>
      </c>
      <c r="H44">
        <f>IF(AND(G44="Gestor", A44&lt;&gt;""), VLOOKUP(A44, Configuracion!$A:$D, 4, FALSE), 0)*Tabla1025[[#This Row],[CANTIDAD]]</f>
        <v>0</v>
      </c>
      <c r="I44" t="str">
        <f t="shared" si="2"/>
        <v/>
      </c>
      <c r="N44" s="1"/>
    </row>
    <row r="45" spans="2:14" x14ac:dyDescent="0.3">
      <c r="B45" t="e">
        <f>IFERROR(VLOOKUP(A45,jueves!$A:$I,9,FALSE),IFERROR(VLOOKUP(A45,miercoles!$A:$I,9,FALSE),IFERROR(VLOOKUP(A45,martes!$A:$I,9,FALSE),IFERROR(VLOOKUP(A45,lunes!$A:$I,9,FALSE),VLOOKUP(A45,Configuracion!$A:$B,2,FALSE)))))</f>
        <v>#N/A</v>
      </c>
      <c r="E45">
        <f>IF(C45="Venta", IFERROR(VLOOKUP(A45, Configuracion!$A:$D, 3, FALSE), 0), 0)</f>
        <v>0</v>
      </c>
      <c r="F45">
        <f t="shared" si="1"/>
        <v>0</v>
      </c>
      <c r="H45">
        <f>IF(AND(G45="Gestor", A45&lt;&gt;""), VLOOKUP(A45, Configuracion!$A:$D, 4, FALSE), 0)*Tabla1025[[#This Row],[CANTIDAD]]</f>
        <v>0</v>
      </c>
      <c r="I45" t="str">
        <f t="shared" si="2"/>
        <v/>
      </c>
    </row>
    <row r="46" spans="2:14" x14ac:dyDescent="0.3">
      <c r="B46" t="e">
        <f>IFERROR(VLOOKUP(A46,jueves!$A:$I,9,FALSE),IFERROR(VLOOKUP(A46,miercoles!$A:$I,9,FALSE),IFERROR(VLOOKUP(A46,martes!$A:$I,9,FALSE),IFERROR(VLOOKUP(A46,lunes!$A:$I,9,FALSE),VLOOKUP(A46,Configuracion!$A:$B,2,FALSE)))))</f>
        <v>#N/A</v>
      </c>
      <c r="E46">
        <f>IF(C46="Venta", IFERROR(VLOOKUP(A46, Configuracion!$A:$D, 3, FALSE), 0), 0)</f>
        <v>0</v>
      </c>
      <c r="F46">
        <f t="shared" si="1"/>
        <v>0</v>
      </c>
      <c r="H46">
        <f>IF(AND(G46="Gestor", A46&lt;&gt;""), VLOOKUP(A46, Configuracion!$A:$D, 4, FALSE), 0)*Tabla1025[[#This Row],[CANTIDAD]]</f>
        <v>0</v>
      </c>
      <c r="I46" t="str">
        <f t="shared" si="2"/>
        <v/>
      </c>
    </row>
    <row r="47" spans="2:14" x14ac:dyDescent="0.3">
      <c r="B47" t="e">
        <f>IFERROR(VLOOKUP(A47,jueves!$A:$I,9,FALSE),IFERROR(VLOOKUP(A47,miercoles!$A:$I,9,FALSE),IFERROR(VLOOKUP(A47,martes!$A:$I,9,FALSE),IFERROR(VLOOKUP(A47,lunes!$A:$I,9,FALSE),VLOOKUP(A47,Configuracion!$A:$B,2,FALSE)))))</f>
        <v>#N/A</v>
      </c>
      <c r="E47">
        <f>IF(C47="Venta", IFERROR(VLOOKUP(A47, Configuracion!$A:$D, 3, FALSE), 0), 0)</f>
        <v>0</v>
      </c>
      <c r="F47">
        <f t="shared" si="1"/>
        <v>0</v>
      </c>
      <c r="H47">
        <f>IF(AND(G47="Gestor", A47&lt;&gt;""), VLOOKUP(A47, Configuracion!$A:$D, 4, FALSE), 0)*Tabla1025[[#This Row],[CANTIDAD]]</f>
        <v>0</v>
      </c>
      <c r="I47" t="str">
        <f t="shared" si="2"/>
        <v/>
      </c>
    </row>
    <row r="48" spans="2:14" x14ac:dyDescent="0.3">
      <c r="B48" t="e">
        <f>IFERROR(VLOOKUP(A48,jueves!$A:$I,9,FALSE),IFERROR(VLOOKUP(A48,miercoles!$A:$I,9,FALSE),IFERROR(VLOOKUP(A48,martes!$A:$I,9,FALSE),IFERROR(VLOOKUP(A48,lunes!$A:$I,9,FALSE),VLOOKUP(A48,Configuracion!$A:$B,2,FALSE)))))</f>
        <v>#N/A</v>
      </c>
      <c r="E48">
        <f>IF(C48="Venta", IFERROR(VLOOKUP(A48, Configuracion!$A:$D, 3, FALSE), 0), 0)</f>
        <v>0</v>
      </c>
      <c r="F48">
        <f t="shared" si="1"/>
        <v>0</v>
      </c>
      <c r="H48">
        <f>IF(AND(G48="Gestor", A48&lt;&gt;""), VLOOKUP(A48, Configuracion!$A:$D, 4, FALSE), 0)*Tabla1025[[#This Row],[CANTIDAD]]</f>
        <v>0</v>
      </c>
      <c r="I48" t="str">
        <f t="shared" si="2"/>
        <v/>
      </c>
    </row>
    <row r="49" spans="2:9" x14ac:dyDescent="0.3">
      <c r="B49" t="e">
        <f>IFERROR(VLOOKUP(A49,jueves!$A:$I,9,FALSE),IFERROR(VLOOKUP(A49,miercoles!$A:$I,9,FALSE),IFERROR(VLOOKUP(A49,martes!$A:$I,9,FALSE),IFERROR(VLOOKUP(A49,lunes!$A:$I,9,FALSE),VLOOKUP(A49,Configuracion!$A:$B,2,FALSE)))))</f>
        <v>#N/A</v>
      </c>
      <c r="E49">
        <f>IF(C49="Venta", IFERROR(VLOOKUP(A49, Configuracion!$A:$D, 3, FALSE), 0), 0)</f>
        <v>0</v>
      </c>
      <c r="F49">
        <f t="shared" si="1"/>
        <v>0</v>
      </c>
      <c r="H49">
        <f>IF(AND(G49="Gestor", A49&lt;&gt;""), VLOOKUP(A49, Configuracion!$A:$D, 4, FALSE), 0)*Tabla1025[[#This Row],[CANTIDAD]]</f>
        <v>0</v>
      </c>
      <c r="I49" t="str">
        <f t="shared" si="2"/>
        <v/>
      </c>
    </row>
    <row r="50" spans="2:9" x14ac:dyDescent="0.3">
      <c r="B50" t="e">
        <f>IFERROR(VLOOKUP(A50,jueves!$A:$I,9,FALSE),IFERROR(VLOOKUP(A50,miercoles!$A:$I,9,FALSE),IFERROR(VLOOKUP(A50,martes!$A:$I,9,FALSE),IFERROR(VLOOKUP(A50,lunes!$A:$I,9,FALSE),VLOOKUP(A50,Configuracion!$A:$B,2,FALSE)))))</f>
        <v>#N/A</v>
      </c>
      <c r="E50">
        <f>IF(C50="Venta", IFERROR(VLOOKUP(A50, Configuracion!$A:$D, 3, FALSE), 0), 0)</f>
        <v>0</v>
      </c>
      <c r="F50">
        <f t="shared" si="1"/>
        <v>0</v>
      </c>
      <c r="H50">
        <f>IF(AND(G50="Gestor", A50&lt;&gt;""), VLOOKUP(A50, Configuracion!$A:$D, 4, FALSE), 0)*Tabla1025[[#This Row],[CANTIDAD]]</f>
        <v>0</v>
      </c>
      <c r="I50" t="str">
        <f t="shared" si="2"/>
        <v/>
      </c>
    </row>
    <row r="51" spans="2:9" x14ac:dyDescent="0.3">
      <c r="B51" t="e">
        <f>IFERROR(VLOOKUP(A51,jueves!$A:$I,9,FALSE),IFERROR(VLOOKUP(A51,miercoles!$A:$I,9,FALSE),IFERROR(VLOOKUP(A51,martes!$A:$I,9,FALSE),IFERROR(VLOOKUP(A51,lunes!$A:$I,9,FALSE),VLOOKUP(A51,Configuracion!$A:$B,2,FALSE)))))</f>
        <v>#N/A</v>
      </c>
      <c r="E51">
        <f>IF(C51="Venta", IFERROR(VLOOKUP(A51, Configuracion!$A:$D, 3, FALSE), 0), 0)</f>
        <v>0</v>
      </c>
      <c r="F51">
        <f t="shared" si="1"/>
        <v>0</v>
      </c>
      <c r="H51">
        <f>IF(AND(G51="Gestor", A51&lt;&gt;""), VLOOKUP(A51, Configuracion!$A:$D, 4, FALSE), 0)*Tabla1025[[#This Row],[CANTIDAD]]</f>
        <v>0</v>
      </c>
      <c r="I51" t="str">
        <f t="shared" si="2"/>
        <v/>
      </c>
    </row>
    <row r="52" spans="2:9" x14ac:dyDescent="0.3">
      <c r="B52" t="e">
        <f>IFERROR(VLOOKUP(A52,jueves!$A:$I,9,FALSE),IFERROR(VLOOKUP(A52,miercoles!$A:$I,9,FALSE),IFERROR(VLOOKUP(A52,martes!$A:$I,9,FALSE),IFERROR(VLOOKUP(A52,lunes!$A:$I,9,FALSE),VLOOKUP(A52,Configuracion!$A:$B,2,FALSE)))))</f>
        <v>#N/A</v>
      </c>
      <c r="E52">
        <f>IF(C52="Venta", IFERROR(VLOOKUP(A52, Configuracion!$A:$D, 3, FALSE), 0), 0)</f>
        <v>0</v>
      </c>
      <c r="F52">
        <f t="shared" si="1"/>
        <v>0</v>
      </c>
      <c r="H52">
        <f>IF(AND(G52="Gestor", A52&lt;&gt;""), VLOOKUP(A52, Configuracion!$A:$D, 4, FALSE), 0)*Tabla1025[[#This Row],[CANTIDAD]]</f>
        <v>0</v>
      </c>
      <c r="I52" t="str">
        <f t="shared" si="2"/>
        <v/>
      </c>
    </row>
    <row r="53" spans="2:9" x14ac:dyDescent="0.3">
      <c r="B53" t="e">
        <f>IFERROR(VLOOKUP(A53,jueves!$A:$I,9,FALSE),IFERROR(VLOOKUP(A53,miercoles!$A:$I,9,FALSE),IFERROR(VLOOKUP(A53,martes!$A:$I,9,FALSE),IFERROR(VLOOKUP(A53,lunes!$A:$I,9,FALSE),VLOOKUP(A53,Configuracion!$A:$B,2,FALSE)))))</f>
        <v>#N/A</v>
      </c>
      <c r="E53">
        <f>IF(C53="Venta", IFERROR(VLOOKUP(A53, Configuracion!$A:$D, 3, FALSE), 0), 0)</f>
        <v>0</v>
      </c>
      <c r="F53">
        <f t="shared" si="1"/>
        <v>0</v>
      </c>
      <c r="H53">
        <f>IF(AND(G53="Gestor", A53&lt;&gt;""), VLOOKUP(A53, Configuracion!$A:$D, 4, FALSE), 0)*Tabla1025[[#This Row],[CANTIDAD]]</f>
        <v>0</v>
      </c>
      <c r="I53" t="str">
        <f t="shared" si="2"/>
        <v/>
      </c>
    </row>
    <row r="54" spans="2:9" x14ac:dyDescent="0.3">
      <c r="B54" t="e">
        <f>IFERROR(VLOOKUP(A54,jueves!$A:$I,9,FALSE),IFERROR(VLOOKUP(A54,miercoles!$A:$I,9,FALSE),IFERROR(VLOOKUP(A54,martes!$A:$I,9,FALSE),IFERROR(VLOOKUP(A54,lunes!$A:$I,9,FALSE),VLOOKUP(A54,Configuracion!$A:$B,2,FALSE)))))</f>
        <v>#N/A</v>
      </c>
      <c r="E54">
        <f>IF(C54="Venta", IFERROR(VLOOKUP(A54, Configuracion!$A:$D, 3, FALSE), 0), 0)</f>
        <v>0</v>
      </c>
      <c r="F54">
        <f t="shared" si="1"/>
        <v>0</v>
      </c>
      <c r="H54">
        <f>IF(AND(G54="Gestor", A54&lt;&gt;""), VLOOKUP(A54, Configuracion!$A:$D, 4, FALSE), 0)*Tabla1025[[#This Row],[CANTIDAD]]</f>
        <v>0</v>
      </c>
      <c r="I54" t="str">
        <f t="shared" si="2"/>
        <v/>
      </c>
    </row>
    <row r="55" spans="2:9" x14ac:dyDescent="0.3">
      <c r="B55" t="e">
        <f>IFERROR(VLOOKUP(A55,jueves!$A:$I,9,FALSE),IFERROR(VLOOKUP(A55,miercoles!$A:$I,9,FALSE),IFERROR(VLOOKUP(A55,martes!$A:$I,9,FALSE),IFERROR(VLOOKUP(A55,lunes!$A:$I,9,FALSE),VLOOKUP(A55,Configuracion!$A:$B,2,FALSE)))))</f>
        <v>#N/A</v>
      </c>
      <c r="E55">
        <f>IF(C55="Venta", IFERROR(VLOOKUP(A55, Configuracion!$A:$D, 3, FALSE), 0), 0)</f>
        <v>0</v>
      </c>
      <c r="F55">
        <f t="shared" si="1"/>
        <v>0</v>
      </c>
      <c r="H55">
        <f>IF(AND(G55="Gestor", A55&lt;&gt;""), VLOOKUP(A55, Configuracion!$A:$D, 4, FALSE), 0)*Tabla1025[[#This Row],[CANTIDAD]]</f>
        <v>0</v>
      </c>
      <c r="I55" t="str">
        <f t="shared" si="2"/>
        <v/>
      </c>
    </row>
    <row r="56" spans="2:9" x14ac:dyDescent="0.3">
      <c r="B56" t="e">
        <f>IFERROR(VLOOKUP(A56,jueves!$A:$I,9,FALSE),IFERROR(VLOOKUP(A56,miercoles!$A:$I,9,FALSE),IFERROR(VLOOKUP(A56,martes!$A:$I,9,FALSE),IFERROR(VLOOKUP(A56,lunes!$A:$I,9,FALSE),VLOOKUP(A56,Configuracion!$A:$B,2,FALSE)))))</f>
        <v>#N/A</v>
      </c>
      <c r="E56">
        <f>IF(C56="Venta", IFERROR(VLOOKUP(A56, Configuracion!$A:$D, 3, FALSE), 0), 0)</f>
        <v>0</v>
      </c>
      <c r="F56">
        <f t="shared" si="1"/>
        <v>0</v>
      </c>
      <c r="H56">
        <f>IF(AND(G56="Gestor", A56&lt;&gt;""), VLOOKUP(A56, Configuracion!$A:$D, 4, FALSE), 0)*Tabla1025[[#This Row],[CANTIDAD]]</f>
        <v>0</v>
      </c>
      <c r="I56" t="str">
        <f t="shared" si="2"/>
        <v/>
      </c>
    </row>
    <row r="57" spans="2:9" x14ac:dyDescent="0.3">
      <c r="B57" t="e">
        <f>IFERROR(VLOOKUP(A57,jueves!$A:$I,9,FALSE),IFERROR(VLOOKUP(A57,miercoles!$A:$I,9,FALSE),IFERROR(VLOOKUP(A57,martes!$A:$I,9,FALSE),IFERROR(VLOOKUP(A57,lunes!$A:$I,9,FALSE),VLOOKUP(A57,Configuracion!$A:$B,2,FALSE)))))</f>
        <v>#N/A</v>
      </c>
      <c r="E57">
        <f>IF(C57="Venta", IFERROR(VLOOKUP(A57, Configuracion!$A:$D, 3, FALSE), 0), 0)</f>
        <v>0</v>
      </c>
      <c r="F57">
        <f t="shared" si="1"/>
        <v>0</v>
      </c>
      <c r="H57">
        <f>IF(AND(G57="Gestor", A57&lt;&gt;""), VLOOKUP(A57, Configuracion!$A:$D, 4, FALSE), 0)*Tabla1025[[#This Row],[CANTIDAD]]</f>
        <v>0</v>
      </c>
      <c r="I57" t="str">
        <f t="shared" si="2"/>
        <v/>
      </c>
    </row>
    <row r="58" spans="2:9" x14ac:dyDescent="0.3">
      <c r="B58" t="e">
        <f>IFERROR(VLOOKUP(A58,jueves!$A:$I,9,FALSE),IFERROR(VLOOKUP(A58,miercoles!$A:$I,9,FALSE),IFERROR(VLOOKUP(A58,martes!$A:$I,9,FALSE),IFERROR(VLOOKUP(A58,lunes!$A:$I,9,FALSE),VLOOKUP(A58,Configuracion!$A:$B,2,FALSE)))))</f>
        <v>#N/A</v>
      </c>
      <c r="E58">
        <f>IF(C58="Venta", IFERROR(VLOOKUP(A58, Configuracion!$A:$D, 3, FALSE), 0), 0)</f>
        <v>0</v>
      </c>
      <c r="F58">
        <f t="shared" si="1"/>
        <v>0</v>
      </c>
      <c r="H58">
        <f>IF(AND(G58="Gestor", A58&lt;&gt;""), VLOOKUP(A58, Configuracion!$A:$D, 4, FALSE), 0)*Tabla1025[[#This Row],[CANTIDAD]]</f>
        <v>0</v>
      </c>
      <c r="I58" t="str">
        <f t="shared" si="2"/>
        <v/>
      </c>
    </row>
    <row r="59" spans="2:9" x14ac:dyDescent="0.3">
      <c r="B59" t="e">
        <f>IFERROR(VLOOKUP(A59,jueves!$A:$I,9,FALSE),IFERROR(VLOOKUP(A59,miercoles!$A:$I,9,FALSE),IFERROR(VLOOKUP(A59,martes!$A:$I,9,FALSE),IFERROR(VLOOKUP(A59,lunes!$A:$I,9,FALSE),VLOOKUP(A59,Configuracion!$A:$B,2,FALSE)))))</f>
        <v>#N/A</v>
      </c>
      <c r="E59">
        <f>IF(C59="Venta", IFERROR(VLOOKUP(A59, Configuracion!$A:$D, 3, FALSE), 0), 0)</f>
        <v>0</v>
      </c>
      <c r="F59">
        <f t="shared" si="1"/>
        <v>0</v>
      </c>
      <c r="H59">
        <f>IF(AND(G59="Gestor", A59&lt;&gt;""), VLOOKUP(A59, Configuracion!$A:$D, 4, FALSE), 0)*Tabla1025[[#This Row],[CANTIDAD]]</f>
        <v>0</v>
      </c>
      <c r="I59" t="str">
        <f t="shared" si="2"/>
        <v/>
      </c>
    </row>
    <row r="60" spans="2:9" x14ac:dyDescent="0.3">
      <c r="B60" t="e">
        <f>IFERROR(VLOOKUP(A60,jueves!$A:$I,9,FALSE),IFERROR(VLOOKUP(A60,miercoles!$A:$I,9,FALSE),IFERROR(VLOOKUP(A60,martes!$A:$I,9,FALSE),IFERROR(VLOOKUP(A60,lunes!$A:$I,9,FALSE),VLOOKUP(A60,Configuracion!$A:$B,2,FALSE)))))</f>
        <v>#N/A</v>
      </c>
      <c r="E60">
        <f>IF(C60="Venta", IFERROR(VLOOKUP(A60, Configuracion!$A:$D, 3, FALSE), 0), 0)</f>
        <v>0</v>
      </c>
      <c r="F60">
        <f t="shared" si="1"/>
        <v>0</v>
      </c>
      <c r="H60">
        <f>IF(AND(G60="Gestor", A60&lt;&gt;""), VLOOKUP(A60, Configuracion!$A:$D, 4, FALSE), 0)*Tabla1025[[#This Row],[CANTIDAD]]</f>
        <v>0</v>
      </c>
      <c r="I60" t="str">
        <f t="shared" si="2"/>
        <v/>
      </c>
    </row>
    <row r="61" spans="2:9" x14ac:dyDescent="0.3">
      <c r="B61" t="e">
        <f>IFERROR(VLOOKUP(A61,jueves!$A:$I,9,FALSE),IFERROR(VLOOKUP(A61,miercoles!$A:$I,9,FALSE),IFERROR(VLOOKUP(A61,martes!$A:$I,9,FALSE),IFERROR(VLOOKUP(A61,lunes!$A:$I,9,FALSE),VLOOKUP(A61,Configuracion!$A:$B,2,FALSE)))))</f>
        <v>#N/A</v>
      </c>
      <c r="E61">
        <f>IF(C61="Venta", IFERROR(VLOOKUP(A61, Configuracion!$A:$D, 3, FALSE), 0), 0)</f>
        <v>0</v>
      </c>
      <c r="F61">
        <f t="shared" si="1"/>
        <v>0</v>
      </c>
      <c r="H61">
        <f>IF(AND(G61="Gestor", A61&lt;&gt;""), VLOOKUP(A61, Configuracion!$A:$D, 4, FALSE), 0)*Tabla1025[[#This Row],[CANTIDAD]]</f>
        <v>0</v>
      </c>
      <c r="I61" t="str">
        <f t="shared" si="2"/>
        <v/>
      </c>
    </row>
    <row r="62" spans="2:9" x14ac:dyDescent="0.3">
      <c r="B62" t="e">
        <f>IFERROR(VLOOKUP(A62,jueves!$A:$I,9,FALSE),IFERROR(VLOOKUP(A62,miercoles!$A:$I,9,FALSE),IFERROR(VLOOKUP(A62,martes!$A:$I,9,FALSE),IFERROR(VLOOKUP(A62,lunes!$A:$I,9,FALSE),VLOOKUP(A62,Configuracion!$A:$B,2,FALSE)))))</f>
        <v>#N/A</v>
      </c>
      <c r="E62">
        <f>IF(C62="Venta", IFERROR(VLOOKUP(A62, Configuracion!$A:$D, 3, FALSE), 0), 0)</f>
        <v>0</v>
      </c>
      <c r="F62">
        <f t="shared" si="1"/>
        <v>0</v>
      </c>
      <c r="H62">
        <f>IF(AND(G62="Gestor", A62&lt;&gt;""), VLOOKUP(A62, Configuracion!$A:$D, 4, FALSE), 0)*Tabla1025[[#This Row],[CANTIDAD]]</f>
        <v>0</v>
      </c>
      <c r="I62" t="str">
        <f t="shared" si="2"/>
        <v/>
      </c>
    </row>
    <row r="63" spans="2:9" x14ac:dyDescent="0.3">
      <c r="B63" t="e">
        <f>IFERROR(VLOOKUP(A63,jueves!$A:$I,9,FALSE),IFERROR(VLOOKUP(A63,miercoles!$A:$I,9,FALSE),IFERROR(VLOOKUP(A63,martes!$A:$I,9,FALSE),IFERROR(VLOOKUP(A63,lunes!$A:$I,9,FALSE),VLOOKUP(A63,Configuracion!$A:$B,2,FALSE)))))</f>
        <v>#N/A</v>
      </c>
      <c r="E63">
        <f>IF(C63="Venta", IFERROR(VLOOKUP(A63, Configuracion!$A:$D, 3, FALSE), 0), 0)</f>
        <v>0</v>
      </c>
      <c r="F63">
        <f t="shared" si="1"/>
        <v>0</v>
      </c>
      <c r="H63">
        <f>IF(AND(G63="Gestor", A63&lt;&gt;""), VLOOKUP(A63, Configuracion!$A:$D, 4, FALSE), 0)*Tabla1025[[#This Row],[CANTIDAD]]</f>
        <v>0</v>
      </c>
      <c r="I63" t="str">
        <f t="shared" si="2"/>
        <v/>
      </c>
    </row>
    <row r="64" spans="2:9" x14ac:dyDescent="0.3">
      <c r="B64" t="e">
        <f>IFERROR(VLOOKUP(A64,jueves!$A:$I,9,FALSE),IFERROR(VLOOKUP(A64,miercoles!$A:$I,9,FALSE),IFERROR(VLOOKUP(A64,martes!$A:$I,9,FALSE),IFERROR(VLOOKUP(A64,lunes!$A:$I,9,FALSE),VLOOKUP(A64,Configuracion!$A:$B,2,FALSE)))))</f>
        <v>#N/A</v>
      </c>
      <c r="E64">
        <f>IF(C64="Venta", IFERROR(VLOOKUP(A64, Configuracion!$A:$D, 3, FALSE), 0), 0)</f>
        <v>0</v>
      </c>
      <c r="F64">
        <f t="shared" si="1"/>
        <v>0</v>
      </c>
      <c r="H64">
        <f>IF(AND(G64="Gestor", A64&lt;&gt;""), VLOOKUP(A64, Configuracion!$A:$D, 4, FALSE), 0)*Tabla1025[[#This Row],[CANTIDAD]]</f>
        <v>0</v>
      </c>
      <c r="I64" t="str">
        <f t="shared" si="2"/>
        <v/>
      </c>
    </row>
    <row r="65" spans="2:9" x14ac:dyDescent="0.3">
      <c r="B65" t="e">
        <f>IFERROR(VLOOKUP(A65,jueves!$A:$I,9,FALSE),IFERROR(VLOOKUP(A65,miercoles!$A:$I,9,FALSE),IFERROR(VLOOKUP(A65,martes!$A:$I,9,FALSE),IFERROR(VLOOKUP(A65,lunes!$A:$I,9,FALSE),VLOOKUP(A65,Configuracion!$A:$B,2,FALSE)))))</f>
        <v>#N/A</v>
      </c>
      <c r="E65">
        <f>IF(C65="Venta", IFERROR(VLOOKUP(A65, Configuracion!$A:$D, 3, FALSE), 0), 0)</f>
        <v>0</v>
      </c>
      <c r="F65">
        <f t="shared" si="1"/>
        <v>0</v>
      </c>
      <c r="H65">
        <f>IF(AND(G65="Gestor", A65&lt;&gt;""), VLOOKUP(A65, Configuracion!$A:$D, 4, FALSE), 0)*Tabla1025[[#This Row],[CANTIDAD]]</f>
        <v>0</v>
      </c>
      <c r="I65" t="str">
        <f t="shared" si="2"/>
        <v/>
      </c>
    </row>
    <row r="66" spans="2:9" x14ac:dyDescent="0.3">
      <c r="B66" t="e">
        <f>IFERROR(VLOOKUP(A66,jueves!$A:$I,9,FALSE),IFERROR(VLOOKUP(A66,miercoles!$A:$I,9,FALSE),IFERROR(VLOOKUP(A66,martes!$A:$I,9,FALSE),IFERROR(VLOOKUP(A66,lunes!$A:$I,9,FALSE),VLOOKUP(A66,Configuracion!$A:$B,2,FALSE)))))</f>
        <v>#N/A</v>
      </c>
      <c r="E66">
        <f>IF(C66="Venta", IFERROR(VLOOKUP(A66, Configuracion!$A:$D, 3, FALSE), 0), 0)</f>
        <v>0</v>
      </c>
      <c r="F66">
        <f t="shared" si="1"/>
        <v>0</v>
      </c>
      <c r="H66">
        <f>IF(AND(G66="Gestor", A66&lt;&gt;""), VLOOKUP(A66, Configuracion!$A:$D, 4, FALSE), 0)*Tabla1025[[#This Row],[CANTIDAD]]</f>
        <v>0</v>
      </c>
      <c r="I66" t="str">
        <f t="shared" ref="I66:I97" si="3">IF(OR(A66="", D66=""), "", IF(C66="Entrada", B66+D66, IF(OR(C66="Venta", C66="Salida"), B66-D66, B66)))</f>
        <v/>
      </c>
    </row>
    <row r="67" spans="2:9" x14ac:dyDescent="0.3">
      <c r="B67" t="e">
        <f>IFERROR(VLOOKUP(A67,jueves!$A:$I,9,FALSE),IFERROR(VLOOKUP(A67,miercoles!$A:$I,9,FALSE),IFERROR(VLOOKUP(A67,martes!$A:$I,9,FALSE),IFERROR(VLOOKUP(A67,lunes!$A:$I,9,FALSE),VLOOKUP(A67,Configuracion!$A:$B,2,FALSE)))))</f>
        <v>#N/A</v>
      </c>
      <c r="E67">
        <f>IF(C67="Venta", IFERROR(VLOOKUP(A67, Configuracion!$A:$D, 3, FALSE), 0), 0)</f>
        <v>0</v>
      </c>
      <c r="F67">
        <f t="shared" si="1"/>
        <v>0</v>
      </c>
      <c r="H67">
        <f>IF(AND(G67="Gestor", A67&lt;&gt;""), VLOOKUP(A67, Configuracion!$A:$D, 4, FALSE), 0)*Tabla1025[[#This Row],[CANTIDAD]]</f>
        <v>0</v>
      </c>
      <c r="I67" t="str">
        <f t="shared" si="3"/>
        <v/>
      </c>
    </row>
    <row r="68" spans="2:9" x14ac:dyDescent="0.3">
      <c r="B68" t="e">
        <f>IFERROR(VLOOKUP(A68,jueves!$A:$I,9,FALSE),IFERROR(VLOOKUP(A68,miercoles!$A:$I,9,FALSE),IFERROR(VLOOKUP(A68,martes!$A:$I,9,FALSE),IFERROR(VLOOKUP(A68,lunes!$A:$I,9,FALSE),VLOOKUP(A68,Configuracion!$A:$B,2,FALSE)))))</f>
        <v>#N/A</v>
      </c>
      <c r="E68">
        <f>IF(C68="Venta", IFERROR(VLOOKUP(A68, Configuracion!$A:$D, 3, FALSE), 0), 0)</f>
        <v>0</v>
      </c>
      <c r="F68">
        <f t="shared" ref="F68:F131" si="4">E68*D68</f>
        <v>0</v>
      </c>
      <c r="H68">
        <f>IF(AND(G68="Gestor", A68&lt;&gt;""), VLOOKUP(A68, Configuracion!$A:$D, 4, FALSE), 0)*Tabla1025[[#This Row],[CANTIDAD]]</f>
        <v>0</v>
      </c>
      <c r="I68" t="str">
        <f t="shared" si="3"/>
        <v/>
      </c>
    </row>
    <row r="69" spans="2:9" x14ac:dyDescent="0.3">
      <c r="B69" t="e">
        <f>IFERROR(VLOOKUP(A69,jueves!$A:$I,9,FALSE),IFERROR(VLOOKUP(A69,miercoles!$A:$I,9,FALSE),IFERROR(VLOOKUP(A69,martes!$A:$I,9,FALSE),IFERROR(VLOOKUP(A69,lunes!$A:$I,9,FALSE),VLOOKUP(A69,Configuracion!$A:$B,2,FALSE)))))</f>
        <v>#N/A</v>
      </c>
      <c r="E69">
        <f>IF(C69="Venta", IFERROR(VLOOKUP(A69, Configuracion!$A:$D, 3, FALSE), 0), 0)</f>
        <v>0</v>
      </c>
      <c r="F69">
        <f t="shared" si="4"/>
        <v>0</v>
      </c>
      <c r="H69">
        <f>IF(AND(G69="Gestor", A69&lt;&gt;""), VLOOKUP(A69, Configuracion!$A:$D, 4, FALSE), 0)*Tabla1025[[#This Row],[CANTIDAD]]</f>
        <v>0</v>
      </c>
      <c r="I69" t="str">
        <f t="shared" si="3"/>
        <v/>
      </c>
    </row>
    <row r="70" spans="2:9" x14ac:dyDescent="0.3">
      <c r="B70" t="e">
        <f>IFERROR(VLOOKUP(A70,jueves!$A:$I,9,FALSE),IFERROR(VLOOKUP(A70,miercoles!$A:$I,9,FALSE),IFERROR(VLOOKUP(A70,martes!$A:$I,9,FALSE),IFERROR(VLOOKUP(A70,lunes!$A:$I,9,FALSE),VLOOKUP(A70,Configuracion!$A:$B,2,FALSE)))))</f>
        <v>#N/A</v>
      </c>
      <c r="E70">
        <f>IF(C70="Venta", IFERROR(VLOOKUP(A70, Configuracion!$A:$D, 3, FALSE), 0), 0)</f>
        <v>0</v>
      </c>
      <c r="F70">
        <f t="shared" si="4"/>
        <v>0</v>
      </c>
      <c r="H70">
        <f>IF(AND(G70="Gestor", A70&lt;&gt;""), VLOOKUP(A70, Configuracion!$A:$D, 4, FALSE), 0)*Tabla1025[[#This Row],[CANTIDAD]]</f>
        <v>0</v>
      </c>
      <c r="I70" t="str">
        <f t="shared" si="3"/>
        <v/>
      </c>
    </row>
    <row r="71" spans="2:9" x14ac:dyDescent="0.3">
      <c r="B71" t="e">
        <f>IFERROR(VLOOKUP(A71,jueves!$A:$I,9,FALSE),IFERROR(VLOOKUP(A71,miercoles!$A:$I,9,FALSE),IFERROR(VLOOKUP(A71,martes!$A:$I,9,FALSE),IFERROR(VLOOKUP(A71,lunes!$A:$I,9,FALSE),VLOOKUP(A71,Configuracion!$A:$B,2,FALSE)))))</f>
        <v>#N/A</v>
      </c>
      <c r="E71">
        <f>IF(C71="Venta", IFERROR(VLOOKUP(A71, Configuracion!$A:$D, 3, FALSE), 0), 0)</f>
        <v>0</v>
      </c>
      <c r="F71">
        <f t="shared" si="4"/>
        <v>0</v>
      </c>
      <c r="H71">
        <f>IF(AND(G71="Gestor", A71&lt;&gt;""), VLOOKUP(A71, Configuracion!$A:$D, 4, FALSE), 0)*Tabla1025[[#This Row],[CANTIDAD]]</f>
        <v>0</v>
      </c>
      <c r="I71" t="str">
        <f t="shared" si="3"/>
        <v/>
      </c>
    </row>
    <row r="72" spans="2:9" x14ac:dyDescent="0.3">
      <c r="B72" t="e">
        <f>IFERROR(VLOOKUP(A72,jueves!$A:$I,9,FALSE),IFERROR(VLOOKUP(A72,miercoles!$A:$I,9,FALSE),IFERROR(VLOOKUP(A72,martes!$A:$I,9,FALSE),IFERROR(VLOOKUP(A72,lunes!$A:$I,9,FALSE),VLOOKUP(A72,Configuracion!$A:$B,2,FALSE)))))</f>
        <v>#N/A</v>
      </c>
      <c r="E72">
        <f>IF(C72="Venta", IFERROR(VLOOKUP(A72, Configuracion!$A:$D, 3, FALSE), 0), 0)</f>
        <v>0</v>
      </c>
      <c r="F72">
        <f t="shared" si="4"/>
        <v>0</v>
      </c>
      <c r="H72">
        <f>IF(AND(G72="Gestor", A72&lt;&gt;""), VLOOKUP(A72, Configuracion!$A:$D, 4, FALSE), 0)*Tabla1025[[#This Row],[CANTIDAD]]</f>
        <v>0</v>
      </c>
      <c r="I72" t="str">
        <f t="shared" si="3"/>
        <v/>
      </c>
    </row>
    <row r="73" spans="2:9" x14ac:dyDescent="0.3">
      <c r="B73" t="e">
        <f>IFERROR(VLOOKUP(A73,jueves!$A:$I,9,FALSE),IFERROR(VLOOKUP(A73,miercoles!$A:$I,9,FALSE),IFERROR(VLOOKUP(A73,martes!$A:$I,9,FALSE),IFERROR(VLOOKUP(A73,lunes!$A:$I,9,FALSE),VLOOKUP(A73,Configuracion!$A:$B,2,FALSE)))))</f>
        <v>#N/A</v>
      </c>
      <c r="E73">
        <f>IF(C73="Venta", IFERROR(VLOOKUP(A73, Configuracion!$A:$D, 3, FALSE), 0), 0)</f>
        <v>0</v>
      </c>
      <c r="F73">
        <f t="shared" si="4"/>
        <v>0</v>
      </c>
      <c r="H73">
        <f>IF(AND(G73="Gestor", A73&lt;&gt;""), VLOOKUP(A73, Configuracion!$A:$D, 4, FALSE), 0)*Tabla1025[[#This Row],[CANTIDAD]]</f>
        <v>0</v>
      </c>
      <c r="I73" t="str">
        <f t="shared" si="3"/>
        <v/>
      </c>
    </row>
    <row r="74" spans="2:9" x14ac:dyDescent="0.3">
      <c r="B74" t="e">
        <f>IFERROR(VLOOKUP(A74,jueves!$A:$I,9,FALSE),IFERROR(VLOOKUP(A74,miercoles!$A:$I,9,FALSE),IFERROR(VLOOKUP(A74,martes!$A:$I,9,FALSE),IFERROR(VLOOKUP(A74,lunes!$A:$I,9,FALSE),VLOOKUP(A74,Configuracion!$A:$B,2,FALSE)))))</f>
        <v>#N/A</v>
      </c>
      <c r="E74">
        <f>IF(C74="Venta", IFERROR(VLOOKUP(A74, Configuracion!$A:$D, 3, FALSE), 0), 0)</f>
        <v>0</v>
      </c>
      <c r="F74">
        <f t="shared" si="4"/>
        <v>0</v>
      </c>
      <c r="H74">
        <f>IF(AND(G74="Gestor", A74&lt;&gt;""), VLOOKUP(A74, Configuracion!$A:$D, 4, FALSE), 0)*Tabla1025[[#This Row],[CANTIDAD]]</f>
        <v>0</v>
      </c>
      <c r="I74" t="str">
        <f t="shared" si="3"/>
        <v/>
      </c>
    </row>
    <row r="75" spans="2:9" x14ac:dyDescent="0.3">
      <c r="B75" t="e">
        <f>IFERROR(VLOOKUP(A75,jueves!$A:$I,9,FALSE),IFERROR(VLOOKUP(A75,miercoles!$A:$I,9,FALSE),IFERROR(VLOOKUP(A75,martes!$A:$I,9,FALSE),IFERROR(VLOOKUP(A75,lunes!$A:$I,9,FALSE),VLOOKUP(A75,Configuracion!$A:$B,2,FALSE)))))</f>
        <v>#N/A</v>
      </c>
      <c r="E75">
        <f>IF(C75="Venta", IFERROR(VLOOKUP(A75, Configuracion!$A:$D, 3, FALSE), 0), 0)</f>
        <v>0</v>
      </c>
      <c r="F75">
        <f t="shared" si="4"/>
        <v>0</v>
      </c>
      <c r="H75">
        <f>IF(AND(G75="Gestor", A75&lt;&gt;""), VLOOKUP(A75, Configuracion!$A:$D, 4, FALSE), 0)*Tabla1025[[#This Row],[CANTIDAD]]</f>
        <v>0</v>
      </c>
      <c r="I75" t="str">
        <f t="shared" si="3"/>
        <v/>
      </c>
    </row>
    <row r="76" spans="2:9" x14ac:dyDescent="0.3">
      <c r="B76" t="e">
        <f>IFERROR(VLOOKUP(A76,jueves!$A:$I,9,FALSE),IFERROR(VLOOKUP(A76,miercoles!$A:$I,9,FALSE),IFERROR(VLOOKUP(A76,martes!$A:$I,9,FALSE),IFERROR(VLOOKUP(A76,lunes!$A:$I,9,FALSE),VLOOKUP(A76,Configuracion!$A:$B,2,FALSE)))))</f>
        <v>#N/A</v>
      </c>
      <c r="E76">
        <f>IF(C76="Venta", IFERROR(VLOOKUP(A76, Configuracion!$A:$D, 3, FALSE), 0), 0)</f>
        <v>0</v>
      </c>
      <c r="F76">
        <f t="shared" si="4"/>
        <v>0</v>
      </c>
      <c r="H76">
        <f>IF(AND(G76="Gestor", A76&lt;&gt;""), VLOOKUP(A76, Configuracion!$A:$D, 4, FALSE), 0)*Tabla1025[[#This Row],[CANTIDAD]]</f>
        <v>0</v>
      </c>
      <c r="I76" t="str">
        <f t="shared" si="3"/>
        <v/>
      </c>
    </row>
    <row r="77" spans="2:9" x14ac:dyDescent="0.3">
      <c r="B77" t="e">
        <f>IFERROR(VLOOKUP(A77,jueves!$A:$I,9,FALSE),IFERROR(VLOOKUP(A77,miercoles!$A:$I,9,FALSE),IFERROR(VLOOKUP(A77,martes!$A:$I,9,FALSE),IFERROR(VLOOKUP(A77,lunes!$A:$I,9,FALSE),VLOOKUP(A77,Configuracion!$A:$B,2,FALSE)))))</f>
        <v>#N/A</v>
      </c>
      <c r="E77">
        <f>IF(C77="Venta", IFERROR(VLOOKUP(A77, Configuracion!$A:$D, 3, FALSE), 0), 0)</f>
        <v>0</v>
      </c>
      <c r="F77">
        <f t="shared" si="4"/>
        <v>0</v>
      </c>
      <c r="H77">
        <f>IF(AND(G77="Gestor", A77&lt;&gt;""), VLOOKUP(A77, Configuracion!$A:$D, 4, FALSE), 0)*Tabla1025[[#This Row],[CANTIDAD]]</f>
        <v>0</v>
      </c>
      <c r="I77" t="str">
        <f t="shared" si="3"/>
        <v/>
      </c>
    </row>
    <row r="78" spans="2:9" x14ac:dyDescent="0.3">
      <c r="B78" t="e">
        <f>IFERROR(VLOOKUP(A78,jueves!$A:$I,9,FALSE),IFERROR(VLOOKUP(A78,miercoles!$A:$I,9,FALSE),IFERROR(VLOOKUP(A78,martes!$A:$I,9,FALSE),IFERROR(VLOOKUP(A78,lunes!$A:$I,9,FALSE),VLOOKUP(A78,Configuracion!$A:$B,2,FALSE)))))</f>
        <v>#N/A</v>
      </c>
      <c r="E78">
        <f>IF(C78="Venta", IFERROR(VLOOKUP(A78, Configuracion!$A:$D, 3, FALSE), 0), 0)</f>
        <v>0</v>
      </c>
      <c r="F78">
        <f t="shared" si="4"/>
        <v>0</v>
      </c>
      <c r="H78">
        <f>IF(AND(G78="Gestor", A78&lt;&gt;""), VLOOKUP(A78, Configuracion!$A:$D, 4, FALSE), 0)*Tabla1025[[#This Row],[CANTIDAD]]</f>
        <v>0</v>
      </c>
      <c r="I78" t="str">
        <f t="shared" si="3"/>
        <v/>
      </c>
    </row>
    <row r="79" spans="2:9" x14ac:dyDescent="0.3">
      <c r="B79" t="e">
        <f>IFERROR(VLOOKUP(A79,jueves!$A:$I,9,FALSE),IFERROR(VLOOKUP(A79,miercoles!$A:$I,9,FALSE),IFERROR(VLOOKUP(A79,martes!$A:$I,9,FALSE),IFERROR(VLOOKUP(A79,lunes!$A:$I,9,FALSE),VLOOKUP(A79,Configuracion!$A:$B,2,FALSE)))))</f>
        <v>#N/A</v>
      </c>
      <c r="E79">
        <f>IF(C79="Venta", IFERROR(VLOOKUP(A79, Configuracion!$A:$D, 3, FALSE), 0), 0)</f>
        <v>0</v>
      </c>
      <c r="F79">
        <f t="shared" si="4"/>
        <v>0</v>
      </c>
      <c r="H79">
        <f>IF(AND(G79="Gestor", A79&lt;&gt;""), VLOOKUP(A79, Configuracion!$A:$D, 4, FALSE), 0)*Tabla1025[[#This Row],[CANTIDAD]]</f>
        <v>0</v>
      </c>
      <c r="I79" t="str">
        <f t="shared" si="3"/>
        <v/>
      </c>
    </row>
    <row r="80" spans="2:9" x14ac:dyDescent="0.3">
      <c r="B80" t="e">
        <f>IFERROR(VLOOKUP(A80,jueves!$A:$I,9,FALSE),IFERROR(VLOOKUP(A80,miercoles!$A:$I,9,FALSE),IFERROR(VLOOKUP(A80,martes!$A:$I,9,FALSE),IFERROR(VLOOKUP(A80,lunes!$A:$I,9,FALSE),VLOOKUP(A80,Configuracion!$A:$B,2,FALSE)))))</f>
        <v>#N/A</v>
      </c>
      <c r="E80">
        <f>IF(C80="Venta", IFERROR(VLOOKUP(A80, Configuracion!$A:$D, 3, FALSE), 0), 0)</f>
        <v>0</v>
      </c>
      <c r="F80">
        <f t="shared" si="4"/>
        <v>0</v>
      </c>
      <c r="H80">
        <f>IF(AND(G80="Gestor", A80&lt;&gt;""), VLOOKUP(A80, Configuracion!$A:$D, 4, FALSE), 0)*Tabla1025[[#This Row],[CANTIDAD]]</f>
        <v>0</v>
      </c>
      <c r="I80" t="str">
        <f t="shared" si="3"/>
        <v/>
      </c>
    </row>
    <row r="81" spans="2:9" x14ac:dyDescent="0.3">
      <c r="B81" t="e">
        <f>IFERROR(VLOOKUP(A81,jueves!$A:$I,9,FALSE),IFERROR(VLOOKUP(A81,miercoles!$A:$I,9,FALSE),IFERROR(VLOOKUP(A81,martes!$A:$I,9,FALSE),IFERROR(VLOOKUP(A81,lunes!$A:$I,9,FALSE),VLOOKUP(A81,Configuracion!$A:$B,2,FALSE)))))</f>
        <v>#N/A</v>
      </c>
      <c r="E81">
        <f>IF(C81="Venta", IFERROR(VLOOKUP(A81, Configuracion!$A:$D, 3, FALSE), 0), 0)</f>
        <v>0</v>
      </c>
      <c r="F81">
        <f t="shared" si="4"/>
        <v>0</v>
      </c>
      <c r="H81">
        <f>IF(AND(G81="Gestor", A81&lt;&gt;""), VLOOKUP(A81, Configuracion!$A:$D, 4, FALSE), 0)*Tabla1025[[#This Row],[CANTIDAD]]</f>
        <v>0</v>
      </c>
      <c r="I81" t="str">
        <f t="shared" si="3"/>
        <v/>
      </c>
    </row>
    <row r="82" spans="2:9" x14ac:dyDescent="0.3">
      <c r="B82" t="e">
        <f>IFERROR(VLOOKUP(A82,jueves!$A:$I,9,FALSE),IFERROR(VLOOKUP(A82,miercoles!$A:$I,9,FALSE),IFERROR(VLOOKUP(A82,martes!$A:$I,9,FALSE),IFERROR(VLOOKUP(A82,lunes!$A:$I,9,FALSE),VLOOKUP(A82,Configuracion!$A:$B,2,FALSE)))))</f>
        <v>#N/A</v>
      </c>
      <c r="E82">
        <f>IF(C82="Venta", IFERROR(VLOOKUP(A82, Configuracion!$A:$D, 3, FALSE), 0), 0)</f>
        <v>0</v>
      </c>
      <c r="F82">
        <f t="shared" si="4"/>
        <v>0</v>
      </c>
      <c r="H82">
        <f>IF(AND(G82="Gestor", A82&lt;&gt;""), VLOOKUP(A82, Configuracion!$A:$D, 4, FALSE), 0)*Tabla1025[[#This Row],[CANTIDAD]]</f>
        <v>0</v>
      </c>
      <c r="I82" t="str">
        <f t="shared" si="3"/>
        <v/>
      </c>
    </row>
    <row r="83" spans="2:9" x14ac:dyDescent="0.3">
      <c r="B83" t="e">
        <f>IFERROR(VLOOKUP(A83,jueves!$A:$I,9,FALSE),IFERROR(VLOOKUP(A83,miercoles!$A:$I,9,FALSE),IFERROR(VLOOKUP(A83,martes!$A:$I,9,FALSE),IFERROR(VLOOKUP(A83,lunes!$A:$I,9,FALSE),VLOOKUP(A83,Configuracion!$A:$B,2,FALSE)))))</f>
        <v>#N/A</v>
      </c>
      <c r="E83">
        <f>IF(C83="Venta", IFERROR(VLOOKUP(A83, Configuracion!$A:$D, 3, FALSE), 0), 0)</f>
        <v>0</v>
      </c>
      <c r="F83">
        <f t="shared" si="4"/>
        <v>0</v>
      </c>
      <c r="H83">
        <f>IF(AND(G83="Gestor", A83&lt;&gt;""), VLOOKUP(A83, Configuracion!$A:$D, 4, FALSE), 0)*Tabla1025[[#This Row],[CANTIDAD]]</f>
        <v>0</v>
      </c>
      <c r="I83" t="str">
        <f t="shared" si="3"/>
        <v/>
      </c>
    </row>
    <row r="84" spans="2:9" x14ac:dyDescent="0.3">
      <c r="B84" t="e">
        <f>IFERROR(VLOOKUP(A84,jueves!$A:$I,9,FALSE),IFERROR(VLOOKUP(A84,miercoles!$A:$I,9,FALSE),IFERROR(VLOOKUP(A84,martes!$A:$I,9,FALSE),IFERROR(VLOOKUP(A84,lunes!$A:$I,9,FALSE),VLOOKUP(A84,Configuracion!$A:$B,2,FALSE)))))</f>
        <v>#N/A</v>
      </c>
      <c r="E84">
        <f>IF(C84="Venta", IFERROR(VLOOKUP(A84, Configuracion!$A:$D, 3, FALSE), 0), 0)</f>
        <v>0</v>
      </c>
      <c r="F84">
        <f t="shared" si="4"/>
        <v>0</v>
      </c>
      <c r="H84">
        <f>IF(AND(G84="Gestor", A84&lt;&gt;""), VLOOKUP(A84, Configuracion!$A:$D, 4, FALSE), 0)*Tabla1025[[#This Row],[CANTIDAD]]</f>
        <v>0</v>
      </c>
      <c r="I84" t="str">
        <f t="shared" si="3"/>
        <v/>
      </c>
    </row>
    <row r="85" spans="2:9" x14ac:dyDescent="0.3">
      <c r="B85" t="e">
        <f>IFERROR(VLOOKUP(A85,jueves!$A:$I,9,FALSE),IFERROR(VLOOKUP(A85,miercoles!$A:$I,9,FALSE),IFERROR(VLOOKUP(A85,martes!$A:$I,9,FALSE),IFERROR(VLOOKUP(A85,lunes!$A:$I,9,FALSE),VLOOKUP(A85,Configuracion!$A:$B,2,FALSE)))))</f>
        <v>#N/A</v>
      </c>
      <c r="E85">
        <f>IF(C85="Venta", IFERROR(VLOOKUP(A85, Configuracion!$A:$D, 3, FALSE), 0), 0)</f>
        <v>0</v>
      </c>
      <c r="F85">
        <f t="shared" si="4"/>
        <v>0</v>
      </c>
      <c r="H85">
        <f>IF(AND(G85="Gestor", A85&lt;&gt;""), VLOOKUP(A85, Configuracion!$A:$D, 4, FALSE), 0)*Tabla1025[[#This Row],[CANTIDAD]]</f>
        <v>0</v>
      </c>
      <c r="I85" t="str">
        <f t="shared" si="3"/>
        <v/>
      </c>
    </row>
    <row r="86" spans="2:9" x14ac:dyDescent="0.3">
      <c r="B86" t="e">
        <f>IFERROR(VLOOKUP(A86,jueves!$A:$I,9,FALSE),IFERROR(VLOOKUP(A86,miercoles!$A:$I,9,FALSE),IFERROR(VLOOKUP(A86,martes!$A:$I,9,FALSE),IFERROR(VLOOKUP(A86,lunes!$A:$I,9,FALSE),VLOOKUP(A86,Configuracion!$A:$B,2,FALSE)))))</f>
        <v>#N/A</v>
      </c>
      <c r="E86">
        <f>IF(C86="Venta", IFERROR(VLOOKUP(A86, Configuracion!$A:$D, 3, FALSE), 0), 0)</f>
        <v>0</v>
      </c>
      <c r="F86">
        <f t="shared" si="4"/>
        <v>0</v>
      </c>
      <c r="H86">
        <f>IF(AND(G86="Gestor", A86&lt;&gt;""), VLOOKUP(A86, Configuracion!$A:$D, 4, FALSE), 0)*Tabla1025[[#This Row],[CANTIDAD]]</f>
        <v>0</v>
      </c>
      <c r="I86" t="str">
        <f t="shared" si="3"/>
        <v/>
      </c>
    </row>
    <row r="87" spans="2:9" x14ac:dyDescent="0.3">
      <c r="B87" t="e">
        <f>IFERROR(VLOOKUP(A87,jueves!$A:$I,9,FALSE),IFERROR(VLOOKUP(A87,miercoles!$A:$I,9,FALSE),IFERROR(VLOOKUP(A87,martes!$A:$I,9,FALSE),IFERROR(VLOOKUP(A87,lunes!$A:$I,9,FALSE),VLOOKUP(A87,Configuracion!$A:$B,2,FALSE)))))</f>
        <v>#N/A</v>
      </c>
      <c r="E87">
        <f>IF(C87="Venta", IFERROR(VLOOKUP(A87, Configuracion!$A:$D, 3, FALSE), 0), 0)</f>
        <v>0</v>
      </c>
      <c r="F87">
        <f t="shared" si="4"/>
        <v>0</v>
      </c>
      <c r="H87">
        <f>IF(AND(G87="Gestor", A87&lt;&gt;""), VLOOKUP(A87, Configuracion!$A:$D, 4, FALSE), 0)*Tabla1025[[#This Row],[CANTIDAD]]</f>
        <v>0</v>
      </c>
      <c r="I87" t="str">
        <f t="shared" si="3"/>
        <v/>
      </c>
    </row>
    <row r="88" spans="2:9" x14ac:dyDescent="0.3">
      <c r="B88" t="e">
        <f>IFERROR(VLOOKUP(A88,jueves!$A:$I,9,FALSE),IFERROR(VLOOKUP(A88,miercoles!$A:$I,9,FALSE),IFERROR(VLOOKUP(A88,martes!$A:$I,9,FALSE),IFERROR(VLOOKUP(A88,lunes!$A:$I,9,FALSE),VLOOKUP(A88,Configuracion!$A:$B,2,FALSE)))))</f>
        <v>#N/A</v>
      </c>
      <c r="E88">
        <f>IF(C88="Venta", IFERROR(VLOOKUP(A88, Configuracion!$A:$D, 3, FALSE), 0), 0)</f>
        <v>0</v>
      </c>
      <c r="F88">
        <f t="shared" si="4"/>
        <v>0</v>
      </c>
      <c r="H88">
        <f>IF(AND(G88="Gestor", A88&lt;&gt;""), VLOOKUP(A88, Configuracion!$A:$D, 4, FALSE), 0)*Tabla1025[[#This Row],[CANTIDAD]]</f>
        <v>0</v>
      </c>
      <c r="I88" t="str">
        <f t="shared" si="3"/>
        <v/>
      </c>
    </row>
    <row r="89" spans="2:9" x14ac:dyDescent="0.3">
      <c r="B89" t="e">
        <f>IFERROR(VLOOKUP(A89,jueves!$A:$I,9,FALSE),IFERROR(VLOOKUP(A89,miercoles!$A:$I,9,FALSE),IFERROR(VLOOKUP(A89,martes!$A:$I,9,FALSE),IFERROR(VLOOKUP(A89,lunes!$A:$I,9,FALSE),VLOOKUP(A89,Configuracion!$A:$B,2,FALSE)))))</f>
        <v>#N/A</v>
      </c>
      <c r="E89">
        <f>IF(C89="Venta", IFERROR(VLOOKUP(A89, Configuracion!$A:$D, 3, FALSE), 0), 0)</f>
        <v>0</v>
      </c>
      <c r="F89">
        <f t="shared" si="4"/>
        <v>0</v>
      </c>
      <c r="H89">
        <f>IF(AND(G89="Gestor", A89&lt;&gt;""), VLOOKUP(A89, Configuracion!$A:$D, 4, FALSE), 0)*Tabla1025[[#This Row],[CANTIDAD]]</f>
        <v>0</v>
      </c>
      <c r="I89" t="str">
        <f t="shared" si="3"/>
        <v/>
      </c>
    </row>
    <row r="90" spans="2:9" x14ac:dyDescent="0.3">
      <c r="B90" t="e">
        <f>IFERROR(VLOOKUP(A90,jueves!$A:$I,9,FALSE),IFERROR(VLOOKUP(A90,miercoles!$A:$I,9,FALSE),IFERROR(VLOOKUP(A90,martes!$A:$I,9,FALSE),IFERROR(VLOOKUP(A90,lunes!$A:$I,9,FALSE),VLOOKUP(A90,Configuracion!$A:$B,2,FALSE)))))</f>
        <v>#N/A</v>
      </c>
      <c r="E90">
        <f>IF(C90="Venta", IFERROR(VLOOKUP(A90, Configuracion!$A:$D, 3, FALSE), 0), 0)</f>
        <v>0</v>
      </c>
      <c r="F90">
        <f t="shared" si="4"/>
        <v>0</v>
      </c>
      <c r="H90">
        <f>IF(AND(G90="Gestor", A90&lt;&gt;""), VLOOKUP(A90, Configuracion!$A:$D, 4, FALSE), 0)*Tabla1025[[#This Row],[CANTIDAD]]</f>
        <v>0</v>
      </c>
      <c r="I90" t="str">
        <f t="shared" si="3"/>
        <v/>
      </c>
    </row>
    <row r="91" spans="2:9" x14ac:dyDescent="0.3">
      <c r="B91" t="e">
        <f>IFERROR(VLOOKUP(A91,jueves!$A:$I,9,FALSE),IFERROR(VLOOKUP(A91,miercoles!$A:$I,9,FALSE),IFERROR(VLOOKUP(A91,martes!$A:$I,9,FALSE),IFERROR(VLOOKUP(A91,lunes!$A:$I,9,FALSE),VLOOKUP(A91,Configuracion!$A:$B,2,FALSE)))))</f>
        <v>#N/A</v>
      </c>
      <c r="E91">
        <f>IF(C91="Venta", IFERROR(VLOOKUP(A91, Configuracion!$A:$D, 3, FALSE), 0), 0)</f>
        <v>0</v>
      </c>
      <c r="F91">
        <f t="shared" si="4"/>
        <v>0</v>
      </c>
      <c r="H91">
        <f>IF(AND(G91="Gestor", A91&lt;&gt;""), VLOOKUP(A91, Configuracion!$A:$D, 4, FALSE), 0)*Tabla1025[[#This Row],[CANTIDAD]]</f>
        <v>0</v>
      </c>
      <c r="I91" t="str">
        <f t="shared" si="3"/>
        <v/>
      </c>
    </row>
    <row r="92" spans="2:9" x14ac:dyDescent="0.3">
      <c r="B92" t="e">
        <f>IFERROR(VLOOKUP(A92,jueves!$A:$I,9,FALSE),IFERROR(VLOOKUP(A92,miercoles!$A:$I,9,FALSE),IFERROR(VLOOKUP(A92,martes!$A:$I,9,FALSE),IFERROR(VLOOKUP(A92,lunes!$A:$I,9,FALSE),VLOOKUP(A92,Configuracion!$A:$B,2,FALSE)))))</f>
        <v>#N/A</v>
      </c>
      <c r="E92">
        <f>IF(C92="Venta", IFERROR(VLOOKUP(A92, Configuracion!$A:$D, 3, FALSE), 0), 0)</f>
        <v>0</v>
      </c>
      <c r="F92">
        <f t="shared" si="4"/>
        <v>0</v>
      </c>
      <c r="H92">
        <f>IF(AND(G92="Gestor", A92&lt;&gt;""), VLOOKUP(A92, Configuracion!$A:$D, 4, FALSE), 0)*Tabla1025[[#This Row],[CANTIDAD]]</f>
        <v>0</v>
      </c>
      <c r="I92" t="str">
        <f t="shared" si="3"/>
        <v/>
      </c>
    </row>
    <row r="93" spans="2:9" x14ac:dyDescent="0.3">
      <c r="B93" t="e">
        <f>IFERROR(VLOOKUP(A93,jueves!$A:$I,9,FALSE),IFERROR(VLOOKUP(A93,miercoles!$A:$I,9,FALSE),IFERROR(VLOOKUP(A93,martes!$A:$I,9,FALSE),IFERROR(VLOOKUP(A93,lunes!$A:$I,9,FALSE),VLOOKUP(A93,Configuracion!$A:$B,2,FALSE)))))</f>
        <v>#N/A</v>
      </c>
      <c r="E93">
        <f>IF(C93="Venta", IFERROR(VLOOKUP(A93, Configuracion!$A:$D, 3, FALSE), 0), 0)</f>
        <v>0</v>
      </c>
      <c r="F93">
        <f t="shared" si="4"/>
        <v>0</v>
      </c>
      <c r="H93">
        <f>IF(AND(G93="Gestor", A93&lt;&gt;""), VLOOKUP(A93, Configuracion!$A:$D, 4, FALSE), 0)*Tabla1025[[#This Row],[CANTIDAD]]</f>
        <v>0</v>
      </c>
      <c r="I93" t="str">
        <f t="shared" si="3"/>
        <v/>
      </c>
    </row>
    <row r="94" spans="2:9" x14ac:dyDescent="0.3">
      <c r="B94" t="e">
        <f>IFERROR(VLOOKUP(A94,jueves!$A:$I,9,FALSE),IFERROR(VLOOKUP(A94,miercoles!$A:$I,9,FALSE),IFERROR(VLOOKUP(A94,martes!$A:$I,9,FALSE),IFERROR(VLOOKUP(A94,lunes!$A:$I,9,FALSE),VLOOKUP(A94,Configuracion!$A:$B,2,FALSE)))))</f>
        <v>#N/A</v>
      </c>
      <c r="E94">
        <f>IF(C94="Venta", IFERROR(VLOOKUP(A94, Configuracion!$A:$D, 3, FALSE), 0), 0)</f>
        <v>0</v>
      </c>
      <c r="F94">
        <f t="shared" si="4"/>
        <v>0</v>
      </c>
      <c r="H94">
        <f>IF(AND(G94="Gestor", A94&lt;&gt;""), VLOOKUP(A94, Configuracion!$A:$D, 4, FALSE), 0)*Tabla1025[[#This Row],[CANTIDAD]]</f>
        <v>0</v>
      </c>
      <c r="I94" t="str">
        <f t="shared" si="3"/>
        <v/>
      </c>
    </row>
    <row r="95" spans="2:9" x14ac:dyDescent="0.3">
      <c r="B95" t="e">
        <f>IFERROR(VLOOKUP(A95,jueves!$A:$I,9,FALSE),IFERROR(VLOOKUP(A95,miercoles!$A:$I,9,FALSE),IFERROR(VLOOKUP(A95,martes!$A:$I,9,FALSE),IFERROR(VLOOKUP(A95,lunes!$A:$I,9,FALSE),VLOOKUP(A95,Configuracion!$A:$B,2,FALSE)))))</f>
        <v>#N/A</v>
      </c>
      <c r="E95">
        <f>IF(C95="Venta", IFERROR(VLOOKUP(A95, Configuracion!$A:$D, 3, FALSE), 0), 0)</f>
        <v>0</v>
      </c>
      <c r="F95">
        <f t="shared" si="4"/>
        <v>0</v>
      </c>
      <c r="H95">
        <f>IF(AND(G95="Gestor", A95&lt;&gt;""), VLOOKUP(A95, Configuracion!$A:$D, 4, FALSE), 0)*Tabla1025[[#This Row],[CANTIDAD]]</f>
        <v>0</v>
      </c>
      <c r="I95" t="str">
        <f t="shared" si="3"/>
        <v/>
      </c>
    </row>
    <row r="96" spans="2:9" x14ac:dyDescent="0.3">
      <c r="B96" t="e">
        <f>IFERROR(VLOOKUP(A96,jueves!$A:$I,9,FALSE),IFERROR(VLOOKUP(A96,miercoles!$A:$I,9,FALSE),IFERROR(VLOOKUP(A96,martes!$A:$I,9,FALSE),IFERROR(VLOOKUP(A96,lunes!$A:$I,9,FALSE),VLOOKUP(A96,Configuracion!$A:$B,2,FALSE)))))</f>
        <v>#N/A</v>
      </c>
      <c r="E96">
        <f>IF(C96="Venta", IFERROR(VLOOKUP(A96, Configuracion!$A:$D, 3, FALSE), 0), 0)</f>
        <v>0</v>
      </c>
      <c r="F96">
        <f t="shared" si="4"/>
        <v>0</v>
      </c>
      <c r="H96">
        <f>IF(AND(G96="Gestor", A96&lt;&gt;""), VLOOKUP(A96, Configuracion!$A:$D, 4, FALSE), 0)*Tabla1025[[#This Row],[CANTIDAD]]</f>
        <v>0</v>
      </c>
      <c r="I96" t="str">
        <f t="shared" si="3"/>
        <v/>
      </c>
    </row>
    <row r="97" spans="2:9" x14ac:dyDescent="0.3">
      <c r="B97" t="e">
        <f>IFERROR(VLOOKUP(A97,jueves!$A:$I,9,FALSE),IFERROR(VLOOKUP(A97,miercoles!$A:$I,9,FALSE),IFERROR(VLOOKUP(A97,martes!$A:$I,9,FALSE),IFERROR(VLOOKUP(A97,lunes!$A:$I,9,FALSE),VLOOKUP(A97,Configuracion!$A:$B,2,FALSE)))))</f>
        <v>#N/A</v>
      </c>
      <c r="E97">
        <f>IF(C97="Venta", IFERROR(VLOOKUP(A97, Configuracion!$A:$D, 3, FALSE), 0), 0)</f>
        <v>0</v>
      </c>
      <c r="F97">
        <f t="shared" si="4"/>
        <v>0</v>
      </c>
      <c r="H97">
        <f>IF(AND(G97="Gestor", A97&lt;&gt;""), VLOOKUP(A97, Configuracion!$A:$D, 4, FALSE), 0)*Tabla1025[[#This Row],[CANTIDAD]]</f>
        <v>0</v>
      </c>
      <c r="I97" t="str">
        <f t="shared" si="3"/>
        <v/>
      </c>
    </row>
    <row r="98" spans="2:9" x14ac:dyDescent="0.3">
      <c r="B98" t="e">
        <f>IFERROR(VLOOKUP(A98,jueves!$A:$I,9,FALSE),IFERROR(VLOOKUP(A98,miercoles!$A:$I,9,FALSE),IFERROR(VLOOKUP(A98,martes!$A:$I,9,FALSE),IFERROR(VLOOKUP(A98,lunes!$A:$I,9,FALSE),VLOOKUP(A98,Configuracion!$A:$B,2,FALSE)))))</f>
        <v>#N/A</v>
      </c>
      <c r="E98">
        <f>IF(C98="Venta", IFERROR(VLOOKUP(A98, Configuracion!$A:$D, 3, FALSE), 0), 0)</f>
        <v>0</v>
      </c>
      <c r="F98">
        <f t="shared" si="4"/>
        <v>0</v>
      </c>
      <c r="H98">
        <f>IF(AND(G98="Gestor", A98&lt;&gt;""), VLOOKUP(A98, Configuracion!$A:$D, 4, FALSE), 0)*Tabla1025[[#This Row],[CANTIDAD]]</f>
        <v>0</v>
      </c>
      <c r="I98" t="str">
        <f t="shared" ref="I98:I129" si="5">IF(OR(A98="", D98=""), "", IF(C98="Entrada", B98+D98, IF(OR(C98="Venta", C98="Salida"), B98-D98, B98)))</f>
        <v/>
      </c>
    </row>
    <row r="99" spans="2:9" x14ac:dyDescent="0.3">
      <c r="B99" t="e">
        <f>IFERROR(VLOOKUP(A99,jueves!$A:$I,9,FALSE),IFERROR(VLOOKUP(A99,miercoles!$A:$I,9,FALSE),IFERROR(VLOOKUP(A99,martes!$A:$I,9,FALSE),IFERROR(VLOOKUP(A99,lunes!$A:$I,9,FALSE),VLOOKUP(A99,Configuracion!$A:$B,2,FALSE)))))</f>
        <v>#N/A</v>
      </c>
      <c r="E99">
        <f>IF(C99="Venta", IFERROR(VLOOKUP(A99, Configuracion!$A:$D, 3, FALSE), 0), 0)</f>
        <v>0</v>
      </c>
      <c r="F99">
        <f t="shared" si="4"/>
        <v>0</v>
      </c>
      <c r="H99">
        <f>IF(AND(G99="Gestor", A99&lt;&gt;""), VLOOKUP(A99, Configuracion!$A:$D, 4, FALSE), 0)*Tabla1025[[#This Row],[CANTIDAD]]</f>
        <v>0</v>
      </c>
      <c r="I99" t="str">
        <f t="shared" si="5"/>
        <v/>
      </c>
    </row>
    <row r="100" spans="2:9" x14ac:dyDescent="0.3">
      <c r="B100" t="e">
        <f>IFERROR(VLOOKUP(A100,jueves!$A:$I,9,FALSE),IFERROR(VLOOKUP(A100,miercoles!$A:$I,9,FALSE),IFERROR(VLOOKUP(A100,martes!$A:$I,9,FALSE),IFERROR(VLOOKUP(A100,lunes!$A:$I,9,FALSE),VLOOKUP(A100,Configuracion!$A:$B,2,FALSE)))))</f>
        <v>#N/A</v>
      </c>
      <c r="E100">
        <f>IF(C100="Venta", IFERROR(VLOOKUP(A100, Configuracion!$A:$D, 3, FALSE), 0), 0)</f>
        <v>0</v>
      </c>
      <c r="F100">
        <f t="shared" si="4"/>
        <v>0</v>
      </c>
      <c r="H100">
        <f>IF(AND(G100="Gestor", A100&lt;&gt;""), VLOOKUP(A100, Configuracion!$A:$D, 4, FALSE), 0)*Tabla1025[[#This Row],[CANTIDAD]]</f>
        <v>0</v>
      </c>
      <c r="I100" t="str">
        <f t="shared" si="5"/>
        <v/>
      </c>
    </row>
    <row r="101" spans="2:9" x14ac:dyDescent="0.3">
      <c r="B101" t="e">
        <f>IFERROR(VLOOKUP(A101,jueves!$A:$I,9,FALSE),IFERROR(VLOOKUP(A101,miercoles!$A:$I,9,FALSE),IFERROR(VLOOKUP(A101,martes!$A:$I,9,FALSE),IFERROR(VLOOKUP(A101,lunes!$A:$I,9,FALSE),VLOOKUP(A101,Configuracion!$A:$B,2,FALSE)))))</f>
        <v>#N/A</v>
      </c>
      <c r="E101">
        <f>IF(C101="Venta", IFERROR(VLOOKUP(A101, Configuracion!$A:$D, 3, FALSE), 0), 0)</f>
        <v>0</v>
      </c>
      <c r="F101">
        <f t="shared" si="4"/>
        <v>0</v>
      </c>
      <c r="H101">
        <f>IF(AND(G101="Gestor", A101&lt;&gt;""), VLOOKUP(A101, Configuracion!$A:$D, 4, FALSE), 0)*Tabla1025[[#This Row],[CANTIDAD]]</f>
        <v>0</v>
      </c>
      <c r="I101" t="str">
        <f t="shared" si="5"/>
        <v/>
      </c>
    </row>
    <row r="102" spans="2:9" x14ac:dyDescent="0.3">
      <c r="B102" t="e">
        <f>IFERROR(VLOOKUP(A102,jueves!$A:$I,9,FALSE),IFERROR(VLOOKUP(A102,miercoles!$A:$I,9,FALSE),IFERROR(VLOOKUP(A102,martes!$A:$I,9,FALSE),IFERROR(VLOOKUP(A102,lunes!$A:$I,9,FALSE),VLOOKUP(A102,Configuracion!$A:$B,2,FALSE)))))</f>
        <v>#N/A</v>
      </c>
      <c r="E102">
        <f>IF(C102="Venta", IFERROR(VLOOKUP(A102, Configuracion!$A:$D, 3, FALSE), 0), 0)</f>
        <v>0</v>
      </c>
      <c r="F102">
        <f t="shared" si="4"/>
        <v>0</v>
      </c>
      <c r="H102">
        <f>IF(AND(G102="Gestor", A102&lt;&gt;""), VLOOKUP(A102, Configuracion!$A:$D, 4, FALSE), 0)*Tabla1025[[#This Row],[CANTIDAD]]</f>
        <v>0</v>
      </c>
      <c r="I102" t="str">
        <f t="shared" si="5"/>
        <v/>
      </c>
    </row>
    <row r="103" spans="2:9" x14ac:dyDescent="0.3">
      <c r="B103" t="e">
        <f>IFERROR(VLOOKUP(A103,jueves!$A:$I,9,FALSE),IFERROR(VLOOKUP(A103,miercoles!$A:$I,9,FALSE),IFERROR(VLOOKUP(A103,martes!$A:$I,9,FALSE),IFERROR(VLOOKUP(A103,lunes!$A:$I,9,FALSE),VLOOKUP(A103,Configuracion!$A:$B,2,FALSE)))))</f>
        <v>#N/A</v>
      </c>
      <c r="E103">
        <f>IF(C103="Venta", IFERROR(VLOOKUP(A103, Configuracion!$A:$D, 3, FALSE), 0), 0)</f>
        <v>0</v>
      </c>
      <c r="F103">
        <f t="shared" si="4"/>
        <v>0</v>
      </c>
      <c r="H103">
        <f>IF(AND(G103="Gestor", A103&lt;&gt;""), VLOOKUP(A103, Configuracion!$A:$D, 4, FALSE), 0)*Tabla1025[[#This Row],[CANTIDAD]]</f>
        <v>0</v>
      </c>
      <c r="I103" t="str">
        <f t="shared" si="5"/>
        <v/>
      </c>
    </row>
    <row r="104" spans="2:9" x14ac:dyDescent="0.3">
      <c r="B104" t="e">
        <f>IFERROR(VLOOKUP(A104,jueves!$A:$I,9,FALSE),IFERROR(VLOOKUP(A104,miercoles!$A:$I,9,FALSE),IFERROR(VLOOKUP(A104,martes!$A:$I,9,FALSE),IFERROR(VLOOKUP(A104,lunes!$A:$I,9,FALSE),VLOOKUP(A104,Configuracion!$A:$B,2,FALSE)))))</f>
        <v>#N/A</v>
      </c>
      <c r="E104">
        <f>IF(C104="Venta", IFERROR(VLOOKUP(A104, Configuracion!$A:$D, 3, FALSE), 0), 0)</f>
        <v>0</v>
      </c>
      <c r="F104">
        <f t="shared" si="4"/>
        <v>0</v>
      </c>
      <c r="H104">
        <f>IF(AND(G104="Gestor", A104&lt;&gt;""), VLOOKUP(A104, Configuracion!$A:$D, 4, FALSE), 0)*Tabla1025[[#This Row],[CANTIDAD]]</f>
        <v>0</v>
      </c>
      <c r="I104" t="str">
        <f t="shared" si="5"/>
        <v/>
      </c>
    </row>
    <row r="105" spans="2:9" x14ac:dyDescent="0.3">
      <c r="B105" t="e">
        <f>IFERROR(VLOOKUP(A105,jueves!$A:$I,9,FALSE),IFERROR(VLOOKUP(A105,miercoles!$A:$I,9,FALSE),IFERROR(VLOOKUP(A105,martes!$A:$I,9,FALSE),IFERROR(VLOOKUP(A105,lunes!$A:$I,9,FALSE),VLOOKUP(A105,Configuracion!$A:$B,2,FALSE)))))</f>
        <v>#N/A</v>
      </c>
      <c r="E105">
        <f>IF(C105="Venta", IFERROR(VLOOKUP(A105, Configuracion!$A:$D, 3, FALSE), 0), 0)</f>
        <v>0</v>
      </c>
      <c r="F105">
        <f t="shared" si="4"/>
        <v>0</v>
      </c>
      <c r="H105">
        <f>IF(AND(G105="Gestor", A105&lt;&gt;""), VLOOKUP(A105, Configuracion!$A:$D, 4, FALSE), 0)*Tabla1025[[#This Row],[CANTIDAD]]</f>
        <v>0</v>
      </c>
      <c r="I105" t="str">
        <f t="shared" si="5"/>
        <v/>
      </c>
    </row>
    <row r="106" spans="2:9" x14ac:dyDescent="0.3">
      <c r="B106" t="e">
        <f>IFERROR(VLOOKUP(A106,jueves!$A:$I,9,FALSE),IFERROR(VLOOKUP(A106,miercoles!$A:$I,9,FALSE),IFERROR(VLOOKUP(A106,martes!$A:$I,9,FALSE),IFERROR(VLOOKUP(A106,lunes!$A:$I,9,FALSE),VLOOKUP(A106,Configuracion!$A:$B,2,FALSE)))))</f>
        <v>#N/A</v>
      </c>
      <c r="E106">
        <f>IF(C106="Venta", IFERROR(VLOOKUP(A106, Configuracion!$A:$D, 3, FALSE), 0), 0)</f>
        <v>0</v>
      </c>
      <c r="F106">
        <f t="shared" si="4"/>
        <v>0</v>
      </c>
      <c r="H106">
        <f>IF(AND(G106="Gestor", A106&lt;&gt;""), VLOOKUP(A106, Configuracion!$A:$D, 4, FALSE), 0)*Tabla1025[[#This Row],[CANTIDAD]]</f>
        <v>0</v>
      </c>
      <c r="I106" t="str">
        <f t="shared" si="5"/>
        <v/>
      </c>
    </row>
    <row r="107" spans="2:9" x14ac:dyDescent="0.3">
      <c r="B107" t="e">
        <f>IFERROR(VLOOKUP(A107,jueves!$A:$I,9,FALSE),IFERROR(VLOOKUP(A107,miercoles!$A:$I,9,FALSE),IFERROR(VLOOKUP(A107,martes!$A:$I,9,FALSE),IFERROR(VLOOKUP(A107,lunes!$A:$I,9,FALSE),VLOOKUP(A107,Configuracion!$A:$B,2,FALSE)))))</f>
        <v>#N/A</v>
      </c>
      <c r="E107">
        <f>IF(C107="Venta", IFERROR(VLOOKUP(A107, Configuracion!$A:$D, 3, FALSE), 0), 0)</f>
        <v>0</v>
      </c>
      <c r="F107">
        <f t="shared" si="4"/>
        <v>0</v>
      </c>
      <c r="H107">
        <f>IF(AND(G107="Gestor", A107&lt;&gt;""), VLOOKUP(A107, Configuracion!$A:$D, 4, FALSE), 0)*Tabla1025[[#This Row],[CANTIDAD]]</f>
        <v>0</v>
      </c>
      <c r="I107" t="str">
        <f t="shared" si="5"/>
        <v/>
      </c>
    </row>
    <row r="108" spans="2:9" x14ac:dyDescent="0.3">
      <c r="B108" t="e">
        <f>IFERROR(VLOOKUP(A108,jueves!$A:$I,9,FALSE),IFERROR(VLOOKUP(A108,miercoles!$A:$I,9,FALSE),IFERROR(VLOOKUP(A108,martes!$A:$I,9,FALSE),IFERROR(VLOOKUP(A108,lunes!$A:$I,9,FALSE),VLOOKUP(A108,Configuracion!$A:$B,2,FALSE)))))</f>
        <v>#N/A</v>
      </c>
      <c r="E108">
        <f>IF(C108="Venta", IFERROR(VLOOKUP(A108, Configuracion!$A:$D, 3, FALSE), 0), 0)</f>
        <v>0</v>
      </c>
      <c r="F108">
        <f t="shared" si="4"/>
        <v>0</v>
      </c>
      <c r="H108">
        <f>IF(AND(G108="Gestor", A108&lt;&gt;""), VLOOKUP(A108, Configuracion!$A:$D, 4, FALSE), 0)*Tabla1025[[#This Row],[CANTIDAD]]</f>
        <v>0</v>
      </c>
      <c r="I108" t="str">
        <f t="shared" si="5"/>
        <v/>
      </c>
    </row>
    <row r="109" spans="2:9" x14ac:dyDescent="0.3">
      <c r="B109" t="e">
        <f>IFERROR(VLOOKUP(A109,jueves!$A:$I,9,FALSE),IFERROR(VLOOKUP(A109,miercoles!$A:$I,9,FALSE),IFERROR(VLOOKUP(A109,martes!$A:$I,9,FALSE),IFERROR(VLOOKUP(A109,lunes!$A:$I,9,FALSE),VLOOKUP(A109,Configuracion!$A:$B,2,FALSE)))))</f>
        <v>#N/A</v>
      </c>
      <c r="E109">
        <f>IF(C109="Venta", IFERROR(VLOOKUP(A109, Configuracion!$A:$D, 3, FALSE), 0), 0)</f>
        <v>0</v>
      </c>
      <c r="F109">
        <f t="shared" si="4"/>
        <v>0</v>
      </c>
      <c r="H109">
        <f>IF(AND(G109="Gestor", A109&lt;&gt;""), VLOOKUP(A109, Configuracion!$A:$D, 4, FALSE), 0)*Tabla1025[[#This Row],[CANTIDAD]]</f>
        <v>0</v>
      </c>
      <c r="I109" t="str">
        <f t="shared" si="5"/>
        <v/>
      </c>
    </row>
    <row r="110" spans="2:9" x14ac:dyDescent="0.3">
      <c r="B110" t="e">
        <f>IFERROR(VLOOKUP(A110,jueves!$A:$I,9,FALSE),IFERROR(VLOOKUP(A110,miercoles!$A:$I,9,FALSE),IFERROR(VLOOKUP(A110,martes!$A:$I,9,FALSE),IFERROR(VLOOKUP(A110,lunes!$A:$I,9,FALSE),VLOOKUP(A110,Configuracion!$A:$B,2,FALSE)))))</f>
        <v>#N/A</v>
      </c>
      <c r="E110">
        <f>IF(C110="Venta", IFERROR(VLOOKUP(A110, Configuracion!$A:$D, 3, FALSE), 0), 0)</f>
        <v>0</v>
      </c>
      <c r="F110">
        <f t="shared" si="4"/>
        <v>0</v>
      </c>
      <c r="H110">
        <f>IF(AND(G110="Gestor", A110&lt;&gt;""), VLOOKUP(A110, Configuracion!$A:$D, 4, FALSE), 0)*Tabla1025[[#This Row],[CANTIDAD]]</f>
        <v>0</v>
      </c>
      <c r="I110" t="str">
        <f t="shared" si="5"/>
        <v/>
      </c>
    </row>
    <row r="111" spans="2:9" x14ac:dyDescent="0.3">
      <c r="B111" t="e">
        <f>IFERROR(VLOOKUP(A111,jueves!$A:$I,9,FALSE),IFERROR(VLOOKUP(A111,miercoles!$A:$I,9,FALSE),IFERROR(VLOOKUP(A111,martes!$A:$I,9,FALSE),IFERROR(VLOOKUP(A111,lunes!$A:$I,9,FALSE),VLOOKUP(A111,Configuracion!$A:$B,2,FALSE)))))</f>
        <v>#N/A</v>
      </c>
      <c r="E111">
        <f>IF(C111="Venta", IFERROR(VLOOKUP(A111, Configuracion!$A:$D, 3, FALSE), 0), 0)</f>
        <v>0</v>
      </c>
      <c r="F111">
        <f t="shared" si="4"/>
        <v>0</v>
      </c>
      <c r="H111">
        <f>IF(AND(G111="Gestor", A111&lt;&gt;""), VLOOKUP(A111, Configuracion!$A:$D, 4, FALSE), 0)*Tabla1025[[#This Row],[CANTIDAD]]</f>
        <v>0</v>
      </c>
      <c r="I111" t="str">
        <f t="shared" si="5"/>
        <v/>
      </c>
    </row>
    <row r="112" spans="2:9" x14ac:dyDescent="0.3">
      <c r="B112" t="e">
        <f>IFERROR(VLOOKUP(A112,jueves!$A:$I,9,FALSE),IFERROR(VLOOKUP(A112,miercoles!$A:$I,9,FALSE),IFERROR(VLOOKUP(A112,martes!$A:$I,9,FALSE),IFERROR(VLOOKUP(A112,lunes!$A:$I,9,FALSE),VLOOKUP(A112,Configuracion!$A:$B,2,FALSE)))))</f>
        <v>#N/A</v>
      </c>
      <c r="E112">
        <f>IF(C112="Venta", IFERROR(VLOOKUP(A112, Configuracion!$A:$D, 3, FALSE), 0), 0)</f>
        <v>0</v>
      </c>
      <c r="F112">
        <f t="shared" si="4"/>
        <v>0</v>
      </c>
      <c r="H112">
        <f>IF(AND(G112="Gestor", A112&lt;&gt;""), VLOOKUP(A112, Configuracion!$A:$D, 4, FALSE), 0)*Tabla1025[[#This Row],[CANTIDAD]]</f>
        <v>0</v>
      </c>
      <c r="I112" t="str">
        <f t="shared" si="5"/>
        <v/>
      </c>
    </row>
    <row r="113" spans="2:9" x14ac:dyDescent="0.3">
      <c r="B113" t="e">
        <f>IFERROR(VLOOKUP(A113,jueves!$A:$I,9,FALSE),IFERROR(VLOOKUP(A113,miercoles!$A:$I,9,FALSE),IFERROR(VLOOKUP(A113,martes!$A:$I,9,FALSE),IFERROR(VLOOKUP(A113,lunes!$A:$I,9,FALSE),VLOOKUP(A113,Configuracion!$A:$B,2,FALSE)))))</f>
        <v>#N/A</v>
      </c>
      <c r="E113">
        <f>IF(C113="Venta", IFERROR(VLOOKUP(A113, Configuracion!$A:$D, 3, FALSE), 0), 0)</f>
        <v>0</v>
      </c>
      <c r="F113">
        <f t="shared" si="4"/>
        <v>0</v>
      </c>
      <c r="H113">
        <f>IF(AND(G113="Gestor", A113&lt;&gt;""), VLOOKUP(A113, Configuracion!$A:$D, 4, FALSE), 0)*Tabla1025[[#This Row],[CANTIDAD]]</f>
        <v>0</v>
      </c>
      <c r="I113" t="str">
        <f t="shared" si="5"/>
        <v/>
      </c>
    </row>
    <row r="114" spans="2:9" x14ac:dyDescent="0.3">
      <c r="B114" t="e">
        <f>IFERROR(VLOOKUP(A114,jueves!$A:$I,9,FALSE),IFERROR(VLOOKUP(A114,miercoles!$A:$I,9,FALSE),IFERROR(VLOOKUP(A114,martes!$A:$I,9,FALSE),IFERROR(VLOOKUP(A114,lunes!$A:$I,9,FALSE),VLOOKUP(A114,Configuracion!$A:$B,2,FALSE)))))</f>
        <v>#N/A</v>
      </c>
      <c r="E114">
        <f>IF(C114="Venta", IFERROR(VLOOKUP(A114, Configuracion!$A:$D, 3, FALSE), 0), 0)</f>
        <v>0</v>
      </c>
      <c r="F114">
        <f t="shared" si="4"/>
        <v>0</v>
      </c>
      <c r="H114">
        <f>IF(AND(G114="Gestor", A114&lt;&gt;""), VLOOKUP(A114, Configuracion!$A:$D, 4, FALSE), 0)*Tabla1025[[#This Row],[CANTIDAD]]</f>
        <v>0</v>
      </c>
      <c r="I114" t="str">
        <f t="shared" si="5"/>
        <v/>
      </c>
    </row>
    <row r="115" spans="2:9" x14ac:dyDescent="0.3">
      <c r="B115" t="e">
        <f>IFERROR(VLOOKUP(A115,jueves!$A:$I,9,FALSE),IFERROR(VLOOKUP(A115,miercoles!$A:$I,9,FALSE),IFERROR(VLOOKUP(A115,martes!$A:$I,9,FALSE),IFERROR(VLOOKUP(A115,lunes!$A:$I,9,FALSE),VLOOKUP(A115,Configuracion!$A:$B,2,FALSE)))))</f>
        <v>#N/A</v>
      </c>
      <c r="E115">
        <f>IF(C115="Venta", IFERROR(VLOOKUP(A115, Configuracion!$A:$D, 3, FALSE), 0), 0)</f>
        <v>0</v>
      </c>
      <c r="F115">
        <f t="shared" si="4"/>
        <v>0</v>
      </c>
      <c r="H115">
        <f>IF(AND(G115="Gestor", A115&lt;&gt;""), VLOOKUP(A115, Configuracion!$A:$D, 4, FALSE), 0)*Tabla1025[[#This Row],[CANTIDAD]]</f>
        <v>0</v>
      </c>
      <c r="I115" t="str">
        <f t="shared" si="5"/>
        <v/>
      </c>
    </row>
    <row r="116" spans="2:9" x14ac:dyDescent="0.3">
      <c r="B116" t="e">
        <f>IFERROR(VLOOKUP(A116,jueves!$A:$I,9,FALSE),IFERROR(VLOOKUP(A116,miercoles!$A:$I,9,FALSE),IFERROR(VLOOKUP(A116,martes!$A:$I,9,FALSE),IFERROR(VLOOKUP(A116,lunes!$A:$I,9,FALSE),VLOOKUP(A116,Configuracion!$A:$B,2,FALSE)))))</f>
        <v>#N/A</v>
      </c>
      <c r="E116">
        <f>IF(C116="Venta", IFERROR(VLOOKUP(A116, Configuracion!$A:$D, 3, FALSE), 0), 0)</f>
        <v>0</v>
      </c>
      <c r="F116">
        <f t="shared" si="4"/>
        <v>0</v>
      </c>
      <c r="H116">
        <f>IF(AND(G116="Gestor", A116&lt;&gt;""), VLOOKUP(A116, Configuracion!$A:$D, 4, FALSE), 0)*Tabla1025[[#This Row],[CANTIDAD]]</f>
        <v>0</v>
      </c>
      <c r="I116" t="str">
        <f t="shared" si="5"/>
        <v/>
      </c>
    </row>
    <row r="117" spans="2:9" x14ac:dyDescent="0.3">
      <c r="B117" t="e">
        <f>IFERROR(VLOOKUP(A117,jueves!$A:$I,9,FALSE),IFERROR(VLOOKUP(A117,miercoles!$A:$I,9,FALSE),IFERROR(VLOOKUP(A117,martes!$A:$I,9,FALSE),IFERROR(VLOOKUP(A117,lunes!$A:$I,9,FALSE),VLOOKUP(A117,Configuracion!$A:$B,2,FALSE)))))</f>
        <v>#N/A</v>
      </c>
      <c r="E117">
        <f>IF(C117="Venta", IFERROR(VLOOKUP(A117, Configuracion!$A:$D, 3, FALSE), 0), 0)</f>
        <v>0</v>
      </c>
      <c r="F117">
        <f t="shared" si="4"/>
        <v>0</v>
      </c>
      <c r="H117">
        <f>IF(AND(G117="Gestor", A117&lt;&gt;""), VLOOKUP(A117, Configuracion!$A:$D, 4, FALSE), 0)*Tabla1025[[#This Row],[CANTIDAD]]</f>
        <v>0</v>
      </c>
      <c r="I117" t="str">
        <f t="shared" si="5"/>
        <v/>
      </c>
    </row>
    <row r="118" spans="2:9" x14ac:dyDescent="0.3">
      <c r="B118" t="e">
        <f>IFERROR(VLOOKUP(A118,jueves!$A:$I,9,FALSE),IFERROR(VLOOKUP(A118,miercoles!$A:$I,9,FALSE),IFERROR(VLOOKUP(A118,martes!$A:$I,9,FALSE),IFERROR(VLOOKUP(A118,lunes!$A:$I,9,FALSE),VLOOKUP(A118,Configuracion!$A:$B,2,FALSE)))))</f>
        <v>#N/A</v>
      </c>
      <c r="E118">
        <f>IF(C118="Venta", IFERROR(VLOOKUP(A118, Configuracion!$A:$D, 3, FALSE), 0), 0)</f>
        <v>0</v>
      </c>
      <c r="F118">
        <f t="shared" si="4"/>
        <v>0</v>
      </c>
      <c r="H118">
        <f>IF(AND(G118="Gestor", A118&lt;&gt;""), VLOOKUP(A118, Configuracion!$A:$D, 4, FALSE), 0)*Tabla1025[[#This Row],[CANTIDAD]]</f>
        <v>0</v>
      </c>
      <c r="I118" t="str">
        <f t="shared" si="5"/>
        <v/>
      </c>
    </row>
    <row r="119" spans="2:9" x14ac:dyDescent="0.3">
      <c r="B119" t="e">
        <f>IFERROR(VLOOKUP(A119,jueves!$A:$I,9,FALSE),IFERROR(VLOOKUP(A119,miercoles!$A:$I,9,FALSE),IFERROR(VLOOKUP(A119,martes!$A:$I,9,FALSE),IFERROR(VLOOKUP(A119,lunes!$A:$I,9,FALSE),VLOOKUP(A119,Configuracion!$A:$B,2,FALSE)))))</f>
        <v>#N/A</v>
      </c>
      <c r="E119">
        <f>IF(C119="Venta", IFERROR(VLOOKUP(A119, Configuracion!$A:$D, 3, FALSE), 0), 0)</f>
        <v>0</v>
      </c>
      <c r="F119">
        <f t="shared" si="4"/>
        <v>0</v>
      </c>
      <c r="H119">
        <f>IF(AND(G119="Gestor", A119&lt;&gt;""), VLOOKUP(A119, Configuracion!$A:$D, 4, FALSE), 0)*Tabla1025[[#This Row],[CANTIDAD]]</f>
        <v>0</v>
      </c>
      <c r="I119" t="str">
        <f t="shared" si="5"/>
        <v/>
      </c>
    </row>
    <row r="120" spans="2:9" x14ac:dyDescent="0.3">
      <c r="B120" t="e">
        <f>IFERROR(VLOOKUP(A120,jueves!$A:$I,9,FALSE),IFERROR(VLOOKUP(A120,miercoles!$A:$I,9,FALSE),IFERROR(VLOOKUP(A120,martes!$A:$I,9,FALSE),IFERROR(VLOOKUP(A120,lunes!$A:$I,9,FALSE),VLOOKUP(A120,Configuracion!$A:$B,2,FALSE)))))</f>
        <v>#N/A</v>
      </c>
      <c r="E120">
        <f>IF(C120="Venta", IFERROR(VLOOKUP(A120, Configuracion!$A:$D, 3, FALSE), 0), 0)</f>
        <v>0</v>
      </c>
      <c r="F120">
        <f t="shared" si="4"/>
        <v>0</v>
      </c>
      <c r="H120">
        <f>IF(AND(G120="Gestor", A120&lt;&gt;""), VLOOKUP(A120, Configuracion!$A:$D, 4, FALSE), 0)*Tabla1025[[#This Row],[CANTIDAD]]</f>
        <v>0</v>
      </c>
      <c r="I120" t="str">
        <f t="shared" si="5"/>
        <v/>
      </c>
    </row>
    <row r="121" spans="2:9" x14ac:dyDescent="0.3">
      <c r="B121" t="e">
        <f>IFERROR(VLOOKUP(A121,jueves!$A:$I,9,FALSE),IFERROR(VLOOKUP(A121,miercoles!$A:$I,9,FALSE),IFERROR(VLOOKUP(A121,martes!$A:$I,9,FALSE),IFERROR(VLOOKUP(A121,lunes!$A:$I,9,FALSE),VLOOKUP(A121,Configuracion!$A:$B,2,FALSE)))))</f>
        <v>#N/A</v>
      </c>
      <c r="E121">
        <f>IF(C121="Venta", IFERROR(VLOOKUP(A121, Configuracion!$A:$D, 3, FALSE), 0), 0)</f>
        <v>0</v>
      </c>
      <c r="F121">
        <f t="shared" si="4"/>
        <v>0</v>
      </c>
      <c r="H121">
        <f>IF(AND(G121="Gestor", A121&lt;&gt;""), VLOOKUP(A121, Configuracion!$A:$D, 4, FALSE), 0)*Tabla1025[[#This Row],[CANTIDAD]]</f>
        <v>0</v>
      </c>
      <c r="I121" t="str">
        <f t="shared" si="5"/>
        <v/>
      </c>
    </row>
    <row r="122" spans="2:9" x14ac:dyDescent="0.3">
      <c r="B122" t="e">
        <f>IFERROR(VLOOKUP(A122,jueves!$A:$I,9,FALSE),IFERROR(VLOOKUP(A122,miercoles!$A:$I,9,FALSE),IFERROR(VLOOKUP(A122,martes!$A:$I,9,FALSE),IFERROR(VLOOKUP(A122,lunes!$A:$I,9,FALSE),VLOOKUP(A122,Configuracion!$A:$B,2,FALSE)))))</f>
        <v>#N/A</v>
      </c>
      <c r="E122">
        <f>IF(C122="Venta", IFERROR(VLOOKUP(A122, Configuracion!$A:$D, 3, FALSE), 0), 0)</f>
        <v>0</v>
      </c>
      <c r="F122">
        <f t="shared" si="4"/>
        <v>0</v>
      </c>
      <c r="H122">
        <f>IF(AND(G122="Gestor", A122&lt;&gt;""), VLOOKUP(A122, Configuracion!$A:$D, 4, FALSE), 0)*Tabla1025[[#This Row],[CANTIDAD]]</f>
        <v>0</v>
      </c>
      <c r="I122" t="str">
        <f t="shared" si="5"/>
        <v/>
      </c>
    </row>
    <row r="123" spans="2:9" x14ac:dyDescent="0.3">
      <c r="B123" t="e">
        <f>IFERROR(VLOOKUP(A123,jueves!$A:$I,9,FALSE),IFERROR(VLOOKUP(A123,miercoles!$A:$I,9,FALSE),IFERROR(VLOOKUP(A123,martes!$A:$I,9,FALSE),IFERROR(VLOOKUP(A123,lunes!$A:$I,9,FALSE),VLOOKUP(A123,Configuracion!$A:$B,2,FALSE)))))</f>
        <v>#N/A</v>
      </c>
      <c r="E123">
        <f>IF(C123="Venta", IFERROR(VLOOKUP(A123, Configuracion!$A:$D, 3, FALSE), 0), 0)</f>
        <v>0</v>
      </c>
      <c r="F123">
        <f t="shared" si="4"/>
        <v>0</v>
      </c>
      <c r="H123">
        <f>IF(AND(G123="Gestor", A123&lt;&gt;""), VLOOKUP(A123, Configuracion!$A:$D, 4, FALSE), 0)*Tabla1025[[#This Row],[CANTIDAD]]</f>
        <v>0</v>
      </c>
      <c r="I123" t="str">
        <f t="shared" si="5"/>
        <v/>
      </c>
    </row>
    <row r="124" spans="2:9" x14ac:dyDescent="0.3">
      <c r="B124" t="e">
        <f>IFERROR(VLOOKUP(A124,jueves!$A:$I,9,FALSE),IFERROR(VLOOKUP(A124,miercoles!$A:$I,9,FALSE),IFERROR(VLOOKUP(A124,martes!$A:$I,9,FALSE),IFERROR(VLOOKUP(A124,lunes!$A:$I,9,FALSE),VLOOKUP(A124,Configuracion!$A:$B,2,FALSE)))))</f>
        <v>#N/A</v>
      </c>
      <c r="E124">
        <f>IF(C124="Venta", IFERROR(VLOOKUP(A124, Configuracion!$A:$D, 3, FALSE), 0), 0)</f>
        <v>0</v>
      </c>
      <c r="F124">
        <f t="shared" si="4"/>
        <v>0</v>
      </c>
      <c r="H124">
        <f>IF(AND(G124="Gestor", A124&lt;&gt;""), VLOOKUP(A124, Configuracion!$A:$D, 4, FALSE), 0)*Tabla1025[[#This Row],[CANTIDAD]]</f>
        <v>0</v>
      </c>
      <c r="I124" t="str">
        <f t="shared" si="5"/>
        <v/>
      </c>
    </row>
    <row r="125" spans="2:9" x14ac:dyDescent="0.3">
      <c r="B125" t="e">
        <f>IFERROR(VLOOKUP(A125,jueves!$A:$I,9,FALSE),IFERROR(VLOOKUP(A125,miercoles!$A:$I,9,FALSE),IFERROR(VLOOKUP(A125,martes!$A:$I,9,FALSE),IFERROR(VLOOKUP(A125,lunes!$A:$I,9,FALSE),VLOOKUP(A125,Configuracion!$A:$B,2,FALSE)))))</f>
        <v>#N/A</v>
      </c>
      <c r="E125">
        <f>IF(C125="Venta", IFERROR(VLOOKUP(A125, Configuracion!$A:$D, 3, FALSE), 0), 0)</f>
        <v>0</v>
      </c>
      <c r="F125">
        <f t="shared" si="4"/>
        <v>0</v>
      </c>
      <c r="H125">
        <f>IF(AND(G125="Gestor", A125&lt;&gt;""), VLOOKUP(A125, Configuracion!$A:$D, 4, FALSE), 0)*Tabla1025[[#This Row],[CANTIDAD]]</f>
        <v>0</v>
      </c>
      <c r="I125" t="str">
        <f t="shared" si="5"/>
        <v/>
      </c>
    </row>
    <row r="126" spans="2:9" x14ac:dyDescent="0.3">
      <c r="B126" t="e">
        <f>IFERROR(VLOOKUP(A126,jueves!$A:$I,9,FALSE),IFERROR(VLOOKUP(A126,miercoles!$A:$I,9,FALSE),IFERROR(VLOOKUP(A126,martes!$A:$I,9,FALSE),IFERROR(VLOOKUP(A126,lunes!$A:$I,9,FALSE),VLOOKUP(A126,Configuracion!$A:$B,2,FALSE)))))</f>
        <v>#N/A</v>
      </c>
      <c r="E126">
        <f>IF(C126="Venta", IFERROR(VLOOKUP(A126, Configuracion!$A:$D, 3, FALSE), 0), 0)</f>
        <v>0</v>
      </c>
      <c r="F126">
        <f t="shared" si="4"/>
        <v>0</v>
      </c>
      <c r="H126">
        <f>IF(AND(G126="Gestor", A126&lt;&gt;""), VLOOKUP(A126, Configuracion!$A:$D, 4, FALSE), 0)*Tabla1025[[#This Row],[CANTIDAD]]</f>
        <v>0</v>
      </c>
      <c r="I126" t="str">
        <f t="shared" si="5"/>
        <v/>
      </c>
    </row>
    <row r="127" spans="2:9" x14ac:dyDescent="0.3">
      <c r="B127" t="e">
        <f>IFERROR(VLOOKUP(A127,jueves!$A:$I,9,FALSE),IFERROR(VLOOKUP(A127,miercoles!$A:$I,9,FALSE),IFERROR(VLOOKUP(A127,martes!$A:$I,9,FALSE),IFERROR(VLOOKUP(A127,lunes!$A:$I,9,FALSE),VLOOKUP(A127,Configuracion!$A:$B,2,FALSE)))))</f>
        <v>#N/A</v>
      </c>
      <c r="E127">
        <f>IF(C127="Venta", IFERROR(VLOOKUP(A127, Configuracion!$A:$D, 3, FALSE), 0), 0)</f>
        <v>0</v>
      </c>
      <c r="F127">
        <f t="shared" si="4"/>
        <v>0</v>
      </c>
      <c r="H127">
        <f>IF(AND(G127="Gestor", A127&lt;&gt;""), VLOOKUP(A127, Configuracion!$A:$D, 4, FALSE), 0)*Tabla1025[[#This Row],[CANTIDAD]]</f>
        <v>0</v>
      </c>
      <c r="I127" t="str">
        <f t="shared" si="5"/>
        <v/>
      </c>
    </row>
    <row r="128" spans="2:9" x14ac:dyDescent="0.3">
      <c r="B128" t="e">
        <f>IFERROR(VLOOKUP(A128,jueves!$A:$I,9,FALSE),IFERROR(VLOOKUP(A128,miercoles!$A:$I,9,FALSE),IFERROR(VLOOKUP(A128,martes!$A:$I,9,FALSE),IFERROR(VLOOKUP(A128,lunes!$A:$I,9,FALSE),VLOOKUP(A128,Configuracion!$A:$B,2,FALSE)))))</f>
        <v>#N/A</v>
      </c>
      <c r="E128">
        <f>IF(C128="Venta", IFERROR(VLOOKUP(A128, Configuracion!$A:$D, 3, FALSE), 0), 0)</f>
        <v>0</v>
      </c>
      <c r="F128">
        <f t="shared" si="4"/>
        <v>0</v>
      </c>
      <c r="H128">
        <f>IF(AND(G128="Gestor", A128&lt;&gt;""), VLOOKUP(A128, Configuracion!$A:$D, 4, FALSE), 0)*Tabla1025[[#This Row],[CANTIDAD]]</f>
        <v>0</v>
      </c>
      <c r="I128" t="str">
        <f t="shared" si="5"/>
        <v/>
      </c>
    </row>
    <row r="129" spans="2:9" x14ac:dyDescent="0.3">
      <c r="B129" t="e">
        <f>IFERROR(VLOOKUP(A129,jueves!$A:$I,9,FALSE),IFERROR(VLOOKUP(A129,miercoles!$A:$I,9,FALSE),IFERROR(VLOOKUP(A129,martes!$A:$I,9,FALSE),IFERROR(VLOOKUP(A129,lunes!$A:$I,9,FALSE),VLOOKUP(A129,Configuracion!$A:$B,2,FALSE)))))</f>
        <v>#N/A</v>
      </c>
      <c r="E129">
        <f>IF(C129="Venta", IFERROR(VLOOKUP(A129, Configuracion!$A:$D, 3, FALSE), 0), 0)</f>
        <v>0</v>
      </c>
      <c r="F129">
        <f t="shared" si="4"/>
        <v>0</v>
      </c>
      <c r="H129">
        <f>IF(AND(G129="Gestor", A129&lt;&gt;""), VLOOKUP(A129, Configuracion!$A:$D, 4, FALSE), 0)*Tabla1025[[#This Row],[CANTIDAD]]</f>
        <v>0</v>
      </c>
      <c r="I129" t="str">
        <f t="shared" si="5"/>
        <v/>
      </c>
    </row>
    <row r="130" spans="2:9" x14ac:dyDescent="0.3">
      <c r="B130" t="e">
        <f>IFERROR(VLOOKUP(A130,jueves!$A:$I,9,FALSE),IFERROR(VLOOKUP(A130,miercoles!$A:$I,9,FALSE),IFERROR(VLOOKUP(A130,martes!$A:$I,9,FALSE),IFERROR(VLOOKUP(A130,lunes!$A:$I,9,FALSE),VLOOKUP(A130,Configuracion!$A:$B,2,FALSE)))))</f>
        <v>#N/A</v>
      </c>
      <c r="E130">
        <f>IF(C130="Venta", IFERROR(VLOOKUP(A130, Configuracion!$A:$D, 3, FALSE), 0), 0)</f>
        <v>0</v>
      </c>
      <c r="F130">
        <f t="shared" si="4"/>
        <v>0</v>
      </c>
      <c r="H130">
        <f>IF(AND(G130="Gestor", A130&lt;&gt;""), VLOOKUP(A130, Configuracion!$A:$D, 4, FALSE), 0)*Tabla1025[[#This Row],[CANTIDAD]]</f>
        <v>0</v>
      </c>
      <c r="I130" t="str">
        <f t="shared" ref="I130:I161" si="6">IF(OR(A130="", D130=""), "", IF(C130="Entrada", B130+D130, IF(OR(C130="Venta", C130="Salida"), B130-D130, B130)))</f>
        <v/>
      </c>
    </row>
    <row r="131" spans="2:9" x14ac:dyDescent="0.3">
      <c r="B131" t="e">
        <f>IFERROR(VLOOKUP(A131,jueves!$A:$I,9,FALSE),IFERROR(VLOOKUP(A131,miercoles!$A:$I,9,FALSE),IFERROR(VLOOKUP(A131,martes!$A:$I,9,FALSE),IFERROR(VLOOKUP(A131,lunes!$A:$I,9,FALSE),VLOOKUP(A131,Configuracion!$A:$B,2,FALSE)))))</f>
        <v>#N/A</v>
      </c>
      <c r="E131">
        <f>IF(C131="Venta", IFERROR(VLOOKUP(A131, Configuracion!$A:$D, 3, FALSE), 0), 0)</f>
        <v>0</v>
      </c>
      <c r="F131">
        <f t="shared" si="4"/>
        <v>0</v>
      </c>
      <c r="H131">
        <f>IF(AND(G131="Gestor", A131&lt;&gt;""), VLOOKUP(A131, Configuracion!$A:$D, 4, FALSE), 0)*Tabla1025[[#This Row],[CANTIDAD]]</f>
        <v>0</v>
      </c>
      <c r="I131" t="str">
        <f t="shared" si="6"/>
        <v/>
      </c>
    </row>
    <row r="132" spans="2:9" x14ac:dyDescent="0.3">
      <c r="B132" t="e">
        <f>IFERROR(VLOOKUP(A132,jueves!$A:$I,9,FALSE),IFERROR(VLOOKUP(A132,miercoles!$A:$I,9,FALSE),IFERROR(VLOOKUP(A132,martes!$A:$I,9,FALSE),IFERROR(VLOOKUP(A132,lunes!$A:$I,9,FALSE),VLOOKUP(A132,Configuracion!$A:$B,2,FALSE)))))</f>
        <v>#N/A</v>
      </c>
      <c r="E132">
        <f>IF(C132="Venta", IFERROR(VLOOKUP(A132, Configuracion!$A:$D, 3, FALSE), 0), 0)</f>
        <v>0</v>
      </c>
      <c r="F132">
        <f t="shared" ref="F132:F190" si="7">E132*D132</f>
        <v>0</v>
      </c>
      <c r="H132">
        <f>IF(AND(G132="Gestor", A132&lt;&gt;""), VLOOKUP(A132, Configuracion!$A:$D, 4, FALSE), 0)*Tabla1025[[#This Row],[CANTIDAD]]</f>
        <v>0</v>
      </c>
      <c r="I132" t="str">
        <f t="shared" si="6"/>
        <v/>
      </c>
    </row>
    <row r="133" spans="2:9" x14ac:dyDescent="0.3">
      <c r="B133" t="e">
        <f>IFERROR(VLOOKUP(A133,jueves!$A:$I,9,FALSE),IFERROR(VLOOKUP(A133,miercoles!$A:$I,9,FALSE),IFERROR(VLOOKUP(A133,martes!$A:$I,9,FALSE),IFERROR(VLOOKUP(A133,lunes!$A:$I,9,FALSE),VLOOKUP(A133,Configuracion!$A:$B,2,FALSE)))))</f>
        <v>#N/A</v>
      </c>
      <c r="E133">
        <f>IF(C133="Venta", IFERROR(VLOOKUP(A133, Configuracion!$A:$D, 3, FALSE), 0), 0)</f>
        <v>0</v>
      </c>
      <c r="F133">
        <f t="shared" si="7"/>
        <v>0</v>
      </c>
      <c r="H133">
        <f>IF(AND(G133="Gestor", A133&lt;&gt;""), VLOOKUP(A133, Configuracion!$A:$D, 4, FALSE), 0)*Tabla1025[[#This Row],[CANTIDAD]]</f>
        <v>0</v>
      </c>
      <c r="I133" t="str">
        <f t="shared" si="6"/>
        <v/>
      </c>
    </row>
    <row r="134" spans="2:9" x14ac:dyDescent="0.3">
      <c r="B134" t="e">
        <f>IFERROR(VLOOKUP(A134,jueves!$A:$I,9,FALSE),IFERROR(VLOOKUP(A134,miercoles!$A:$I,9,FALSE),IFERROR(VLOOKUP(A134,martes!$A:$I,9,FALSE),IFERROR(VLOOKUP(A134,lunes!$A:$I,9,FALSE),VLOOKUP(A134,Configuracion!$A:$B,2,FALSE)))))</f>
        <v>#N/A</v>
      </c>
      <c r="E134">
        <f>IF(C134="Venta", IFERROR(VLOOKUP(A134, Configuracion!$A:$D, 3, FALSE), 0), 0)</f>
        <v>0</v>
      </c>
      <c r="F134">
        <f t="shared" si="7"/>
        <v>0</v>
      </c>
      <c r="H134">
        <f>IF(AND(G134="Gestor", A134&lt;&gt;""), VLOOKUP(A134, Configuracion!$A:$D, 4, FALSE), 0)*Tabla1025[[#This Row],[CANTIDAD]]</f>
        <v>0</v>
      </c>
      <c r="I134" t="str">
        <f t="shared" si="6"/>
        <v/>
      </c>
    </row>
    <row r="135" spans="2:9" x14ac:dyDescent="0.3">
      <c r="B135" t="e">
        <f>IFERROR(VLOOKUP(A135,jueves!$A:$I,9,FALSE),IFERROR(VLOOKUP(A135,miercoles!$A:$I,9,FALSE),IFERROR(VLOOKUP(A135,martes!$A:$I,9,FALSE),IFERROR(VLOOKUP(A135,lunes!$A:$I,9,FALSE),VLOOKUP(A135,Configuracion!$A:$B,2,FALSE)))))</f>
        <v>#N/A</v>
      </c>
      <c r="E135">
        <f>IF(C135="Venta", IFERROR(VLOOKUP(A135, Configuracion!$A:$D, 3, FALSE), 0), 0)</f>
        <v>0</v>
      </c>
      <c r="F135">
        <f t="shared" si="7"/>
        <v>0</v>
      </c>
      <c r="H135">
        <f>IF(AND(G135="Gestor", A135&lt;&gt;""), VLOOKUP(A135, Configuracion!$A:$D, 4, FALSE), 0)*Tabla1025[[#This Row],[CANTIDAD]]</f>
        <v>0</v>
      </c>
      <c r="I135" t="str">
        <f t="shared" si="6"/>
        <v/>
      </c>
    </row>
    <row r="136" spans="2:9" x14ac:dyDescent="0.3">
      <c r="B136" t="e">
        <f>IFERROR(VLOOKUP(A136,jueves!$A:$I,9,FALSE),IFERROR(VLOOKUP(A136,miercoles!$A:$I,9,FALSE),IFERROR(VLOOKUP(A136,martes!$A:$I,9,FALSE),IFERROR(VLOOKUP(A136,lunes!$A:$I,9,FALSE),VLOOKUP(A136,Configuracion!$A:$B,2,FALSE)))))</f>
        <v>#N/A</v>
      </c>
      <c r="E136">
        <f>IF(C136="Venta", IFERROR(VLOOKUP(A136, Configuracion!$A:$D, 3, FALSE), 0), 0)</f>
        <v>0</v>
      </c>
      <c r="F136">
        <f t="shared" si="7"/>
        <v>0</v>
      </c>
      <c r="H136">
        <f>IF(AND(G136="Gestor", A136&lt;&gt;""), VLOOKUP(A136, Configuracion!$A:$D, 4, FALSE), 0)*Tabla1025[[#This Row],[CANTIDAD]]</f>
        <v>0</v>
      </c>
      <c r="I136" t="str">
        <f t="shared" si="6"/>
        <v/>
      </c>
    </row>
    <row r="137" spans="2:9" x14ac:dyDescent="0.3">
      <c r="B137" t="e">
        <f>IFERROR(VLOOKUP(A137,jueves!$A:$I,9,FALSE),IFERROR(VLOOKUP(A137,miercoles!$A:$I,9,FALSE),IFERROR(VLOOKUP(A137,martes!$A:$I,9,FALSE),IFERROR(VLOOKUP(A137,lunes!$A:$I,9,FALSE),VLOOKUP(A137,Configuracion!$A:$B,2,FALSE)))))</f>
        <v>#N/A</v>
      </c>
      <c r="E137">
        <f>IF(C137="Venta", IFERROR(VLOOKUP(A137, Configuracion!$A:$D, 3, FALSE), 0), 0)</f>
        <v>0</v>
      </c>
      <c r="F137">
        <f t="shared" si="7"/>
        <v>0</v>
      </c>
      <c r="H137">
        <f>IF(AND(G137="Gestor", A137&lt;&gt;""), VLOOKUP(A137, Configuracion!$A:$D, 4, FALSE), 0)*Tabla1025[[#This Row],[CANTIDAD]]</f>
        <v>0</v>
      </c>
      <c r="I137" t="str">
        <f t="shared" si="6"/>
        <v/>
      </c>
    </row>
    <row r="138" spans="2:9" x14ac:dyDescent="0.3">
      <c r="B138" t="e">
        <f>IFERROR(VLOOKUP(A138,jueves!$A:$I,9,FALSE),IFERROR(VLOOKUP(A138,miercoles!$A:$I,9,FALSE),IFERROR(VLOOKUP(A138,martes!$A:$I,9,FALSE),IFERROR(VLOOKUP(A138,lunes!$A:$I,9,FALSE),VLOOKUP(A138,Configuracion!$A:$B,2,FALSE)))))</f>
        <v>#N/A</v>
      </c>
      <c r="E138">
        <f>IF(C138="Venta", IFERROR(VLOOKUP(A138, Configuracion!$A:$D, 3, FALSE), 0), 0)</f>
        <v>0</v>
      </c>
      <c r="F138">
        <f t="shared" si="7"/>
        <v>0</v>
      </c>
      <c r="H138">
        <f>IF(AND(G138="Gestor", A138&lt;&gt;""), VLOOKUP(A138, Configuracion!$A:$D, 4, FALSE), 0)*Tabla1025[[#This Row],[CANTIDAD]]</f>
        <v>0</v>
      </c>
      <c r="I138" t="str">
        <f t="shared" si="6"/>
        <v/>
      </c>
    </row>
    <row r="139" spans="2:9" x14ac:dyDescent="0.3">
      <c r="B139" t="e">
        <f>IFERROR(VLOOKUP(A139,jueves!$A:$I,9,FALSE),IFERROR(VLOOKUP(A139,miercoles!$A:$I,9,FALSE),IFERROR(VLOOKUP(A139,martes!$A:$I,9,FALSE),IFERROR(VLOOKUP(A139,lunes!$A:$I,9,FALSE),VLOOKUP(A139,Configuracion!$A:$B,2,FALSE)))))</f>
        <v>#N/A</v>
      </c>
      <c r="E139">
        <f>IF(C139="Venta", IFERROR(VLOOKUP(A139, Configuracion!$A:$D, 3, FALSE), 0), 0)</f>
        <v>0</v>
      </c>
      <c r="F139">
        <f t="shared" si="7"/>
        <v>0</v>
      </c>
      <c r="H139">
        <f>IF(AND(G139="Gestor", A139&lt;&gt;""), VLOOKUP(A139, Configuracion!$A:$D, 4, FALSE), 0)*Tabla1025[[#This Row],[CANTIDAD]]</f>
        <v>0</v>
      </c>
      <c r="I139" t="str">
        <f t="shared" si="6"/>
        <v/>
      </c>
    </row>
    <row r="140" spans="2:9" x14ac:dyDescent="0.3">
      <c r="B140" t="e">
        <f>IFERROR(VLOOKUP(A140,jueves!$A:$I,9,FALSE),IFERROR(VLOOKUP(A140,miercoles!$A:$I,9,FALSE),IFERROR(VLOOKUP(A140,martes!$A:$I,9,FALSE),IFERROR(VLOOKUP(A140,lunes!$A:$I,9,FALSE),VLOOKUP(A140,Configuracion!$A:$B,2,FALSE)))))</f>
        <v>#N/A</v>
      </c>
      <c r="E140">
        <f>IF(C140="Venta", IFERROR(VLOOKUP(A140, Configuracion!$A:$D, 3, FALSE), 0), 0)</f>
        <v>0</v>
      </c>
      <c r="F140">
        <f t="shared" si="7"/>
        <v>0</v>
      </c>
      <c r="H140">
        <f>IF(AND(G140="Gestor", A140&lt;&gt;""), VLOOKUP(A140, Configuracion!$A:$D, 4, FALSE), 0)*Tabla1025[[#This Row],[CANTIDAD]]</f>
        <v>0</v>
      </c>
      <c r="I140" t="str">
        <f t="shared" si="6"/>
        <v/>
      </c>
    </row>
    <row r="141" spans="2:9" x14ac:dyDescent="0.3">
      <c r="B141" t="e">
        <f>IFERROR(VLOOKUP(A141,jueves!$A:$I,9,FALSE),IFERROR(VLOOKUP(A141,miercoles!$A:$I,9,FALSE),IFERROR(VLOOKUP(A141,martes!$A:$I,9,FALSE),IFERROR(VLOOKUP(A141,lunes!$A:$I,9,FALSE),VLOOKUP(A141,Configuracion!$A:$B,2,FALSE)))))</f>
        <v>#N/A</v>
      </c>
      <c r="E141">
        <f>IF(C141="Venta", IFERROR(VLOOKUP(A141, Configuracion!$A:$D, 3, FALSE), 0), 0)</f>
        <v>0</v>
      </c>
      <c r="F141">
        <f t="shared" si="7"/>
        <v>0</v>
      </c>
      <c r="H141">
        <f>IF(AND(G141="Gestor", A141&lt;&gt;""), VLOOKUP(A141, Configuracion!$A:$D, 4, FALSE), 0)*Tabla1025[[#This Row],[CANTIDAD]]</f>
        <v>0</v>
      </c>
      <c r="I141" t="str">
        <f t="shared" si="6"/>
        <v/>
      </c>
    </row>
    <row r="142" spans="2:9" x14ac:dyDescent="0.3">
      <c r="B142" t="e">
        <f>IFERROR(VLOOKUP(A142,jueves!$A:$I,9,FALSE),IFERROR(VLOOKUP(A142,miercoles!$A:$I,9,FALSE),IFERROR(VLOOKUP(A142,martes!$A:$I,9,FALSE),IFERROR(VLOOKUP(A142,lunes!$A:$I,9,FALSE),VLOOKUP(A142,Configuracion!$A:$B,2,FALSE)))))</f>
        <v>#N/A</v>
      </c>
      <c r="E142">
        <f>IF(C142="Venta", IFERROR(VLOOKUP(A142, Configuracion!$A:$D, 3, FALSE), 0), 0)</f>
        <v>0</v>
      </c>
      <c r="F142">
        <f t="shared" si="7"/>
        <v>0</v>
      </c>
      <c r="H142">
        <f>IF(AND(G142="Gestor", A142&lt;&gt;""), VLOOKUP(A142, Configuracion!$A:$D, 4, FALSE), 0)*Tabla1025[[#This Row],[CANTIDAD]]</f>
        <v>0</v>
      </c>
      <c r="I142" t="str">
        <f t="shared" si="6"/>
        <v/>
      </c>
    </row>
    <row r="143" spans="2:9" x14ac:dyDescent="0.3">
      <c r="B143" t="e">
        <f>IFERROR(VLOOKUP(A143,jueves!$A:$I,9,FALSE),IFERROR(VLOOKUP(A143,miercoles!$A:$I,9,FALSE),IFERROR(VLOOKUP(A143,martes!$A:$I,9,FALSE),IFERROR(VLOOKUP(A143,lunes!$A:$I,9,FALSE),VLOOKUP(A143,Configuracion!$A:$B,2,FALSE)))))</f>
        <v>#N/A</v>
      </c>
      <c r="E143">
        <f>IF(C143="Venta", IFERROR(VLOOKUP(A143, Configuracion!$A:$D, 3, FALSE), 0), 0)</f>
        <v>0</v>
      </c>
      <c r="F143">
        <f t="shared" si="7"/>
        <v>0</v>
      </c>
      <c r="H143">
        <f>IF(AND(G143="Gestor", A143&lt;&gt;""), VLOOKUP(A143, Configuracion!$A:$D, 4, FALSE), 0)*Tabla1025[[#This Row],[CANTIDAD]]</f>
        <v>0</v>
      </c>
      <c r="I143" t="str">
        <f t="shared" si="6"/>
        <v/>
      </c>
    </row>
    <row r="144" spans="2:9" x14ac:dyDescent="0.3">
      <c r="B144" t="e">
        <f>IFERROR(VLOOKUP(A144,jueves!$A:$I,9,FALSE),IFERROR(VLOOKUP(A144,miercoles!$A:$I,9,FALSE),IFERROR(VLOOKUP(A144,martes!$A:$I,9,FALSE),IFERROR(VLOOKUP(A144,lunes!$A:$I,9,FALSE),VLOOKUP(A144,Configuracion!$A:$B,2,FALSE)))))</f>
        <v>#N/A</v>
      </c>
      <c r="E144">
        <f>IF(C144="Venta", IFERROR(VLOOKUP(A144, Configuracion!$A:$D, 3, FALSE), 0), 0)</f>
        <v>0</v>
      </c>
      <c r="F144">
        <f t="shared" si="7"/>
        <v>0</v>
      </c>
      <c r="H144">
        <f>IF(AND(G144="Gestor", A144&lt;&gt;""), VLOOKUP(A144, Configuracion!$A:$D, 4, FALSE), 0)*Tabla1025[[#This Row],[CANTIDAD]]</f>
        <v>0</v>
      </c>
      <c r="I144" t="str">
        <f t="shared" si="6"/>
        <v/>
      </c>
    </row>
    <row r="145" spans="2:9" x14ac:dyDescent="0.3">
      <c r="B145" t="e">
        <f>IFERROR(VLOOKUP(A145,jueves!$A:$I,9,FALSE),IFERROR(VLOOKUP(A145,miercoles!$A:$I,9,FALSE),IFERROR(VLOOKUP(A145,martes!$A:$I,9,FALSE),IFERROR(VLOOKUP(A145,lunes!$A:$I,9,FALSE),VLOOKUP(A145,Configuracion!$A:$B,2,FALSE)))))</f>
        <v>#N/A</v>
      </c>
      <c r="E145">
        <f>IF(C145="Venta", IFERROR(VLOOKUP(A145, Configuracion!$A:$D, 3, FALSE), 0), 0)</f>
        <v>0</v>
      </c>
      <c r="F145">
        <f t="shared" si="7"/>
        <v>0</v>
      </c>
      <c r="H145">
        <f>IF(AND(G145="Gestor", A145&lt;&gt;""), VLOOKUP(A145, Configuracion!$A:$D, 4, FALSE), 0)*Tabla1025[[#This Row],[CANTIDAD]]</f>
        <v>0</v>
      </c>
      <c r="I145" t="str">
        <f t="shared" si="6"/>
        <v/>
      </c>
    </row>
    <row r="146" spans="2:9" x14ac:dyDescent="0.3">
      <c r="B146" t="e">
        <f>IFERROR(VLOOKUP(A146,jueves!$A:$I,9,FALSE),IFERROR(VLOOKUP(A146,miercoles!$A:$I,9,FALSE),IFERROR(VLOOKUP(A146,martes!$A:$I,9,FALSE),IFERROR(VLOOKUP(A146,lunes!$A:$I,9,FALSE),VLOOKUP(A146,Configuracion!$A:$B,2,FALSE)))))</f>
        <v>#N/A</v>
      </c>
      <c r="E146">
        <f>IF(C146="Venta", IFERROR(VLOOKUP(A146, Configuracion!$A:$D, 3, FALSE), 0), 0)</f>
        <v>0</v>
      </c>
      <c r="F146">
        <f t="shared" si="7"/>
        <v>0</v>
      </c>
      <c r="H146">
        <f>IF(AND(G146="Gestor", A146&lt;&gt;""), VLOOKUP(A146, Configuracion!$A:$D, 4, FALSE), 0)*Tabla1025[[#This Row],[CANTIDAD]]</f>
        <v>0</v>
      </c>
      <c r="I146" t="str">
        <f t="shared" si="6"/>
        <v/>
      </c>
    </row>
    <row r="147" spans="2:9" x14ac:dyDescent="0.3">
      <c r="B147" t="e">
        <f>IFERROR(VLOOKUP(A147,jueves!$A:$I,9,FALSE),IFERROR(VLOOKUP(A147,miercoles!$A:$I,9,FALSE),IFERROR(VLOOKUP(A147,martes!$A:$I,9,FALSE),IFERROR(VLOOKUP(A147,lunes!$A:$I,9,FALSE),VLOOKUP(A147,Configuracion!$A:$B,2,FALSE)))))</f>
        <v>#N/A</v>
      </c>
      <c r="E147">
        <f>IF(C147="Venta", IFERROR(VLOOKUP(A147, Configuracion!$A:$D, 3, FALSE), 0), 0)</f>
        <v>0</v>
      </c>
      <c r="F147">
        <f t="shared" si="7"/>
        <v>0</v>
      </c>
      <c r="H147">
        <f>IF(AND(G147="Gestor", A147&lt;&gt;""), VLOOKUP(A147, Configuracion!$A:$D, 4, FALSE), 0)*Tabla1025[[#This Row],[CANTIDAD]]</f>
        <v>0</v>
      </c>
      <c r="I147" t="str">
        <f t="shared" si="6"/>
        <v/>
      </c>
    </row>
    <row r="148" spans="2:9" x14ac:dyDescent="0.3">
      <c r="B148" t="e">
        <f>IFERROR(VLOOKUP(A148,jueves!$A:$I,9,FALSE),IFERROR(VLOOKUP(A148,miercoles!$A:$I,9,FALSE),IFERROR(VLOOKUP(A148,martes!$A:$I,9,FALSE),IFERROR(VLOOKUP(A148,lunes!$A:$I,9,FALSE),VLOOKUP(A148,Configuracion!$A:$B,2,FALSE)))))</f>
        <v>#N/A</v>
      </c>
      <c r="E148">
        <f>IF(C148="Venta", IFERROR(VLOOKUP(A148, Configuracion!$A:$D, 3, FALSE), 0), 0)</f>
        <v>0</v>
      </c>
      <c r="F148">
        <f t="shared" si="7"/>
        <v>0</v>
      </c>
      <c r="H148">
        <f>IF(AND(G148="Gestor", A148&lt;&gt;""), VLOOKUP(A148, Configuracion!$A:$D, 4, FALSE), 0)*Tabla1025[[#This Row],[CANTIDAD]]</f>
        <v>0</v>
      </c>
      <c r="I148" t="str">
        <f t="shared" si="6"/>
        <v/>
      </c>
    </row>
    <row r="149" spans="2:9" x14ac:dyDescent="0.3">
      <c r="B149" t="e">
        <f>IFERROR(VLOOKUP(A149,jueves!$A:$I,9,FALSE),IFERROR(VLOOKUP(A149,miercoles!$A:$I,9,FALSE),IFERROR(VLOOKUP(A149,martes!$A:$I,9,FALSE),IFERROR(VLOOKUP(A149,lunes!$A:$I,9,FALSE),VLOOKUP(A149,Configuracion!$A:$B,2,FALSE)))))</f>
        <v>#N/A</v>
      </c>
      <c r="E149">
        <f>IF(C149="Venta", IFERROR(VLOOKUP(A149, Configuracion!$A:$D, 3, FALSE), 0), 0)</f>
        <v>0</v>
      </c>
      <c r="F149">
        <f t="shared" si="7"/>
        <v>0</v>
      </c>
      <c r="H149">
        <f>IF(AND(G149="Gestor", A149&lt;&gt;""), VLOOKUP(A149, Configuracion!$A:$D, 4, FALSE), 0)*Tabla1025[[#This Row],[CANTIDAD]]</f>
        <v>0</v>
      </c>
      <c r="I149" t="str">
        <f t="shared" si="6"/>
        <v/>
      </c>
    </row>
    <row r="150" spans="2:9" x14ac:dyDescent="0.3">
      <c r="B150" t="e">
        <f>IFERROR(VLOOKUP(A150,jueves!$A:$I,9,FALSE),IFERROR(VLOOKUP(A150,miercoles!$A:$I,9,FALSE),IFERROR(VLOOKUP(A150,martes!$A:$I,9,FALSE),IFERROR(VLOOKUP(A150,lunes!$A:$I,9,FALSE),VLOOKUP(A150,Configuracion!$A:$B,2,FALSE)))))</f>
        <v>#N/A</v>
      </c>
      <c r="E150">
        <f>IF(C150="Venta", IFERROR(VLOOKUP(A150, Configuracion!$A:$D, 3, FALSE), 0), 0)</f>
        <v>0</v>
      </c>
      <c r="F150">
        <f t="shared" si="7"/>
        <v>0</v>
      </c>
      <c r="H150">
        <f>IF(AND(G150="Gestor", A150&lt;&gt;""), VLOOKUP(A150, Configuracion!$A:$D, 4, FALSE), 0)*Tabla1025[[#This Row],[CANTIDAD]]</f>
        <v>0</v>
      </c>
      <c r="I150" t="str">
        <f t="shared" si="6"/>
        <v/>
      </c>
    </row>
    <row r="151" spans="2:9" x14ac:dyDescent="0.3">
      <c r="B151" t="e">
        <f>IFERROR(VLOOKUP(A151,jueves!$A:$I,9,FALSE),IFERROR(VLOOKUP(A151,miercoles!$A:$I,9,FALSE),IFERROR(VLOOKUP(A151,martes!$A:$I,9,FALSE),IFERROR(VLOOKUP(A151,lunes!$A:$I,9,FALSE),VLOOKUP(A151,Configuracion!$A:$B,2,FALSE)))))</f>
        <v>#N/A</v>
      </c>
      <c r="E151">
        <f>IF(C151="Venta", IFERROR(VLOOKUP(A151, Configuracion!$A:$D, 3, FALSE), 0), 0)</f>
        <v>0</v>
      </c>
      <c r="F151">
        <f t="shared" si="7"/>
        <v>0</v>
      </c>
      <c r="H151">
        <f>IF(AND(G151="Gestor", A151&lt;&gt;""), VLOOKUP(A151, Configuracion!$A:$D, 4, FALSE), 0)*Tabla1025[[#This Row],[CANTIDAD]]</f>
        <v>0</v>
      </c>
      <c r="I151" t="str">
        <f t="shared" si="6"/>
        <v/>
      </c>
    </row>
    <row r="152" spans="2:9" x14ac:dyDescent="0.3">
      <c r="B152" t="e">
        <f>IFERROR(VLOOKUP(A152,jueves!$A:$I,9,FALSE),IFERROR(VLOOKUP(A152,miercoles!$A:$I,9,FALSE),IFERROR(VLOOKUP(A152,martes!$A:$I,9,FALSE),IFERROR(VLOOKUP(A152,lunes!$A:$I,9,FALSE),VLOOKUP(A152,Configuracion!$A:$B,2,FALSE)))))</f>
        <v>#N/A</v>
      </c>
      <c r="E152">
        <f>IF(C152="Venta", IFERROR(VLOOKUP(A152, Configuracion!$A:$D, 3, FALSE), 0), 0)</f>
        <v>0</v>
      </c>
      <c r="F152">
        <f t="shared" si="7"/>
        <v>0</v>
      </c>
      <c r="H152">
        <f>IF(AND(G152="Gestor", A152&lt;&gt;""), VLOOKUP(A152, Configuracion!$A:$D, 4, FALSE), 0)*Tabla1025[[#This Row],[CANTIDAD]]</f>
        <v>0</v>
      </c>
      <c r="I152" t="str">
        <f t="shared" si="6"/>
        <v/>
      </c>
    </row>
    <row r="153" spans="2:9" x14ac:dyDescent="0.3">
      <c r="B153" t="e">
        <f>IFERROR(VLOOKUP(A153,jueves!$A:$I,9,FALSE),IFERROR(VLOOKUP(A153,miercoles!$A:$I,9,FALSE),IFERROR(VLOOKUP(A153,martes!$A:$I,9,FALSE),IFERROR(VLOOKUP(A153,lunes!$A:$I,9,FALSE),VLOOKUP(A153,Configuracion!$A:$B,2,FALSE)))))</f>
        <v>#N/A</v>
      </c>
      <c r="E153">
        <f>IF(C153="Venta", IFERROR(VLOOKUP(A153, Configuracion!$A:$D, 3, FALSE), 0), 0)</f>
        <v>0</v>
      </c>
      <c r="F153">
        <f t="shared" si="7"/>
        <v>0</v>
      </c>
      <c r="H153">
        <f>IF(AND(G153="Gestor", A153&lt;&gt;""), VLOOKUP(A153, Configuracion!$A:$D, 4, FALSE), 0)*Tabla1025[[#This Row],[CANTIDAD]]</f>
        <v>0</v>
      </c>
      <c r="I153" t="str">
        <f t="shared" si="6"/>
        <v/>
      </c>
    </row>
    <row r="154" spans="2:9" x14ac:dyDescent="0.3">
      <c r="B154" t="e">
        <f>IFERROR(VLOOKUP(A154,jueves!$A:$I,9,FALSE),IFERROR(VLOOKUP(A154,miercoles!$A:$I,9,FALSE),IFERROR(VLOOKUP(A154,martes!$A:$I,9,FALSE),IFERROR(VLOOKUP(A154,lunes!$A:$I,9,FALSE),VLOOKUP(A154,Configuracion!$A:$B,2,FALSE)))))</f>
        <v>#N/A</v>
      </c>
      <c r="E154">
        <f>IF(C154="Venta", IFERROR(VLOOKUP(A154, Configuracion!$A:$D, 3, FALSE), 0), 0)</f>
        <v>0</v>
      </c>
      <c r="F154">
        <f t="shared" si="7"/>
        <v>0</v>
      </c>
      <c r="H154">
        <f>IF(AND(G154="Gestor", A154&lt;&gt;""), VLOOKUP(A154, Configuracion!$A:$D, 4, FALSE), 0)*Tabla1025[[#This Row],[CANTIDAD]]</f>
        <v>0</v>
      </c>
      <c r="I154" t="str">
        <f t="shared" si="6"/>
        <v/>
      </c>
    </row>
    <row r="155" spans="2:9" x14ac:dyDescent="0.3">
      <c r="B155" t="e">
        <f>IFERROR(VLOOKUP(A155,jueves!$A:$I,9,FALSE),IFERROR(VLOOKUP(A155,miercoles!$A:$I,9,FALSE),IFERROR(VLOOKUP(A155,martes!$A:$I,9,FALSE),IFERROR(VLOOKUP(A155,lunes!$A:$I,9,FALSE),VLOOKUP(A155,Configuracion!$A:$B,2,FALSE)))))</f>
        <v>#N/A</v>
      </c>
      <c r="E155">
        <f>IF(C155="Venta", IFERROR(VLOOKUP(A155, Configuracion!$A:$D, 3, FALSE), 0), 0)</f>
        <v>0</v>
      </c>
      <c r="F155">
        <f t="shared" si="7"/>
        <v>0</v>
      </c>
      <c r="H155">
        <f>IF(AND(G155="Gestor", A155&lt;&gt;""), VLOOKUP(A155, Configuracion!$A:$D, 4, FALSE), 0)*Tabla1025[[#This Row],[CANTIDAD]]</f>
        <v>0</v>
      </c>
      <c r="I155" t="str">
        <f t="shared" si="6"/>
        <v/>
      </c>
    </row>
    <row r="156" spans="2:9" x14ac:dyDescent="0.3">
      <c r="B156" t="e">
        <f>IFERROR(VLOOKUP(A156,jueves!$A:$I,9,FALSE),IFERROR(VLOOKUP(A156,miercoles!$A:$I,9,FALSE),IFERROR(VLOOKUP(A156,martes!$A:$I,9,FALSE),IFERROR(VLOOKUP(A156,lunes!$A:$I,9,FALSE),VLOOKUP(A156,Configuracion!$A:$B,2,FALSE)))))</f>
        <v>#N/A</v>
      </c>
      <c r="E156">
        <f>IF(C156="Venta", IFERROR(VLOOKUP(A156, Configuracion!$A:$D, 3, FALSE), 0), 0)</f>
        <v>0</v>
      </c>
      <c r="F156">
        <f t="shared" si="7"/>
        <v>0</v>
      </c>
      <c r="H156">
        <f>IF(AND(G156="Gestor", A156&lt;&gt;""), VLOOKUP(A156, Configuracion!$A:$D, 4, FALSE), 0)*Tabla1025[[#This Row],[CANTIDAD]]</f>
        <v>0</v>
      </c>
      <c r="I156" t="str">
        <f t="shared" si="6"/>
        <v/>
      </c>
    </row>
    <row r="157" spans="2:9" x14ac:dyDescent="0.3">
      <c r="B157" t="e">
        <f>IFERROR(VLOOKUP(A157,jueves!$A:$I,9,FALSE),IFERROR(VLOOKUP(A157,miercoles!$A:$I,9,FALSE),IFERROR(VLOOKUP(A157,martes!$A:$I,9,FALSE),IFERROR(VLOOKUP(A157,lunes!$A:$I,9,FALSE),VLOOKUP(A157,Configuracion!$A:$B,2,FALSE)))))</f>
        <v>#N/A</v>
      </c>
      <c r="E157">
        <f>IF(C157="Venta", IFERROR(VLOOKUP(A157, Configuracion!$A:$D, 3, FALSE), 0), 0)</f>
        <v>0</v>
      </c>
      <c r="F157">
        <f t="shared" si="7"/>
        <v>0</v>
      </c>
      <c r="H157">
        <f>IF(AND(G157="Gestor", A157&lt;&gt;""), VLOOKUP(A157, Configuracion!$A:$D, 4, FALSE), 0)*Tabla1025[[#This Row],[CANTIDAD]]</f>
        <v>0</v>
      </c>
      <c r="I157" t="str">
        <f t="shared" si="6"/>
        <v/>
      </c>
    </row>
    <row r="158" spans="2:9" x14ac:dyDescent="0.3">
      <c r="B158" t="e">
        <f>IFERROR(VLOOKUP(A158,jueves!$A:$I,9,FALSE),IFERROR(VLOOKUP(A158,miercoles!$A:$I,9,FALSE),IFERROR(VLOOKUP(A158,martes!$A:$I,9,FALSE),IFERROR(VLOOKUP(A158,lunes!$A:$I,9,FALSE),VLOOKUP(A158,Configuracion!$A:$B,2,FALSE)))))</f>
        <v>#N/A</v>
      </c>
      <c r="E158">
        <f>IF(C158="Venta", IFERROR(VLOOKUP(A158, Configuracion!$A:$D, 3, FALSE), 0), 0)</f>
        <v>0</v>
      </c>
      <c r="F158">
        <f t="shared" si="7"/>
        <v>0</v>
      </c>
      <c r="H158">
        <f>IF(AND(G158="Gestor", A158&lt;&gt;""), VLOOKUP(A158, Configuracion!$A:$D, 4, FALSE), 0)*Tabla1025[[#This Row],[CANTIDAD]]</f>
        <v>0</v>
      </c>
      <c r="I158" t="str">
        <f t="shared" si="6"/>
        <v/>
      </c>
    </row>
    <row r="159" spans="2:9" x14ac:dyDescent="0.3">
      <c r="B159" t="e">
        <f>IFERROR(VLOOKUP(A159,jueves!$A:$I,9,FALSE),IFERROR(VLOOKUP(A159,miercoles!$A:$I,9,FALSE),IFERROR(VLOOKUP(A159,martes!$A:$I,9,FALSE),IFERROR(VLOOKUP(A159,lunes!$A:$I,9,FALSE),VLOOKUP(A159,Configuracion!$A:$B,2,FALSE)))))</f>
        <v>#N/A</v>
      </c>
      <c r="E159">
        <f>IF(C159="Venta", IFERROR(VLOOKUP(A159, Configuracion!$A:$D, 3, FALSE), 0), 0)</f>
        <v>0</v>
      </c>
      <c r="F159">
        <f t="shared" si="7"/>
        <v>0</v>
      </c>
      <c r="H159">
        <f>IF(AND(G159="Gestor", A159&lt;&gt;""), VLOOKUP(A159, Configuracion!$A:$D, 4, FALSE), 0)*Tabla1025[[#This Row],[CANTIDAD]]</f>
        <v>0</v>
      </c>
      <c r="I159" t="str">
        <f t="shared" si="6"/>
        <v/>
      </c>
    </row>
    <row r="160" spans="2:9" x14ac:dyDescent="0.3">
      <c r="B160" t="e">
        <f>IFERROR(VLOOKUP(A160,jueves!$A:$I,9,FALSE),IFERROR(VLOOKUP(A160,miercoles!$A:$I,9,FALSE),IFERROR(VLOOKUP(A160,martes!$A:$I,9,FALSE),IFERROR(VLOOKUP(A160,lunes!$A:$I,9,FALSE),VLOOKUP(A160,Configuracion!$A:$B,2,FALSE)))))</f>
        <v>#N/A</v>
      </c>
      <c r="E160">
        <f>IF(C160="Venta", IFERROR(VLOOKUP(A160, Configuracion!$A:$D, 3, FALSE), 0), 0)</f>
        <v>0</v>
      </c>
      <c r="F160">
        <f t="shared" si="7"/>
        <v>0</v>
      </c>
      <c r="H160">
        <f>IF(AND(G160="Gestor", A160&lt;&gt;""), VLOOKUP(A160, Configuracion!$A:$D, 4, FALSE), 0)*Tabla1025[[#This Row],[CANTIDAD]]</f>
        <v>0</v>
      </c>
      <c r="I160" t="str">
        <f t="shared" si="6"/>
        <v/>
      </c>
    </row>
    <row r="161" spans="2:9" x14ac:dyDescent="0.3">
      <c r="B161" t="e">
        <f>IFERROR(VLOOKUP(A161,jueves!$A:$I,9,FALSE),IFERROR(VLOOKUP(A161,miercoles!$A:$I,9,FALSE),IFERROR(VLOOKUP(A161,martes!$A:$I,9,FALSE),IFERROR(VLOOKUP(A161,lunes!$A:$I,9,FALSE),VLOOKUP(A161,Configuracion!$A:$B,2,FALSE)))))</f>
        <v>#N/A</v>
      </c>
      <c r="E161">
        <f>IF(C161="Venta", IFERROR(VLOOKUP(A161, Configuracion!$A:$D, 3, FALSE), 0), 0)</f>
        <v>0</v>
      </c>
      <c r="F161">
        <f t="shared" si="7"/>
        <v>0</v>
      </c>
      <c r="H161">
        <f>IF(AND(G161="Gestor", A161&lt;&gt;""), VLOOKUP(A161, Configuracion!$A:$D, 4, FALSE), 0)*Tabla1025[[#This Row],[CANTIDAD]]</f>
        <v>0</v>
      </c>
      <c r="I161" t="str">
        <f t="shared" si="6"/>
        <v/>
      </c>
    </row>
    <row r="162" spans="2:9" x14ac:dyDescent="0.3">
      <c r="B162" t="e">
        <f>IFERROR(VLOOKUP(A162,jueves!$A:$I,9,FALSE),IFERROR(VLOOKUP(A162,miercoles!$A:$I,9,FALSE),IFERROR(VLOOKUP(A162,martes!$A:$I,9,FALSE),IFERROR(VLOOKUP(A162,lunes!$A:$I,9,FALSE),VLOOKUP(A162,Configuracion!$A:$B,2,FALSE)))))</f>
        <v>#N/A</v>
      </c>
      <c r="E162">
        <f>IF(C162="Venta", IFERROR(VLOOKUP(A162, Configuracion!$A:$D, 3, FALSE), 0), 0)</f>
        <v>0</v>
      </c>
      <c r="F162">
        <f t="shared" si="7"/>
        <v>0</v>
      </c>
      <c r="H162">
        <f>IF(AND(G162="Gestor", A162&lt;&gt;""), VLOOKUP(A162, Configuracion!$A:$D, 4, FALSE), 0)*Tabla1025[[#This Row],[CANTIDAD]]</f>
        <v>0</v>
      </c>
      <c r="I162" t="str">
        <f t="shared" ref="I162:I189" si="8">IF(OR(A162="", D162=""), "", IF(C162="Entrada", B162+D162, IF(OR(C162="Venta", C162="Salida"), B162-D162, B162)))</f>
        <v/>
      </c>
    </row>
    <row r="163" spans="2:9" x14ac:dyDescent="0.3">
      <c r="B163" t="e">
        <f>IFERROR(VLOOKUP(A163,jueves!$A:$I,9,FALSE),IFERROR(VLOOKUP(A163,miercoles!$A:$I,9,FALSE),IFERROR(VLOOKUP(A163,martes!$A:$I,9,FALSE),IFERROR(VLOOKUP(A163,lunes!$A:$I,9,FALSE),VLOOKUP(A163,Configuracion!$A:$B,2,FALSE)))))</f>
        <v>#N/A</v>
      </c>
      <c r="E163">
        <f>IF(C163="Venta", IFERROR(VLOOKUP(A163, Configuracion!$A:$D, 3, FALSE), 0), 0)</f>
        <v>0</v>
      </c>
      <c r="F163">
        <f t="shared" si="7"/>
        <v>0</v>
      </c>
      <c r="H163">
        <f>IF(AND(G163="Gestor", A163&lt;&gt;""), VLOOKUP(A163, Configuracion!$A:$D, 4, FALSE), 0)*Tabla1025[[#This Row],[CANTIDAD]]</f>
        <v>0</v>
      </c>
      <c r="I163" t="str">
        <f t="shared" si="8"/>
        <v/>
      </c>
    </row>
    <row r="164" spans="2:9" x14ac:dyDescent="0.3">
      <c r="B164" t="e">
        <f>IFERROR(VLOOKUP(A164,jueves!$A:$I,9,FALSE),IFERROR(VLOOKUP(A164,miercoles!$A:$I,9,FALSE),IFERROR(VLOOKUP(A164,martes!$A:$I,9,FALSE),IFERROR(VLOOKUP(A164,lunes!$A:$I,9,FALSE),VLOOKUP(A164,Configuracion!$A:$B,2,FALSE)))))</f>
        <v>#N/A</v>
      </c>
      <c r="E164">
        <f>IF(C164="Venta", IFERROR(VLOOKUP(A164, Configuracion!$A:$D, 3, FALSE), 0), 0)</f>
        <v>0</v>
      </c>
      <c r="F164">
        <f t="shared" si="7"/>
        <v>0</v>
      </c>
      <c r="H164">
        <f>IF(AND(G164="Gestor", A164&lt;&gt;""), VLOOKUP(A164, Configuracion!$A:$D, 4, FALSE), 0)*Tabla1025[[#This Row],[CANTIDAD]]</f>
        <v>0</v>
      </c>
      <c r="I164" t="str">
        <f t="shared" si="8"/>
        <v/>
      </c>
    </row>
    <row r="165" spans="2:9" x14ac:dyDescent="0.3">
      <c r="B165" t="e">
        <f>IFERROR(VLOOKUP(A165,jueves!$A:$I,9,FALSE),IFERROR(VLOOKUP(A165,miercoles!$A:$I,9,FALSE),IFERROR(VLOOKUP(A165,martes!$A:$I,9,FALSE),IFERROR(VLOOKUP(A165,lunes!$A:$I,9,FALSE),VLOOKUP(A165,Configuracion!$A:$B,2,FALSE)))))</f>
        <v>#N/A</v>
      </c>
      <c r="E165">
        <f>IF(C165="Venta", IFERROR(VLOOKUP(A165, Configuracion!$A:$D, 3, FALSE), 0), 0)</f>
        <v>0</v>
      </c>
      <c r="F165">
        <f t="shared" si="7"/>
        <v>0</v>
      </c>
      <c r="H165">
        <f>IF(AND(G165="Gestor", A165&lt;&gt;""), VLOOKUP(A165, Configuracion!$A:$D, 4, FALSE), 0)*Tabla1025[[#This Row],[CANTIDAD]]</f>
        <v>0</v>
      </c>
      <c r="I165" t="str">
        <f t="shared" si="8"/>
        <v/>
      </c>
    </row>
    <row r="166" spans="2:9" x14ac:dyDescent="0.3">
      <c r="B166" t="e">
        <f>IFERROR(VLOOKUP(A166,jueves!$A:$I,9,FALSE),IFERROR(VLOOKUP(A166,miercoles!$A:$I,9,FALSE),IFERROR(VLOOKUP(A166,martes!$A:$I,9,FALSE),IFERROR(VLOOKUP(A166,lunes!$A:$I,9,FALSE),VLOOKUP(A166,Configuracion!$A:$B,2,FALSE)))))</f>
        <v>#N/A</v>
      </c>
      <c r="E166">
        <f>IF(C166="Venta", IFERROR(VLOOKUP(A166, Configuracion!$A:$D, 3, FALSE), 0), 0)</f>
        <v>0</v>
      </c>
      <c r="F166">
        <f t="shared" si="7"/>
        <v>0</v>
      </c>
      <c r="H166">
        <f>IF(AND(G166="Gestor", A166&lt;&gt;""), VLOOKUP(A166, Configuracion!$A:$D, 4, FALSE), 0)*Tabla1025[[#This Row],[CANTIDAD]]</f>
        <v>0</v>
      </c>
      <c r="I166" t="str">
        <f t="shared" si="8"/>
        <v/>
      </c>
    </row>
    <row r="167" spans="2:9" x14ac:dyDescent="0.3">
      <c r="B167" t="e">
        <f>IFERROR(VLOOKUP(A167,jueves!$A:$I,9,FALSE),IFERROR(VLOOKUP(A167,miercoles!$A:$I,9,FALSE),IFERROR(VLOOKUP(A167,martes!$A:$I,9,FALSE),IFERROR(VLOOKUP(A167,lunes!$A:$I,9,FALSE),VLOOKUP(A167,Configuracion!$A:$B,2,FALSE)))))</f>
        <v>#N/A</v>
      </c>
      <c r="E167">
        <f>IF(C167="Venta", IFERROR(VLOOKUP(A167, Configuracion!$A:$D, 3, FALSE), 0), 0)</f>
        <v>0</v>
      </c>
      <c r="F167">
        <f t="shared" si="7"/>
        <v>0</v>
      </c>
      <c r="H167">
        <f>IF(AND(G167="Gestor", A167&lt;&gt;""), VLOOKUP(A167, Configuracion!$A:$D, 4, FALSE), 0)*Tabla1025[[#This Row],[CANTIDAD]]</f>
        <v>0</v>
      </c>
      <c r="I167" t="str">
        <f t="shared" si="8"/>
        <v/>
      </c>
    </row>
    <row r="168" spans="2:9" x14ac:dyDescent="0.3">
      <c r="B168" t="e">
        <f>IFERROR(VLOOKUP(A168,jueves!$A:$I,9,FALSE),IFERROR(VLOOKUP(A168,miercoles!$A:$I,9,FALSE),IFERROR(VLOOKUP(A168,martes!$A:$I,9,FALSE),IFERROR(VLOOKUP(A168,lunes!$A:$I,9,FALSE),VLOOKUP(A168,Configuracion!$A:$B,2,FALSE)))))</f>
        <v>#N/A</v>
      </c>
      <c r="E168">
        <f>IF(C168="Venta", IFERROR(VLOOKUP(A168, Configuracion!$A:$D, 3, FALSE), 0), 0)</f>
        <v>0</v>
      </c>
      <c r="F168">
        <f t="shared" si="7"/>
        <v>0</v>
      </c>
      <c r="H168">
        <f>IF(AND(G168="Gestor", A168&lt;&gt;""), VLOOKUP(A168, Configuracion!$A:$D, 4, FALSE), 0)*Tabla1025[[#This Row],[CANTIDAD]]</f>
        <v>0</v>
      </c>
      <c r="I168" t="str">
        <f t="shared" si="8"/>
        <v/>
      </c>
    </row>
    <row r="169" spans="2:9" x14ac:dyDescent="0.3">
      <c r="B169" t="e">
        <f>IFERROR(VLOOKUP(A169,jueves!$A:$I,9,FALSE),IFERROR(VLOOKUP(A169,miercoles!$A:$I,9,FALSE),IFERROR(VLOOKUP(A169,martes!$A:$I,9,FALSE),IFERROR(VLOOKUP(A169,lunes!$A:$I,9,FALSE),VLOOKUP(A169,Configuracion!$A:$B,2,FALSE)))))</f>
        <v>#N/A</v>
      </c>
      <c r="E169">
        <f>IF(C169="Venta", IFERROR(VLOOKUP(A169, Configuracion!$A:$D, 3, FALSE), 0), 0)</f>
        <v>0</v>
      </c>
      <c r="F169">
        <f t="shared" si="7"/>
        <v>0</v>
      </c>
      <c r="H169">
        <f>IF(AND(G169="Gestor", A169&lt;&gt;""), VLOOKUP(A169, Configuracion!$A:$D, 4, FALSE), 0)*Tabla1025[[#This Row],[CANTIDAD]]</f>
        <v>0</v>
      </c>
      <c r="I169" t="str">
        <f t="shared" si="8"/>
        <v/>
      </c>
    </row>
    <row r="170" spans="2:9" x14ac:dyDescent="0.3">
      <c r="B170" t="e">
        <f>IFERROR(VLOOKUP(A170,jueves!$A:$I,9,FALSE),IFERROR(VLOOKUP(A170,miercoles!$A:$I,9,FALSE),IFERROR(VLOOKUP(A170,martes!$A:$I,9,FALSE),IFERROR(VLOOKUP(A170,lunes!$A:$I,9,FALSE),VLOOKUP(A170,Configuracion!$A:$B,2,FALSE)))))</f>
        <v>#N/A</v>
      </c>
      <c r="E170">
        <f>IF(C170="Venta", IFERROR(VLOOKUP(A170, Configuracion!$A:$D, 3, FALSE), 0), 0)</f>
        <v>0</v>
      </c>
      <c r="F170">
        <f t="shared" si="7"/>
        <v>0</v>
      </c>
      <c r="H170">
        <f>IF(AND(G170="Gestor", A170&lt;&gt;""), VLOOKUP(A170, Configuracion!$A:$D, 4, FALSE), 0)*Tabla1025[[#This Row],[CANTIDAD]]</f>
        <v>0</v>
      </c>
      <c r="I170" t="str">
        <f t="shared" si="8"/>
        <v/>
      </c>
    </row>
    <row r="171" spans="2:9" x14ac:dyDescent="0.3">
      <c r="B171" t="e">
        <f>IFERROR(VLOOKUP(A171,jueves!$A:$I,9,FALSE),IFERROR(VLOOKUP(A171,miercoles!$A:$I,9,FALSE),IFERROR(VLOOKUP(A171,martes!$A:$I,9,FALSE),IFERROR(VLOOKUP(A171,lunes!$A:$I,9,FALSE),VLOOKUP(A171,Configuracion!$A:$B,2,FALSE)))))</f>
        <v>#N/A</v>
      </c>
      <c r="E171">
        <f>IF(C171="Venta", IFERROR(VLOOKUP(A171, Configuracion!$A:$D, 3, FALSE), 0), 0)</f>
        <v>0</v>
      </c>
      <c r="F171">
        <f t="shared" si="7"/>
        <v>0</v>
      </c>
      <c r="H171">
        <f>IF(AND(G171="Gestor", A171&lt;&gt;""), VLOOKUP(A171, Configuracion!$A:$D, 4, FALSE), 0)*Tabla1025[[#This Row],[CANTIDAD]]</f>
        <v>0</v>
      </c>
      <c r="I171" t="str">
        <f t="shared" si="8"/>
        <v/>
      </c>
    </row>
    <row r="172" spans="2:9" x14ac:dyDescent="0.3">
      <c r="B172" t="e">
        <f>IFERROR(VLOOKUP(A172,jueves!$A:$I,9,FALSE),IFERROR(VLOOKUP(A172,miercoles!$A:$I,9,FALSE),IFERROR(VLOOKUP(A172,martes!$A:$I,9,FALSE),IFERROR(VLOOKUP(A172,lunes!$A:$I,9,FALSE),VLOOKUP(A172,Configuracion!$A:$B,2,FALSE)))))</f>
        <v>#N/A</v>
      </c>
      <c r="E172">
        <f>IF(C172="Venta", IFERROR(VLOOKUP(A172, Configuracion!$A:$D, 3, FALSE), 0), 0)</f>
        <v>0</v>
      </c>
      <c r="F172">
        <f t="shared" si="7"/>
        <v>0</v>
      </c>
      <c r="H172">
        <f>IF(AND(G172="Gestor", A172&lt;&gt;""), VLOOKUP(A172, Configuracion!$A:$D, 4, FALSE), 0)*Tabla1025[[#This Row],[CANTIDAD]]</f>
        <v>0</v>
      </c>
      <c r="I172" t="str">
        <f t="shared" si="8"/>
        <v/>
      </c>
    </row>
    <row r="173" spans="2:9" x14ac:dyDescent="0.3">
      <c r="B173" t="e">
        <f>IFERROR(VLOOKUP(A173,jueves!$A:$I,9,FALSE),IFERROR(VLOOKUP(A173,miercoles!$A:$I,9,FALSE),IFERROR(VLOOKUP(A173,martes!$A:$I,9,FALSE),IFERROR(VLOOKUP(A173,lunes!$A:$I,9,FALSE),VLOOKUP(A173,Configuracion!$A:$B,2,FALSE)))))</f>
        <v>#N/A</v>
      </c>
      <c r="E173">
        <f>IF(C173="Venta", IFERROR(VLOOKUP(A173, Configuracion!$A:$D, 3, FALSE), 0), 0)</f>
        <v>0</v>
      </c>
      <c r="F173">
        <f t="shared" si="7"/>
        <v>0</v>
      </c>
      <c r="H173">
        <f>IF(AND(G173="Gestor", A173&lt;&gt;""), VLOOKUP(A173, Configuracion!$A:$D, 4, FALSE), 0)*Tabla1025[[#This Row],[CANTIDAD]]</f>
        <v>0</v>
      </c>
      <c r="I173" t="str">
        <f t="shared" si="8"/>
        <v/>
      </c>
    </row>
    <row r="174" spans="2:9" x14ac:dyDescent="0.3">
      <c r="B174" t="e">
        <f>IFERROR(VLOOKUP(A174,jueves!$A:$I,9,FALSE),IFERROR(VLOOKUP(A174,miercoles!$A:$I,9,FALSE),IFERROR(VLOOKUP(A174,martes!$A:$I,9,FALSE),IFERROR(VLOOKUP(A174,lunes!$A:$I,9,FALSE),VLOOKUP(A174,Configuracion!$A:$B,2,FALSE)))))</f>
        <v>#N/A</v>
      </c>
      <c r="E174">
        <f>IF(C174="Venta", IFERROR(VLOOKUP(A174, Configuracion!$A:$D, 3, FALSE), 0), 0)</f>
        <v>0</v>
      </c>
      <c r="F174">
        <f t="shared" si="7"/>
        <v>0</v>
      </c>
      <c r="H174">
        <f>IF(AND(G174="Gestor", A174&lt;&gt;""), VLOOKUP(A174, Configuracion!$A:$D, 4, FALSE), 0)*Tabla1025[[#This Row],[CANTIDAD]]</f>
        <v>0</v>
      </c>
      <c r="I174" t="str">
        <f t="shared" si="8"/>
        <v/>
      </c>
    </row>
    <row r="175" spans="2:9" x14ac:dyDescent="0.3">
      <c r="B175" t="e">
        <f>IFERROR(VLOOKUP(A175,jueves!$A:$I,9,FALSE),IFERROR(VLOOKUP(A175,miercoles!$A:$I,9,FALSE),IFERROR(VLOOKUP(A175,martes!$A:$I,9,FALSE),IFERROR(VLOOKUP(A175,lunes!$A:$I,9,FALSE),VLOOKUP(A175,Configuracion!$A:$B,2,FALSE)))))</f>
        <v>#N/A</v>
      </c>
      <c r="E175">
        <f>IF(C175="Venta", IFERROR(VLOOKUP(A175, Configuracion!$A:$D, 3, FALSE), 0), 0)</f>
        <v>0</v>
      </c>
      <c r="F175">
        <f t="shared" si="7"/>
        <v>0</v>
      </c>
      <c r="H175">
        <f>IF(AND(G175="Gestor", A175&lt;&gt;""), VLOOKUP(A175, Configuracion!$A:$D, 4, FALSE), 0)*Tabla1025[[#This Row],[CANTIDAD]]</f>
        <v>0</v>
      </c>
      <c r="I175" t="str">
        <f t="shared" si="8"/>
        <v/>
      </c>
    </row>
    <row r="176" spans="2:9" x14ac:dyDescent="0.3">
      <c r="B176" t="e">
        <f>IFERROR(VLOOKUP(A176,jueves!$A:$I,9,FALSE),IFERROR(VLOOKUP(A176,miercoles!$A:$I,9,FALSE),IFERROR(VLOOKUP(A176,martes!$A:$I,9,FALSE),IFERROR(VLOOKUP(A176,lunes!$A:$I,9,FALSE),VLOOKUP(A176,Configuracion!$A:$B,2,FALSE)))))</f>
        <v>#N/A</v>
      </c>
      <c r="E176">
        <f>IF(C176="Venta", IFERROR(VLOOKUP(A176, Configuracion!$A:$D, 3, FALSE), 0), 0)</f>
        <v>0</v>
      </c>
      <c r="F176">
        <f t="shared" si="7"/>
        <v>0</v>
      </c>
      <c r="H176">
        <f>IF(AND(G176="Gestor", A176&lt;&gt;""), VLOOKUP(A176, Configuracion!$A:$D, 4, FALSE), 0)*Tabla1025[[#This Row],[CANTIDAD]]</f>
        <v>0</v>
      </c>
      <c r="I176" t="str">
        <f t="shared" si="8"/>
        <v/>
      </c>
    </row>
    <row r="177" spans="2:9" x14ac:dyDescent="0.3">
      <c r="B177" t="e">
        <f>IFERROR(VLOOKUP(A177,jueves!$A:$I,9,FALSE),IFERROR(VLOOKUP(A177,miercoles!$A:$I,9,FALSE),IFERROR(VLOOKUP(A177,martes!$A:$I,9,FALSE),IFERROR(VLOOKUP(A177,lunes!$A:$I,9,FALSE),VLOOKUP(A177,Configuracion!$A:$B,2,FALSE)))))</f>
        <v>#N/A</v>
      </c>
      <c r="E177">
        <f>IF(C177="Venta", IFERROR(VLOOKUP(A177, Configuracion!$A:$D, 3, FALSE), 0), 0)</f>
        <v>0</v>
      </c>
      <c r="F177">
        <f t="shared" si="7"/>
        <v>0</v>
      </c>
      <c r="H177">
        <f>IF(AND(G177="Gestor", A177&lt;&gt;""), VLOOKUP(A177, Configuracion!$A:$D, 4, FALSE), 0)*Tabla1025[[#This Row],[CANTIDAD]]</f>
        <v>0</v>
      </c>
      <c r="I177" t="str">
        <f t="shared" si="8"/>
        <v/>
      </c>
    </row>
    <row r="178" spans="2:9" x14ac:dyDescent="0.3">
      <c r="B178" t="e">
        <f>IFERROR(VLOOKUP(A178,jueves!$A:$I,9,FALSE),IFERROR(VLOOKUP(A178,miercoles!$A:$I,9,FALSE),IFERROR(VLOOKUP(A178,martes!$A:$I,9,FALSE),IFERROR(VLOOKUP(A178,lunes!$A:$I,9,FALSE),VLOOKUP(A178,Configuracion!$A:$B,2,FALSE)))))</f>
        <v>#N/A</v>
      </c>
      <c r="E178">
        <f>IF(C178="Venta", IFERROR(VLOOKUP(A178, Configuracion!$A:$D, 3, FALSE), 0), 0)</f>
        <v>0</v>
      </c>
      <c r="F178">
        <f t="shared" si="7"/>
        <v>0</v>
      </c>
      <c r="H178">
        <f>IF(AND(G178="Gestor", A178&lt;&gt;""), VLOOKUP(A178, Configuracion!$A:$D, 4, FALSE), 0)*Tabla1025[[#This Row],[CANTIDAD]]</f>
        <v>0</v>
      </c>
      <c r="I178" t="str">
        <f t="shared" si="8"/>
        <v/>
      </c>
    </row>
    <row r="179" spans="2:9" x14ac:dyDescent="0.3">
      <c r="B179" t="e">
        <f>IFERROR(VLOOKUP(A179,jueves!$A:$I,9,FALSE),IFERROR(VLOOKUP(A179,miercoles!$A:$I,9,FALSE),IFERROR(VLOOKUP(A179,martes!$A:$I,9,FALSE),IFERROR(VLOOKUP(A179,lunes!$A:$I,9,FALSE),VLOOKUP(A179,Configuracion!$A:$B,2,FALSE)))))</f>
        <v>#N/A</v>
      </c>
      <c r="E179">
        <f>IF(C179="Venta", IFERROR(VLOOKUP(A179, Configuracion!$A:$D, 3, FALSE), 0), 0)</f>
        <v>0</v>
      </c>
      <c r="F179">
        <f t="shared" si="7"/>
        <v>0</v>
      </c>
      <c r="H179">
        <f>IF(AND(G179="Gestor", A179&lt;&gt;""), VLOOKUP(A179, Configuracion!$A:$D, 4, FALSE), 0)*Tabla1025[[#This Row],[CANTIDAD]]</f>
        <v>0</v>
      </c>
      <c r="I179" t="str">
        <f t="shared" si="8"/>
        <v/>
      </c>
    </row>
    <row r="180" spans="2:9" x14ac:dyDescent="0.3">
      <c r="B180" t="e">
        <f>IFERROR(VLOOKUP(A180,jueves!$A:$I,9,FALSE),IFERROR(VLOOKUP(A180,miercoles!$A:$I,9,FALSE),IFERROR(VLOOKUP(A180,martes!$A:$I,9,FALSE),IFERROR(VLOOKUP(A180,lunes!$A:$I,9,FALSE),VLOOKUP(A180,Configuracion!$A:$B,2,FALSE)))))</f>
        <v>#N/A</v>
      </c>
      <c r="E180">
        <f>IF(C180="Venta", IFERROR(VLOOKUP(A180, Configuracion!$A:$D, 3, FALSE), 0), 0)</f>
        <v>0</v>
      </c>
      <c r="F180">
        <f t="shared" si="7"/>
        <v>0</v>
      </c>
      <c r="H180">
        <f>IF(AND(G180="Gestor", A180&lt;&gt;""), VLOOKUP(A180, Configuracion!$A:$D, 4, FALSE), 0)*Tabla1025[[#This Row],[CANTIDAD]]</f>
        <v>0</v>
      </c>
      <c r="I180" t="str">
        <f t="shared" si="8"/>
        <v/>
      </c>
    </row>
    <row r="181" spans="2:9" x14ac:dyDescent="0.3">
      <c r="B181" t="e">
        <f>IFERROR(VLOOKUP(A181,jueves!$A:$I,9,FALSE),IFERROR(VLOOKUP(A181,miercoles!$A:$I,9,FALSE),IFERROR(VLOOKUP(A181,martes!$A:$I,9,FALSE),IFERROR(VLOOKUP(A181,lunes!$A:$I,9,FALSE),VLOOKUP(A181,Configuracion!$A:$B,2,FALSE)))))</f>
        <v>#N/A</v>
      </c>
      <c r="E181">
        <f>IF(C181="Venta", IFERROR(VLOOKUP(A181, Configuracion!$A:$D, 3, FALSE), 0), 0)</f>
        <v>0</v>
      </c>
      <c r="F181">
        <f t="shared" si="7"/>
        <v>0</v>
      </c>
      <c r="H181">
        <f>IF(AND(G181="Gestor", A181&lt;&gt;""), VLOOKUP(A181, Configuracion!$A:$D, 4, FALSE), 0)*Tabla1025[[#This Row],[CANTIDAD]]</f>
        <v>0</v>
      </c>
      <c r="I181" t="str">
        <f t="shared" si="8"/>
        <v/>
      </c>
    </row>
    <row r="182" spans="2:9" x14ac:dyDescent="0.3">
      <c r="B182" t="e">
        <f>IFERROR(VLOOKUP(A182,jueves!$A:$I,9,FALSE),IFERROR(VLOOKUP(A182,miercoles!$A:$I,9,FALSE),IFERROR(VLOOKUP(A182,martes!$A:$I,9,FALSE),IFERROR(VLOOKUP(A182,lunes!$A:$I,9,FALSE),VLOOKUP(A182,Configuracion!$A:$B,2,FALSE)))))</f>
        <v>#N/A</v>
      </c>
      <c r="E182">
        <f>IF(C182="Venta", IFERROR(VLOOKUP(A182, Configuracion!$A:$D, 3, FALSE), 0), 0)</f>
        <v>0</v>
      </c>
      <c r="F182">
        <f t="shared" si="7"/>
        <v>0</v>
      </c>
      <c r="H182">
        <f>IF(AND(G182="Gestor", A182&lt;&gt;""), VLOOKUP(A182, Configuracion!$A:$D, 4, FALSE), 0)*Tabla1025[[#This Row],[CANTIDAD]]</f>
        <v>0</v>
      </c>
      <c r="I182" t="str">
        <f t="shared" si="8"/>
        <v/>
      </c>
    </row>
    <row r="183" spans="2:9" x14ac:dyDescent="0.3">
      <c r="B183" t="e">
        <f>IFERROR(VLOOKUP(A183,jueves!$A:$I,9,FALSE),IFERROR(VLOOKUP(A183,miercoles!$A:$I,9,FALSE),IFERROR(VLOOKUP(A183,martes!$A:$I,9,FALSE),IFERROR(VLOOKUP(A183,lunes!$A:$I,9,FALSE),VLOOKUP(A183,Configuracion!$A:$B,2,FALSE)))))</f>
        <v>#N/A</v>
      </c>
      <c r="E183">
        <f>IF(C183="Venta", IFERROR(VLOOKUP(A183, Configuracion!$A:$D, 3, FALSE), 0), 0)</f>
        <v>0</v>
      </c>
      <c r="F183">
        <f t="shared" si="7"/>
        <v>0</v>
      </c>
      <c r="H183">
        <f>IF(AND(G183="Gestor", A183&lt;&gt;""), VLOOKUP(A183, Configuracion!$A:$D, 4, FALSE), 0)*Tabla1025[[#This Row],[CANTIDAD]]</f>
        <v>0</v>
      </c>
      <c r="I183" t="str">
        <f t="shared" si="8"/>
        <v/>
      </c>
    </row>
    <row r="184" spans="2:9" x14ac:dyDescent="0.3">
      <c r="B184" t="e">
        <f>IFERROR(VLOOKUP(A184,jueves!$A:$I,9,FALSE),IFERROR(VLOOKUP(A184,miercoles!$A:$I,9,FALSE),IFERROR(VLOOKUP(A184,martes!$A:$I,9,FALSE),IFERROR(VLOOKUP(A184,lunes!$A:$I,9,FALSE),VLOOKUP(A184,Configuracion!$A:$B,2,FALSE)))))</f>
        <v>#N/A</v>
      </c>
      <c r="E184">
        <f>IF(C184="Venta", IFERROR(VLOOKUP(A184, Configuracion!$A:$D, 3, FALSE), 0), 0)</f>
        <v>0</v>
      </c>
      <c r="F184">
        <f t="shared" si="7"/>
        <v>0</v>
      </c>
      <c r="H184">
        <f>IF(AND(G184="Gestor", A184&lt;&gt;""), VLOOKUP(A184, Configuracion!$A:$D, 4, FALSE), 0)*Tabla1025[[#This Row],[CANTIDAD]]</f>
        <v>0</v>
      </c>
      <c r="I184" t="str">
        <f t="shared" si="8"/>
        <v/>
      </c>
    </row>
    <row r="185" spans="2:9" x14ac:dyDescent="0.3">
      <c r="B185" t="e">
        <f>IFERROR(VLOOKUP(A185,jueves!$A:$I,9,FALSE),IFERROR(VLOOKUP(A185,miercoles!$A:$I,9,FALSE),IFERROR(VLOOKUP(A185,martes!$A:$I,9,FALSE),IFERROR(VLOOKUP(A185,lunes!$A:$I,9,FALSE),VLOOKUP(A185,Configuracion!$A:$B,2,FALSE)))))</f>
        <v>#N/A</v>
      </c>
      <c r="E185">
        <f>IF(C185="Venta", IFERROR(VLOOKUP(A185, Configuracion!$A:$D, 3, FALSE), 0), 0)</f>
        <v>0</v>
      </c>
      <c r="F185">
        <f t="shared" si="7"/>
        <v>0</v>
      </c>
      <c r="H185">
        <f>IF(AND(G185="Gestor", A185&lt;&gt;""), VLOOKUP(A185, Configuracion!$A:$D, 4, FALSE), 0)*Tabla1025[[#This Row],[CANTIDAD]]</f>
        <v>0</v>
      </c>
      <c r="I185" t="str">
        <f t="shared" si="8"/>
        <v/>
      </c>
    </row>
    <row r="186" spans="2:9" x14ac:dyDescent="0.3">
      <c r="B186" t="e">
        <f>IFERROR(VLOOKUP(A186,jueves!$A:$I,9,FALSE),IFERROR(VLOOKUP(A186,miercoles!$A:$I,9,FALSE),IFERROR(VLOOKUP(A186,martes!$A:$I,9,FALSE),IFERROR(VLOOKUP(A186,lunes!$A:$I,9,FALSE),VLOOKUP(A186,Configuracion!$A:$B,2,FALSE)))))</f>
        <v>#N/A</v>
      </c>
      <c r="E186">
        <f>IF(C186="Venta", IFERROR(VLOOKUP(A186, Configuracion!$A:$D, 3, FALSE), 0), 0)</f>
        <v>0</v>
      </c>
      <c r="F186">
        <f t="shared" si="7"/>
        <v>0</v>
      </c>
      <c r="H186">
        <f>IF(AND(G186="Gestor", A186&lt;&gt;""), VLOOKUP(A186, Configuracion!$A:$D, 4, FALSE), 0)*Tabla1025[[#This Row],[CANTIDAD]]</f>
        <v>0</v>
      </c>
      <c r="I186" t="str">
        <f t="shared" si="8"/>
        <v/>
      </c>
    </row>
    <row r="187" spans="2:9" x14ac:dyDescent="0.3">
      <c r="B187" t="e">
        <f>IFERROR(VLOOKUP(A187,jueves!$A:$I,9,FALSE),IFERROR(VLOOKUP(A187,miercoles!$A:$I,9,FALSE),IFERROR(VLOOKUP(A187,martes!$A:$I,9,FALSE),IFERROR(VLOOKUP(A187,lunes!$A:$I,9,FALSE),VLOOKUP(A187,Configuracion!$A:$B,2,FALSE)))))</f>
        <v>#N/A</v>
      </c>
      <c r="E187">
        <f>IF(C187="Venta", IFERROR(VLOOKUP(A187, Configuracion!$A:$D, 3, FALSE), 0), 0)</f>
        <v>0</v>
      </c>
      <c r="F187">
        <f t="shared" si="7"/>
        <v>0</v>
      </c>
      <c r="H187">
        <f>IF(AND(G187="Gestor", A187&lt;&gt;""), VLOOKUP(A187, Configuracion!$A:$D, 4, FALSE), 0)*Tabla1025[[#This Row],[CANTIDAD]]</f>
        <v>0</v>
      </c>
      <c r="I187" t="str">
        <f t="shared" si="8"/>
        <v/>
      </c>
    </row>
    <row r="188" spans="2:9" x14ac:dyDescent="0.3">
      <c r="B188" t="e">
        <f>IFERROR(VLOOKUP(A188,jueves!$A:$I,9,FALSE),IFERROR(VLOOKUP(A188,miercoles!$A:$I,9,FALSE),IFERROR(VLOOKUP(A188,martes!$A:$I,9,FALSE),IFERROR(VLOOKUP(A188,lunes!$A:$I,9,FALSE),VLOOKUP(A188,Configuracion!$A:$B,2,FALSE)))))</f>
        <v>#N/A</v>
      </c>
      <c r="E188">
        <f>IF(C188="Venta", IFERROR(VLOOKUP(A188, Configuracion!$A:$D, 3, FALSE), 0), 0)</f>
        <v>0</v>
      </c>
      <c r="F188">
        <f t="shared" si="7"/>
        <v>0</v>
      </c>
      <c r="H188">
        <f>IF(AND(G188="Gestor", A188&lt;&gt;""), VLOOKUP(A188, Configuracion!$A:$D, 4, FALSE), 0)*Tabla1025[[#This Row],[CANTIDAD]]</f>
        <v>0</v>
      </c>
      <c r="I188" t="str">
        <f t="shared" si="8"/>
        <v/>
      </c>
    </row>
    <row r="189" spans="2:9" x14ac:dyDescent="0.3">
      <c r="B189" t="e">
        <f>IFERROR(VLOOKUP(A189,jueves!$A:$I,9,FALSE),IFERROR(VLOOKUP(A189,miercoles!$A:$I,9,FALSE),IFERROR(VLOOKUP(A189,martes!$A:$I,9,FALSE),IFERROR(VLOOKUP(A189,lunes!$A:$I,9,FALSE),VLOOKUP(A189,Configuracion!$A:$B,2,FALSE)))))</f>
        <v>#N/A</v>
      </c>
      <c r="E189">
        <f>IF(C189="Venta", IFERROR(VLOOKUP(A189, Configuracion!$A:$D, 3, FALSE), 0), 0)</f>
        <v>0</v>
      </c>
      <c r="F189">
        <f t="shared" si="7"/>
        <v>0</v>
      </c>
      <c r="H189">
        <f>IF(AND(G189="Gestor", A189&lt;&gt;""), VLOOKUP(A189, Configuracion!$A:$D, 4, FALSE), 0)*Tabla1025[[#This Row],[CANTIDAD]]</f>
        <v>0</v>
      </c>
      <c r="I189" t="str">
        <f t="shared" si="8"/>
        <v/>
      </c>
    </row>
    <row r="190" spans="2:9" x14ac:dyDescent="0.3">
      <c r="B190" t="e">
        <f>IFERROR(VLOOKUP(A190,jueves!$A:$I,9,FALSE),IFERROR(VLOOKUP(A190,miercoles!$A:$I,9,FALSE),IFERROR(VLOOKUP(A190,martes!$A:$I,9,FALSE),IFERROR(VLOOKUP(A190,lunes!$A:$I,9,FALSE),VLOOKUP(A190,Configuracion!$A:$B,2,FALSE)))))</f>
        <v>#N/A</v>
      </c>
      <c r="E190">
        <f>IF(C190="Venta", IFERROR(VLOOKUP(A190, Configuracion!$A:$D, 3, FALSE), 0), 0)</f>
        <v>0</v>
      </c>
      <c r="F190">
        <f t="shared" si="7"/>
        <v>0</v>
      </c>
      <c r="H190">
        <f>IF(AND(G190="Gestor", A190&lt;&gt;""), VLOOKUP(A190, Configuracion!$A:$D, 4, FALSE), 0)*Tabla1025[[#This Row],[CANTIDAD]]</f>
        <v>0</v>
      </c>
    </row>
  </sheetData>
  <dataValidations count="3">
    <dataValidation type="list" allowBlank="1" showInputMessage="1" showErrorMessage="1" sqref="C2:C194" xr:uid="{00000000-0002-0000-0500-000000000000}">
      <formula1>"ENTRADA, SALIDA, VENTA"</formula1>
    </dataValidation>
    <dataValidation type="list" allowBlank="1" showInputMessage="1" showErrorMessage="1" sqref="A2:A194" xr:uid="{00000000-0002-0000-0500-000001000000}">
      <formula1>LISTA_PRODUCTOS</formula1>
    </dataValidation>
    <dataValidation type="list" allowBlank="1" showInputMessage="1" showErrorMessage="1" sqref="G2:G194" xr:uid="{00000000-0002-0000-0500-000002000000}">
      <formula1>"TIENDA, GESTOR, MOV"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90"/>
  <sheetViews>
    <sheetView topLeftCell="C5" workbookViewId="0">
      <selection activeCell="P16" sqref="P16"/>
    </sheetView>
  </sheetViews>
  <sheetFormatPr baseColWidth="10" defaultColWidth="11.5546875" defaultRowHeight="14.4" x14ac:dyDescent="0.3"/>
  <cols>
    <col min="1" max="1" width="27.6640625" customWidth="1"/>
    <col min="2" max="2" width="15.109375" customWidth="1"/>
    <col min="3" max="3" width="14.6640625" customWidth="1"/>
    <col min="4" max="4" width="11.6640625" style="17" customWidth="1"/>
    <col min="5" max="5" width="15.33203125" customWidth="1"/>
    <col min="6" max="6" width="10.6640625" customWidth="1"/>
    <col min="7" max="7" width="22.33203125" customWidth="1"/>
    <col min="8" max="8" width="11.88671875" customWidth="1"/>
    <col min="9" max="9" width="13.6640625" customWidth="1"/>
    <col min="10" max="10" width="5.33203125" customWidth="1"/>
    <col min="11" max="11" width="14.44140625" customWidth="1"/>
    <col min="12" max="12" width="12.6640625" customWidth="1"/>
    <col min="13" max="13" width="5.33203125" customWidth="1"/>
    <col min="14" max="14" width="15.6640625" customWidth="1"/>
  </cols>
  <sheetData>
    <row r="1" spans="1:19" x14ac:dyDescent="0.3">
      <c r="A1" s="1" t="s">
        <v>7</v>
      </c>
      <c r="B1" s="1" t="s">
        <v>3</v>
      </c>
      <c r="C1" s="1" t="s">
        <v>8</v>
      </c>
      <c r="D1" s="16" t="s">
        <v>9</v>
      </c>
      <c r="E1" s="1" t="s">
        <v>1</v>
      </c>
      <c r="F1" s="1" t="s">
        <v>185</v>
      </c>
      <c r="G1" s="1" t="s">
        <v>189</v>
      </c>
      <c r="H1" s="1" t="s">
        <v>2</v>
      </c>
      <c r="I1" s="1" t="s">
        <v>6</v>
      </c>
      <c r="J1" s="1"/>
      <c r="K1" s="8" t="s">
        <v>200</v>
      </c>
      <c r="L1" s="9" t="s">
        <v>218</v>
      </c>
      <c r="M1" s="1"/>
      <c r="N1" s="1"/>
      <c r="O1" s="1" t="s">
        <v>9</v>
      </c>
      <c r="P1" s="1" t="s">
        <v>192</v>
      </c>
      <c r="Q1" s="1" t="s">
        <v>244</v>
      </c>
      <c r="R1" s="23" t="s">
        <v>192</v>
      </c>
      <c r="S1" s="23" t="s">
        <v>226</v>
      </c>
    </row>
    <row r="2" spans="1:19" x14ac:dyDescent="0.3">
      <c r="B2" t="e">
        <f>IFERROR(VLOOKUP(A2, viernes!$A:$I, 9, FALSE), IFERROR(VLOOKUP(A2, jueves!$A:$I, 9, FALSE), IFERROR(VLOOKUP(A2, miercoles!$A:$I, 9, FALSE), IFERROR(VLOOKUP(A2, martes!$A:$I, 9, FALSE), IFERROR(VLOOKUP(A2, lunes!$A:$I, 9, FALSE), VLOOKUP(A2, Configuracion!$A:$B, 2, FALSE))))))</f>
        <v>#N/A</v>
      </c>
      <c r="C2" t="s">
        <v>184</v>
      </c>
      <c r="D2" s="17">
        <v>1</v>
      </c>
      <c r="E2">
        <f>IF(C2="Venta", IFERROR(VLOOKUP(A2, Configuracion!$A:$D, 3, FALSE), 0), 0)</f>
        <v>0</v>
      </c>
      <c r="F2">
        <f>E2*D2</f>
        <v>0</v>
      </c>
      <c r="G2" t="s">
        <v>188</v>
      </c>
      <c r="H2">
        <f>IF(AND(G2="Gestor", A2&lt;&gt;""), VLOOKUP(A2, Configuracion!$A:$D, 4, FALSE), 0)*Tabla1027[[#This Row],[CANTIDAD]]</f>
        <v>0</v>
      </c>
      <c r="I2" t="str">
        <f t="shared" ref="I2:I33" si="0">IF(OR(A2="", D2=""), "", IF(C2="Entrada", B2+D2, IF(OR(C2="Venta", C2="Salida"), B2-D2, B2)))</f>
        <v/>
      </c>
      <c r="K2" s="6" t="s">
        <v>205</v>
      </c>
      <c r="L2" s="7">
        <v>540</v>
      </c>
      <c r="N2" s="2" t="s">
        <v>191</v>
      </c>
      <c r="O2" s="2">
        <f>Tabla15[[#Totals],[IMPORTE]]</f>
        <v>9440</v>
      </c>
      <c r="P2" s="2">
        <f>O2</f>
        <v>9440</v>
      </c>
      <c r="Q2" s="1"/>
    </row>
    <row r="3" spans="1:19" x14ac:dyDescent="0.3">
      <c r="B3" t="e">
        <f>IFERROR(VLOOKUP(A3, viernes!$A:$I, 9, FALSE), IFERROR(VLOOKUP(A3, jueves!$A:$I, 9, FALSE), IFERROR(VLOOKUP(A3, miercoles!$A:$I, 9, FALSE), IFERROR(VLOOKUP(A3, martes!$A:$I, 9, FALSE), IFERROR(VLOOKUP(A3, lunes!$A:$I, 9, FALSE), VLOOKUP(A3, Configuracion!$A:$B, 2, FALSE))))))</f>
        <v>#N/A</v>
      </c>
      <c r="C3" t="s">
        <v>184</v>
      </c>
      <c r="D3" s="17">
        <v>1</v>
      </c>
      <c r="E3">
        <f>IF(C3="Venta", IFERROR(VLOOKUP(A3, Configuracion!$A:$D, 3, FALSE), 0), 0)</f>
        <v>0</v>
      </c>
      <c r="F3">
        <f>E3*D3</f>
        <v>0</v>
      </c>
      <c r="G3" t="s">
        <v>10</v>
      </c>
      <c r="H3">
        <f>IF(AND(G3="Gestor", A3&lt;&gt;""), VLOOKUP(A3, Configuracion!$A:$D, 4, FALSE), 0)*Tabla1027[[#This Row],[CANTIDAD]]</f>
        <v>0</v>
      </c>
      <c r="I3" t="str">
        <f t="shared" si="0"/>
        <v/>
      </c>
      <c r="K3" s="10" t="s">
        <v>206</v>
      </c>
      <c r="L3" s="11">
        <v>20</v>
      </c>
      <c r="N3" s="3" t="s">
        <v>194</v>
      </c>
      <c r="O3" s="3">
        <v>4710</v>
      </c>
      <c r="P3" s="3">
        <f>O3</f>
        <v>4710</v>
      </c>
    </row>
    <row r="4" spans="1:19" x14ac:dyDescent="0.3">
      <c r="B4" t="e">
        <f>IFERROR(VLOOKUP(A4, viernes!$A:$I, 9, FALSE), IFERROR(VLOOKUP(A4, jueves!$A:$I, 9, FALSE), IFERROR(VLOOKUP(A4, miercoles!$A:$I, 9, FALSE), IFERROR(VLOOKUP(A4, martes!$A:$I, 9, FALSE), IFERROR(VLOOKUP(A4, lunes!$A:$I, 9, FALSE), VLOOKUP(A4, Configuracion!$A:$B, 2, FALSE))))))</f>
        <v>#N/A</v>
      </c>
      <c r="C4" t="s">
        <v>186</v>
      </c>
      <c r="D4" s="17">
        <v>1</v>
      </c>
      <c r="E4">
        <f>IF(C4="Venta", IFERROR(VLOOKUP(A4, Configuracion!$A:$D, 3, FALSE), 0), 0)</f>
        <v>0</v>
      </c>
      <c r="F4">
        <f t="shared" ref="F4:F67" si="1">E4*D4</f>
        <v>0</v>
      </c>
      <c r="G4" t="s">
        <v>190</v>
      </c>
      <c r="H4">
        <f>IF(AND(G4="Gestor", A4&lt;&gt;""), VLOOKUP(A4, Configuracion!$A:$D, 4, FALSE), 0)*Tabla1027[[#This Row],[CANTIDAD]]</f>
        <v>0</v>
      </c>
      <c r="I4" t="str">
        <f t="shared" si="0"/>
        <v/>
      </c>
      <c r="N4" s="3" t="s">
        <v>195</v>
      </c>
      <c r="O4" s="3">
        <v>380</v>
      </c>
      <c r="P4" s="3">
        <f>O4</f>
        <v>380</v>
      </c>
    </row>
    <row r="5" spans="1:19" x14ac:dyDescent="0.3">
      <c r="B5" t="e">
        <f>IFERROR(VLOOKUP(A5, viernes!$A:$I, 9, FALSE), IFERROR(VLOOKUP(A5, jueves!$A:$I, 9, FALSE), IFERROR(VLOOKUP(A5, miercoles!$A:$I, 9, FALSE), IFERROR(VLOOKUP(A5, martes!$A:$I, 9, FALSE), IFERROR(VLOOKUP(A5, lunes!$A:$I, 9, FALSE), VLOOKUP(A5, Configuracion!$A:$B, 2, FALSE))))))</f>
        <v>#N/A</v>
      </c>
      <c r="C5" t="s">
        <v>184</v>
      </c>
      <c r="D5" s="17">
        <v>2</v>
      </c>
      <c r="E5">
        <f>IF(C5="Venta", IFERROR(VLOOKUP(A5, Configuracion!$A:$D, 3, FALSE), 0), 0)</f>
        <v>0</v>
      </c>
      <c r="F5">
        <f t="shared" si="1"/>
        <v>0</v>
      </c>
      <c r="G5" t="s">
        <v>10</v>
      </c>
      <c r="H5">
        <f>IF(AND(G5="Gestor", A5&lt;&gt;""), VLOOKUP(A5, Configuracion!$A:$D, 4, FALSE), 0)*Tabla1027[[#This Row],[CANTIDAD]]</f>
        <v>0</v>
      </c>
      <c r="I5" t="str">
        <f t="shared" si="0"/>
        <v/>
      </c>
      <c r="N5" s="3" t="s">
        <v>196</v>
      </c>
      <c r="O5" s="3"/>
      <c r="P5" s="3">
        <f>O5/L3</f>
        <v>0</v>
      </c>
    </row>
    <row r="6" spans="1:19" x14ac:dyDescent="0.3">
      <c r="B6" t="e">
        <f>IFERROR(VLOOKUP(A6, viernes!$A:$I, 9, FALSE), IFERROR(VLOOKUP(A6, jueves!$A:$I, 9, FALSE), IFERROR(VLOOKUP(A6, miercoles!$A:$I, 9, FALSE), IFERROR(VLOOKUP(A6, martes!$A:$I, 9, FALSE), IFERROR(VLOOKUP(A6, lunes!$A:$I, 9, FALSE), VLOOKUP(A6, Configuracion!$A:$B, 2, FALSE))))))</f>
        <v>#N/A</v>
      </c>
      <c r="E6">
        <f>IF(C6="Venta", IFERROR(VLOOKUP(A6, Configuracion!$A:$D, 3, FALSE), 0), 0)</f>
        <v>0</v>
      </c>
      <c r="F6">
        <f t="shared" si="1"/>
        <v>0</v>
      </c>
      <c r="H6">
        <f>IF(AND(G6="Gestor", A6&lt;&gt;""), VLOOKUP(A6, Configuracion!$A:$D, 4, FALSE), 0)*Tabla1027[[#This Row],[CANTIDAD]]</f>
        <v>0</v>
      </c>
      <c r="I6" t="str">
        <f t="shared" si="0"/>
        <v/>
      </c>
      <c r="N6" s="3" t="s">
        <v>197</v>
      </c>
      <c r="O6" s="3">
        <v>1252800</v>
      </c>
      <c r="P6" s="3">
        <f>O6/L2</f>
        <v>2320</v>
      </c>
    </row>
    <row r="7" spans="1:19" x14ac:dyDescent="0.3">
      <c r="B7" t="e">
        <f>IFERROR(VLOOKUP(A7, viernes!$A:$I, 9, FALSE), IFERROR(VLOOKUP(A7, jueves!$A:$I, 9, FALSE), IFERROR(VLOOKUP(A7, miercoles!$A:$I, 9, FALSE), IFERROR(VLOOKUP(A7, martes!$A:$I, 9, FALSE), IFERROR(VLOOKUP(A7, lunes!$A:$I, 9, FALSE), VLOOKUP(A7, Configuracion!$A:$B, 2, FALSE))))))</f>
        <v>#N/A</v>
      </c>
      <c r="E7">
        <f>IF(C7="Venta", IFERROR(VLOOKUP(A7, Configuracion!$A:$D, 3, FALSE), 0), 0)</f>
        <v>0</v>
      </c>
      <c r="F7">
        <f t="shared" si="1"/>
        <v>0</v>
      </c>
      <c r="H7">
        <f>IF(AND(G7="Gestor", A7&lt;&gt;""), VLOOKUP(A7, Configuracion!$A:$D, 4, FALSE), 0)*Tabla1027[[#This Row],[CANTIDAD]]</f>
        <v>0</v>
      </c>
      <c r="I7" t="str">
        <f t="shared" si="0"/>
        <v/>
      </c>
      <c r="N7" s="3" t="s">
        <v>198</v>
      </c>
      <c r="O7" s="3"/>
      <c r="P7" s="3">
        <f>O7/L2</f>
        <v>0</v>
      </c>
    </row>
    <row r="8" spans="1:19" x14ac:dyDescent="0.3">
      <c r="B8" t="e">
        <f>IFERROR(VLOOKUP(A8, viernes!$A:$I, 9, FALSE), IFERROR(VLOOKUP(A8, jueves!$A:$I, 9, FALSE), IFERROR(VLOOKUP(A8, miercoles!$A:$I, 9, FALSE), IFERROR(VLOOKUP(A8, martes!$A:$I, 9, FALSE), IFERROR(VLOOKUP(A8, lunes!$A:$I, 9, FALSE), VLOOKUP(A8, Configuracion!$A:$B, 2, FALSE))))))</f>
        <v>#N/A</v>
      </c>
      <c r="E8">
        <f>IF(C8="Venta", IFERROR(VLOOKUP(A8, Configuracion!$A:$D, 3, FALSE), 0), 0)</f>
        <v>0</v>
      </c>
      <c r="F8">
        <f t="shared" si="1"/>
        <v>0</v>
      </c>
      <c r="H8">
        <f>IF(AND(G8="Gestor", A8&lt;&gt;""), VLOOKUP(A8, Configuracion!$A:$D, 4, FALSE), 0)*Tabla1027[[#This Row],[CANTIDAD]]</f>
        <v>0</v>
      </c>
      <c r="I8" t="str">
        <f t="shared" si="0"/>
        <v/>
      </c>
      <c r="N8" s="3" t="s">
        <v>199</v>
      </c>
      <c r="O8" s="3"/>
      <c r="P8" s="3">
        <f>O8</f>
        <v>0</v>
      </c>
    </row>
    <row r="9" spans="1:19" x14ac:dyDescent="0.3">
      <c r="B9" t="e">
        <f>IFERROR(VLOOKUP(A9, viernes!$A:$I, 9, FALSE), IFERROR(VLOOKUP(A9, jueves!$A:$I, 9, FALSE), IFERROR(VLOOKUP(A9, miercoles!$A:$I, 9, FALSE), IFERROR(VLOOKUP(A9, martes!$A:$I, 9, FALSE), IFERROR(VLOOKUP(A9, lunes!$A:$I, 9, FALSE), VLOOKUP(A9, Configuracion!$A:$B, 2, FALSE))))))</f>
        <v>#N/A</v>
      </c>
      <c r="E9">
        <f>IF(C9="Venta", IFERROR(VLOOKUP(A9, Configuracion!$A:$D, 3, FALSE), 0), 0)</f>
        <v>0</v>
      </c>
      <c r="F9">
        <f t="shared" si="1"/>
        <v>0</v>
      </c>
      <c r="H9">
        <f>IF(AND(G9="Gestor", A9&lt;&gt;""), VLOOKUP(A9, Configuracion!$A:$D, 4, FALSE), 0)*Tabla1027[[#This Row],[CANTIDAD]]</f>
        <v>0</v>
      </c>
      <c r="I9" t="str">
        <f t="shared" si="0"/>
        <v/>
      </c>
      <c r="N9" s="2" t="s">
        <v>193</v>
      </c>
      <c r="O9" s="3"/>
      <c r="P9" s="5">
        <f>P3+P4+P5+P6+P7+P8</f>
        <v>7410</v>
      </c>
      <c r="Q9" s="27"/>
    </row>
    <row r="10" spans="1:19" x14ac:dyDescent="0.3">
      <c r="B10" t="e">
        <f>IFERROR(VLOOKUP(A10, viernes!$A:$I, 9, FALSE), IFERROR(VLOOKUP(A10, jueves!$A:$I, 9, FALSE), IFERROR(VLOOKUP(A10, miercoles!$A:$I, 9, FALSE), IFERROR(VLOOKUP(A10, martes!$A:$I, 9, FALSE), IFERROR(VLOOKUP(A10, lunes!$A:$I, 9, FALSE), VLOOKUP(A10, Configuracion!$A:$B, 2, FALSE))))))</f>
        <v>#N/A</v>
      </c>
      <c r="E10">
        <f>IF(C10="Venta", IFERROR(VLOOKUP(A10, Configuracion!$A:$D, 3, FALSE), 0), 0)</f>
        <v>0</v>
      </c>
      <c r="F10">
        <f t="shared" si="1"/>
        <v>0</v>
      </c>
      <c r="H10">
        <f>IF(AND(G10="Gestor", A10&lt;&gt;""), VLOOKUP(A10, Configuracion!$A:$D, 4, FALSE), 0)*Tabla1027[[#This Row],[CANTIDAD]]</f>
        <v>0</v>
      </c>
      <c r="I10" t="str">
        <f t="shared" si="0"/>
        <v/>
      </c>
      <c r="N10" s="2" t="s">
        <v>208</v>
      </c>
      <c r="O10" s="3"/>
      <c r="P10" s="3">
        <f>P12+P11</f>
        <v>20</v>
      </c>
    </row>
    <row r="11" spans="1:19" x14ac:dyDescent="0.3">
      <c r="B11" t="e">
        <f>IFERROR(VLOOKUP(A11, viernes!$A:$I, 9, FALSE), IFERROR(VLOOKUP(A11, jueves!$A:$I, 9, FALSE), IFERROR(VLOOKUP(A11, miercoles!$A:$I, 9, FALSE), IFERROR(VLOOKUP(A11, martes!$A:$I, 9, FALSE), IFERROR(VLOOKUP(A11, lunes!$A:$I, 9, FALSE), VLOOKUP(A11, Configuracion!$A:$B, 2, FALSE))))))</f>
        <v>#N/A</v>
      </c>
      <c r="E11">
        <f>IF(C11="Venta", IFERROR(VLOOKUP(A11, Configuracion!$A:$D, 3, FALSE), 0), 0)</f>
        <v>0</v>
      </c>
      <c r="F11">
        <f t="shared" si="1"/>
        <v>0</v>
      </c>
      <c r="H11">
        <f>IF(AND(G11="Gestor", A11&lt;&gt;""), VLOOKUP(A11, Configuracion!$A:$D, 4, FALSE), 0)*Tabla1027[[#This Row],[CANTIDAD]]</f>
        <v>0</v>
      </c>
      <c r="I11" t="str">
        <f t="shared" si="0"/>
        <v/>
      </c>
      <c r="N11" s="3" t="s">
        <v>212</v>
      </c>
      <c r="O11" s="3"/>
      <c r="P11" s="3">
        <f>O11/L2</f>
        <v>0</v>
      </c>
    </row>
    <row r="12" spans="1:19" x14ac:dyDescent="0.3">
      <c r="B12" t="e">
        <f>IFERROR(VLOOKUP(A12, viernes!$A:$I, 9, FALSE), IFERROR(VLOOKUP(A12, jueves!$A:$I, 9, FALSE), IFERROR(VLOOKUP(A12, miercoles!$A:$I, 9, FALSE), IFERROR(VLOOKUP(A12, martes!$A:$I, 9, FALSE), IFERROR(VLOOKUP(A12, lunes!$A:$I, 9, FALSE), VLOOKUP(A12, Configuracion!$A:$B, 2, FALSE))))))</f>
        <v>#N/A</v>
      </c>
      <c r="E12">
        <f>IF(C12="Venta", IFERROR(VLOOKUP(A12, Configuracion!$A:$D, 3, FALSE), 0), 0)</f>
        <v>0</v>
      </c>
      <c r="F12">
        <f t="shared" si="1"/>
        <v>0</v>
      </c>
      <c r="H12">
        <f>IF(AND(G12="Gestor", A12&lt;&gt;""), VLOOKUP(A12, Configuracion!$A:$D, 4, FALSE), 0)*Tabla1027[[#This Row],[CANTIDAD]]</f>
        <v>0</v>
      </c>
      <c r="I12" t="str">
        <f t="shared" si="0"/>
        <v/>
      </c>
      <c r="N12" s="3" t="s">
        <v>194</v>
      </c>
      <c r="O12" s="3">
        <v>20</v>
      </c>
      <c r="P12" s="3">
        <f>O12</f>
        <v>20</v>
      </c>
      <c r="Q12" t="s">
        <v>245</v>
      </c>
    </row>
    <row r="13" spans="1:19" x14ac:dyDescent="0.3">
      <c r="B13" t="e">
        <f>IFERROR(VLOOKUP(A13, viernes!$A:$I, 9, FALSE), IFERROR(VLOOKUP(A13, jueves!$A:$I, 9, FALSE), IFERROR(VLOOKUP(A13, miercoles!$A:$I, 9, FALSE), IFERROR(VLOOKUP(A13, martes!$A:$I, 9, FALSE), IFERROR(VLOOKUP(A13, lunes!$A:$I, 9, FALSE), VLOOKUP(A13, Configuracion!$A:$B, 2, FALSE))))))</f>
        <v>#N/A</v>
      </c>
      <c r="E13">
        <f>IF(C13="Venta", IFERROR(VLOOKUP(A13, Configuracion!$A:$D, 3, FALSE), 0), 0)</f>
        <v>0</v>
      </c>
      <c r="F13">
        <f t="shared" si="1"/>
        <v>0</v>
      </c>
      <c r="H13">
        <f>IF(AND(G13="Gestor", A13&lt;&gt;""), VLOOKUP(A13, Configuracion!$A:$D, 4, FALSE), 0)*Tabla1027[[#This Row],[CANTIDAD]]</f>
        <v>0</v>
      </c>
      <c r="I13" t="str">
        <f t="shared" si="0"/>
        <v/>
      </c>
      <c r="N13" s="2" t="s">
        <v>201</v>
      </c>
      <c r="O13" s="3"/>
      <c r="P13" s="3">
        <f>P15+P14</f>
        <v>2050</v>
      </c>
    </row>
    <row r="14" spans="1:19" x14ac:dyDescent="0.3">
      <c r="B14" t="e">
        <f>IFERROR(VLOOKUP(A14, viernes!$A:$I, 9, FALSE), IFERROR(VLOOKUP(A14, jueves!$A:$I, 9, FALSE), IFERROR(VLOOKUP(A14, miercoles!$A:$I, 9, FALSE), IFERROR(VLOOKUP(A14, martes!$A:$I, 9, FALSE), IFERROR(VLOOKUP(A14, lunes!$A:$I, 9, FALSE), VLOOKUP(A14, Configuracion!$A:$B, 2, FALSE))))))</f>
        <v>#N/A</v>
      </c>
      <c r="E14">
        <f>IF(C14="Venta", IFERROR(VLOOKUP(A14, Configuracion!$A:$D, 3, FALSE), 0), 0)</f>
        <v>0</v>
      </c>
      <c r="F14">
        <f t="shared" si="1"/>
        <v>0</v>
      </c>
      <c r="H14">
        <f>IF(AND(G14="Gestor", A14&lt;&gt;""), VLOOKUP(A14, Configuracion!$A:$D, 4, FALSE), 0)*Tabla1027[[#This Row],[CANTIDAD]]</f>
        <v>0</v>
      </c>
      <c r="I14" t="str">
        <f t="shared" si="0"/>
        <v/>
      </c>
      <c r="N14" s="3" t="s">
        <v>212</v>
      </c>
      <c r="O14" s="3"/>
      <c r="P14" s="3">
        <f>O14/L2</f>
        <v>0</v>
      </c>
    </row>
    <row r="15" spans="1:19" x14ac:dyDescent="0.3">
      <c r="B15" t="e">
        <f>IFERROR(VLOOKUP(A15, viernes!$A:$I, 9, FALSE), IFERROR(VLOOKUP(A15, jueves!$A:$I, 9, FALSE), IFERROR(VLOOKUP(A15, miercoles!$A:$I, 9, FALSE), IFERROR(VLOOKUP(A15, martes!$A:$I, 9, FALSE), IFERROR(VLOOKUP(A15, lunes!$A:$I, 9, FALSE), VLOOKUP(A15, Configuracion!$A:$B, 2, FALSE))))))</f>
        <v>#N/A</v>
      </c>
      <c r="E15">
        <f>IF(C15="Venta", IFERROR(VLOOKUP(A15, Configuracion!$A:$D, 3, FALSE), 0), 0)</f>
        <v>0</v>
      </c>
      <c r="F15">
        <f t="shared" si="1"/>
        <v>0</v>
      </c>
      <c r="H15">
        <f>IF(AND(G15="Gestor", A15&lt;&gt;""), VLOOKUP(A15, Configuracion!$A:$D, 4, FALSE), 0)*Tabla1027[[#This Row],[CANTIDAD]]</f>
        <v>0</v>
      </c>
      <c r="I15" t="str">
        <f t="shared" si="0"/>
        <v/>
      </c>
      <c r="N15" s="3" t="s">
        <v>194</v>
      </c>
      <c r="O15" s="3">
        <v>2050</v>
      </c>
      <c r="P15" s="3">
        <v>2050</v>
      </c>
    </row>
    <row r="16" spans="1:19" x14ac:dyDescent="0.3">
      <c r="B16" t="e">
        <f>IFERROR(VLOOKUP(A16, viernes!$A:$I, 9, FALSE), IFERROR(VLOOKUP(A16, jueves!$A:$I, 9, FALSE), IFERROR(VLOOKUP(A16, miercoles!$A:$I, 9, FALSE), IFERROR(VLOOKUP(A16, martes!$A:$I, 9, FALSE), IFERROR(VLOOKUP(A16, lunes!$A:$I, 9, FALSE), VLOOKUP(A16, Configuracion!$A:$B, 2, FALSE))))))</f>
        <v>#N/A</v>
      </c>
      <c r="E16">
        <f>IF(C16="Venta", IFERROR(VLOOKUP(A16, Configuracion!$A:$D, 3, FALSE), 0), 0)</f>
        <v>0</v>
      </c>
      <c r="F16">
        <f t="shared" si="1"/>
        <v>0</v>
      </c>
      <c r="H16">
        <f>IF(AND(G16="Gestor", A16&lt;&gt;""), VLOOKUP(A16, Configuracion!$A:$D, 4, FALSE), 0)*Tabla1027[[#This Row],[CANTIDAD]]</f>
        <v>0</v>
      </c>
      <c r="I16" t="str">
        <f t="shared" si="0"/>
        <v/>
      </c>
      <c r="N16" s="2" t="s">
        <v>211</v>
      </c>
      <c r="O16" s="3"/>
      <c r="P16" s="5">
        <f>P9+P13-P10</f>
        <v>9440</v>
      </c>
      <c r="Q16" s="27"/>
      <c r="R16" s="24">
        <f>P2-P16</f>
        <v>0</v>
      </c>
      <c r="S16" s="25">
        <f>R16*L2</f>
        <v>0</v>
      </c>
    </row>
    <row r="17" spans="2:17" x14ac:dyDescent="0.3">
      <c r="B17" t="e">
        <f>IFERROR(VLOOKUP(A17, viernes!$A:$I, 9, FALSE), IFERROR(VLOOKUP(A17, jueves!$A:$I, 9, FALSE), IFERROR(VLOOKUP(A17, miercoles!$A:$I, 9, FALSE), IFERROR(VLOOKUP(A17, martes!$A:$I, 9, FALSE), IFERROR(VLOOKUP(A17, lunes!$A:$I, 9, FALSE), VLOOKUP(A17, Configuracion!$A:$B, 2, FALSE))))))</f>
        <v>#N/A</v>
      </c>
      <c r="E17">
        <f>IF(C17="Venta", IFERROR(VLOOKUP(A17, Configuracion!$A:$D, 3, FALSE), 0), 0)</f>
        <v>0</v>
      </c>
      <c r="F17">
        <f t="shared" si="1"/>
        <v>0</v>
      </c>
      <c r="H17">
        <f>IF(AND(G17="Gestor", A17&lt;&gt;""), VLOOKUP(A17, Configuracion!$A:$D, 4, FALSE), 0)*Tabla1027[[#This Row],[CANTIDAD]]</f>
        <v>0</v>
      </c>
      <c r="I17" t="str">
        <f t="shared" si="0"/>
        <v/>
      </c>
      <c r="N17" s="4"/>
      <c r="O17" s="4"/>
      <c r="P17" s="4"/>
      <c r="Q17" s="28"/>
    </row>
    <row r="18" spans="2:17" x14ac:dyDescent="0.3">
      <c r="B18" t="e">
        <f>IFERROR(VLOOKUP(A18, viernes!$A:$I, 9, FALSE), IFERROR(VLOOKUP(A18, jueves!$A:$I, 9, FALSE), IFERROR(VLOOKUP(A18, miercoles!$A:$I, 9, FALSE), IFERROR(VLOOKUP(A18, martes!$A:$I, 9, FALSE), IFERROR(VLOOKUP(A18, lunes!$A:$I, 9, FALSE), VLOOKUP(A18, Configuracion!$A:$B, 2, FALSE))))))</f>
        <v>#N/A</v>
      </c>
      <c r="E18">
        <f>IF(C18="Venta", IFERROR(VLOOKUP(A18, Configuracion!$A:$D, 3, FALSE), 0), 0)</f>
        <v>0</v>
      </c>
      <c r="F18">
        <f t="shared" si="1"/>
        <v>0</v>
      </c>
      <c r="H18">
        <f>IF(AND(G18="Gestor", A18&lt;&gt;""), VLOOKUP(A18, Configuracion!$A:$D, 4, FALSE), 0)*Tabla1027[[#This Row],[CANTIDAD]]</f>
        <v>0</v>
      </c>
      <c r="I18" t="str">
        <f t="shared" si="0"/>
        <v/>
      </c>
      <c r="O18" t="s">
        <v>202</v>
      </c>
      <c r="P18" t="s">
        <v>192</v>
      </c>
    </row>
    <row r="19" spans="2:17" x14ac:dyDescent="0.3">
      <c r="B19" t="e">
        <f>IFERROR(VLOOKUP(A19, viernes!$A:$I, 9, FALSE), IFERROR(VLOOKUP(A19, jueves!$A:$I, 9, FALSE), IFERROR(VLOOKUP(A19, miercoles!$A:$I, 9, FALSE), IFERROR(VLOOKUP(A19, martes!$A:$I, 9, FALSE), IFERROR(VLOOKUP(A19, lunes!$A:$I, 9, FALSE), VLOOKUP(A19, Configuracion!$A:$B, 2, FALSE))))))</f>
        <v>#N/A</v>
      </c>
      <c r="E19">
        <f>IF(C19="Venta", IFERROR(VLOOKUP(A19, Configuracion!$A:$D, 3, FALSE), 0), 0)</f>
        <v>0</v>
      </c>
      <c r="F19">
        <f t="shared" si="1"/>
        <v>0</v>
      </c>
      <c r="H19">
        <f>IF(AND(G19="Gestor", A19&lt;&gt;""), VLOOKUP(A19, Configuracion!$A:$D, 4, FALSE), 0)*Tabla1027[[#This Row],[CANTIDAD]]</f>
        <v>0</v>
      </c>
      <c r="I19" t="str">
        <f t="shared" si="0"/>
        <v/>
      </c>
      <c r="N19" s="2" t="s">
        <v>207</v>
      </c>
      <c r="O19" s="3">
        <v>100000</v>
      </c>
      <c r="P19" s="3">
        <v>150</v>
      </c>
    </row>
    <row r="20" spans="2:17" x14ac:dyDescent="0.3">
      <c r="B20" t="e">
        <f>IFERROR(VLOOKUP(A20, viernes!$A:$I, 9, FALSE), IFERROR(VLOOKUP(A20, jueves!$A:$I, 9, FALSE), IFERROR(VLOOKUP(A20, miercoles!$A:$I, 9, FALSE), IFERROR(VLOOKUP(A20, martes!$A:$I, 9, FALSE), IFERROR(VLOOKUP(A20, lunes!$A:$I, 9, FALSE), VLOOKUP(A20, Configuracion!$A:$B, 2, FALSE))))))</f>
        <v>#N/A</v>
      </c>
      <c r="E20">
        <f>IF(C20="Venta", IFERROR(VLOOKUP(A20, Configuracion!$A:$D, 3, FALSE), 0), 0)</f>
        <v>0</v>
      </c>
      <c r="F20">
        <f t="shared" si="1"/>
        <v>0</v>
      </c>
      <c r="H20">
        <f>IF(AND(G20="Gestor", A20&lt;&gt;""), VLOOKUP(A20, Configuracion!$A:$D, 4, FALSE), 0)*Tabla1027[[#This Row],[CANTIDAD]]</f>
        <v>0</v>
      </c>
      <c r="I20" t="str">
        <f t="shared" si="0"/>
        <v/>
      </c>
      <c r="N20" s="3" t="s">
        <v>221</v>
      </c>
      <c r="O20" s="3"/>
      <c r="P20" s="3"/>
    </row>
    <row r="21" spans="2:17" x14ac:dyDescent="0.3">
      <c r="B21" t="e">
        <f>IFERROR(VLOOKUP(A21, viernes!$A:$I, 9, FALSE), IFERROR(VLOOKUP(A21, jueves!$A:$I, 9, FALSE), IFERROR(VLOOKUP(A21, miercoles!$A:$I, 9, FALSE), IFERROR(VLOOKUP(A21, martes!$A:$I, 9, FALSE), IFERROR(VLOOKUP(A21, lunes!$A:$I, 9, FALSE), VLOOKUP(A21, Configuracion!$A:$B, 2, FALSE))))))</f>
        <v>#N/A</v>
      </c>
      <c r="E21">
        <f>IF(C21="Venta", IFERROR(VLOOKUP(A21, Configuracion!$A:$D, 3, FALSE), 0), 0)</f>
        <v>0</v>
      </c>
      <c r="F21">
        <f t="shared" si="1"/>
        <v>0</v>
      </c>
      <c r="H21">
        <f>IF(AND(G21="Gestor", A21&lt;&gt;""), VLOOKUP(A21, Configuracion!$A:$D, 4, FALSE), 0)*Tabla1027[[#This Row],[CANTIDAD]]</f>
        <v>0</v>
      </c>
      <c r="I21" t="str">
        <f t="shared" si="0"/>
        <v/>
      </c>
      <c r="N21" s="3" t="s">
        <v>203</v>
      </c>
      <c r="O21" s="3"/>
      <c r="P21" s="3"/>
    </row>
    <row r="22" spans="2:17" x14ac:dyDescent="0.3">
      <c r="B22" t="e">
        <f>IFERROR(VLOOKUP(A22, viernes!$A:$I, 9, FALSE), IFERROR(VLOOKUP(A22, jueves!$A:$I, 9, FALSE), IFERROR(VLOOKUP(A22, miercoles!$A:$I, 9, FALSE), IFERROR(VLOOKUP(A22, martes!$A:$I, 9, FALSE), IFERROR(VLOOKUP(A22, lunes!$A:$I, 9, FALSE), VLOOKUP(A22, Configuracion!$A:$B, 2, FALSE))))))</f>
        <v>#N/A</v>
      </c>
      <c r="E22">
        <f>IF(C22="Venta", IFERROR(VLOOKUP(A22, Configuracion!$A:$D, 3, FALSE), 0), 0)</f>
        <v>0</v>
      </c>
      <c r="F22">
        <f t="shared" si="1"/>
        <v>0</v>
      </c>
      <c r="H22">
        <f>IF(AND(G22="Gestor", A22&lt;&gt;""), VLOOKUP(A22, Configuracion!$A:$D, 4, FALSE), 0)*Tabla1027[[#This Row],[CANTIDAD]]</f>
        <v>0</v>
      </c>
      <c r="I22" t="str">
        <f t="shared" si="0"/>
        <v/>
      </c>
      <c r="N22" s="3" t="s">
        <v>204</v>
      </c>
      <c r="O22" s="3"/>
      <c r="P22" s="3"/>
    </row>
    <row r="23" spans="2:17" x14ac:dyDescent="0.3">
      <c r="B23" t="e">
        <f>IFERROR(VLOOKUP(A23, viernes!$A:$I, 9, FALSE), IFERROR(VLOOKUP(A23, jueves!$A:$I, 9, FALSE), IFERROR(VLOOKUP(A23, miercoles!$A:$I, 9, FALSE), IFERROR(VLOOKUP(A23, martes!$A:$I, 9, FALSE), IFERROR(VLOOKUP(A23, lunes!$A:$I, 9, FALSE), VLOOKUP(A23, Configuracion!$A:$B, 2, FALSE))))))</f>
        <v>#N/A</v>
      </c>
      <c r="E23">
        <f>IF(C23="Venta", IFERROR(VLOOKUP(A23, Configuracion!$A:$D, 3, FALSE), 0), 0)</f>
        <v>0</v>
      </c>
      <c r="F23">
        <f t="shared" si="1"/>
        <v>0</v>
      </c>
      <c r="H23">
        <f>IF(AND(G23="Gestor", A23&lt;&gt;""), VLOOKUP(A23, Configuracion!$A:$D, 4, FALSE), 0)*Tabla1027[[#This Row],[CANTIDAD]]</f>
        <v>0</v>
      </c>
      <c r="I23" t="str">
        <f t="shared" si="0"/>
        <v/>
      </c>
      <c r="N23" s="3" t="s">
        <v>210</v>
      </c>
      <c r="O23" s="3"/>
      <c r="P23" s="3"/>
    </row>
    <row r="24" spans="2:17" x14ac:dyDescent="0.3">
      <c r="B24" t="e">
        <f>IFERROR(VLOOKUP(A24, viernes!$A:$I, 9, FALSE), IFERROR(VLOOKUP(A24, jueves!$A:$I, 9, FALSE), IFERROR(VLOOKUP(A24, miercoles!$A:$I, 9, FALSE), IFERROR(VLOOKUP(A24, martes!$A:$I, 9, FALSE), IFERROR(VLOOKUP(A24, lunes!$A:$I, 9, FALSE), VLOOKUP(A24, Configuracion!$A:$B, 2, FALSE))))))</f>
        <v>#N/A</v>
      </c>
      <c r="E24">
        <f>IF(C24="Venta", IFERROR(VLOOKUP(A24, Configuracion!$A:$D, 3, FALSE), 0), 0)</f>
        <v>0</v>
      </c>
      <c r="F24">
        <f t="shared" si="1"/>
        <v>0</v>
      </c>
      <c r="H24">
        <f>IF(AND(G24="Gestor", A24&lt;&gt;""), VLOOKUP(A24, Configuracion!$A:$D, 4, FALSE), 0)*Tabla1027[[#This Row],[CANTIDAD]]</f>
        <v>0</v>
      </c>
      <c r="I24" t="str">
        <f t="shared" si="0"/>
        <v/>
      </c>
      <c r="N24" s="2" t="s">
        <v>209</v>
      </c>
      <c r="O24" s="3">
        <f>O19-O21-O22-O23-O20</f>
        <v>100000</v>
      </c>
      <c r="P24" s="3">
        <f>P19-P21-P22-P23-P20</f>
        <v>150</v>
      </c>
    </row>
    <row r="25" spans="2:17" x14ac:dyDescent="0.3">
      <c r="B25" t="e">
        <f>IFERROR(VLOOKUP(A25, viernes!$A:$I, 9, FALSE), IFERROR(VLOOKUP(A25, jueves!$A:$I, 9, FALSE), IFERROR(VLOOKUP(A25, miercoles!$A:$I, 9, FALSE), IFERROR(VLOOKUP(A25, martes!$A:$I, 9, FALSE), IFERROR(VLOOKUP(A25, lunes!$A:$I, 9, FALSE), VLOOKUP(A25, Configuracion!$A:$B, 2, FALSE))))))</f>
        <v>#N/A</v>
      </c>
      <c r="E25">
        <f>IF(C25="Venta", IFERROR(VLOOKUP(A25, Configuracion!$A:$D, 3, FALSE), 0), 0)</f>
        <v>0</v>
      </c>
      <c r="F25">
        <f t="shared" si="1"/>
        <v>0</v>
      </c>
      <c r="H25">
        <f>IF(AND(G25="Gestor", A25&lt;&gt;""), VLOOKUP(A25, Configuracion!$A:$D, 4, FALSE), 0)*Tabla1027[[#This Row],[CANTIDAD]]</f>
        <v>0</v>
      </c>
      <c r="I25" t="str">
        <f t="shared" si="0"/>
        <v/>
      </c>
    </row>
    <row r="26" spans="2:17" x14ac:dyDescent="0.3">
      <c r="B26" t="e">
        <f>IFERROR(VLOOKUP(A26, viernes!$A:$I, 9, FALSE), IFERROR(VLOOKUP(A26, jueves!$A:$I, 9, FALSE), IFERROR(VLOOKUP(A26, miercoles!$A:$I, 9, FALSE), IFERROR(VLOOKUP(A26, martes!$A:$I, 9, FALSE), IFERROR(VLOOKUP(A26, lunes!$A:$I, 9, FALSE), VLOOKUP(A26, Configuracion!$A:$B, 2, FALSE))))))</f>
        <v>#N/A</v>
      </c>
      <c r="E26">
        <f>IF(C26="Venta", IFERROR(VLOOKUP(A26, Configuracion!$A:$D, 3, FALSE), 0), 0)</f>
        <v>0</v>
      </c>
      <c r="F26">
        <f t="shared" si="1"/>
        <v>0</v>
      </c>
      <c r="H26">
        <f>IF(AND(G26="Gestor", A26&lt;&gt;""), VLOOKUP(A26, Configuracion!$A:$D, 4, FALSE), 0)*Tabla1027[[#This Row],[CANTIDAD]]</f>
        <v>0</v>
      </c>
      <c r="I26" t="str">
        <f t="shared" si="0"/>
        <v/>
      </c>
    </row>
    <row r="27" spans="2:17" x14ac:dyDescent="0.3">
      <c r="B27" t="e">
        <f>IFERROR(VLOOKUP(A27, viernes!$A:$I, 9, FALSE), IFERROR(VLOOKUP(A27, jueves!$A:$I, 9, FALSE), IFERROR(VLOOKUP(A27, miercoles!$A:$I, 9, FALSE), IFERROR(VLOOKUP(A27, martes!$A:$I, 9, FALSE), IFERROR(VLOOKUP(A27, lunes!$A:$I, 9, FALSE), VLOOKUP(A27, Configuracion!$A:$B, 2, FALSE))))))</f>
        <v>#N/A</v>
      </c>
      <c r="E27">
        <f>IF(C27="Venta", IFERROR(VLOOKUP(A27, Configuracion!$A:$D, 3, FALSE), 0), 0)</f>
        <v>0</v>
      </c>
      <c r="F27">
        <f t="shared" si="1"/>
        <v>0</v>
      </c>
      <c r="H27">
        <f>IF(AND(G27="Gestor", A27&lt;&gt;""), VLOOKUP(A27, Configuracion!$A:$D, 4, FALSE), 0)*Tabla1027[[#This Row],[CANTIDAD]]</f>
        <v>0</v>
      </c>
      <c r="I27" t="str">
        <f t="shared" si="0"/>
        <v/>
      </c>
    </row>
    <row r="28" spans="2:17" x14ac:dyDescent="0.3">
      <c r="B28" t="e">
        <f>IFERROR(VLOOKUP(A28, viernes!$A:$I, 9, FALSE), IFERROR(VLOOKUP(A28, jueves!$A:$I, 9, FALSE), IFERROR(VLOOKUP(A28, miercoles!$A:$I, 9, FALSE), IFERROR(VLOOKUP(A28, martes!$A:$I, 9, FALSE), IFERROR(VLOOKUP(A28, lunes!$A:$I, 9, FALSE), VLOOKUP(A28, Configuracion!$A:$B, 2, FALSE))))))</f>
        <v>#N/A</v>
      </c>
      <c r="E28">
        <f>IF(C28="Venta", IFERROR(VLOOKUP(A28, Configuracion!$A:$D, 3, FALSE), 0), 0)</f>
        <v>0</v>
      </c>
      <c r="F28">
        <f t="shared" si="1"/>
        <v>0</v>
      </c>
      <c r="H28">
        <f>IF(AND(G28="Gestor", A28&lt;&gt;""), VLOOKUP(A28, Configuracion!$A:$D, 4, FALSE), 0)*Tabla1027[[#This Row],[CANTIDAD]]</f>
        <v>0</v>
      </c>
      <c r="I28" t="str">
        <f t="shared" si="0"/>
        <v/>
      </c>
      <c r="N28" s="1"/>
      <c r="O28" s="1"/>
      <c r="P28" s="1"/>
    </row>
    <row r="29" spans="2:17" x14ac:dyDescent="0.3">
      <c r="B29" t="e">
        <f>IFERROR(VLOOKUP(A29, viernes!$A:$I, 9, FALSE), IFERROR(VLOOKUP(A29, jueves!$A:$I, 9, FALSE), IFERROR(VLOOKUP(A29, miercoles!$A:$I, 9, FALSE), IFERROR(VLOOKUP(A29, martes!$A:$I, 9, FALSE), IFERROR(VLOOKUP(A29, lunes!$A:$I, 9, FALSE), VLOOKUP(A29, Configuracion!$A:$B, 2, FALSE))))))</f>
        <v>#N/A</v>
      </c>
      <c r="E29">
        <f>IF(C29="Venta", IFERROR(VLOOKUP(A29, Configuracion!$A:$D, 3, FALSE), 0), 0)</f>
        <v>0</v>
      </c>
      <c r="F29">
        <f t="shared" si="1"/>
        <v>0</v>
      </c>
      <c r="H29">
        <f>IF(AND(G29="Gestor", A29&lt;&gt;""), VLOOKUP(A29, Configuracion!$A:$D, 4, FALSE), 0)*Tabla1027[[#This Row],[CANTIDAD]]</f>
        <v>0</v>
      </c>
      <c r="I29" t="str">
        <f t="shared" si="0"/>
        <v/>
      </c>
    </row>
    <row r="30" spans="2:17" x14ac:dyDescent="0.3">
      <c r="B30" t="e">
        <f>IFERROR(VLOOKUP(A30, viernes!$A:$I, 9, FALSE), IFERROR(VLOOKUP(A30, jueves!$A:$I, 9, FALSE), IFERROR(VLOOKUP(A30, miercoles!$A:$I, 9, FALSE), IFERROR(VLOOKUP(A30, martes!$A:$I, 9, FALSE), IFERROR(VLOOKUP(A30, lunes!$A:$I, 9, FALSE), VLOOKUP(A30, Configuracion!$A:$B, 2, FALSE))))))</f>
        <v>#N/A</v>
      </c>
      <c r="E30">
        <f>IF(C30="Venta", IFERROR(VLOOKUP(A30, Configuracion!$A:$D, 3, FALSE), 0), 0)</f>
        <v>0</v>
      </c>
      <c r="F30">
        <f t="shared" si="1"/>
        <v>0</v>
      </c>
      <c r="H30">
        <f>IF(AND(G30="Gestor", A30&lt;&gt;""), VLOOKUP(A30, Configuracion!$A:$D, 4, FALSE), 0)*Tabla1027[[#This Row],[CANTIDAD]]</f>
        <v>0</v>
      </c>
      <c r="I30" t="str">
        <f t="shared" si="0"/>
        <v/>
      </c>
    </row>
    <row r="31" spans="2:17" x14ac:dyDescent="0.3">
      <c r="B31" t="e">
        <f>IFERROR(VLOOKUP(A31, viernes!$A:$I, 9, FALSE), IFERROR(VLOOKUP(A31, jueves!$A:$I, 9, FALSE), IFERROR(VLOOKUP(A31, miercoles!$A:$I, 9, FALSE), IFERROR(VLOOKUP(A31, martes!$A:$I, 9, FALSE), IFERROR(VLOOKUP(A31, lunes!$A:$I, 9, FALSE), VLOOKUP(A31, Configuracion!$A:$B, 2, FALSE))))))</f>
        <v>#N/A</v>
      </c>
      <c r="E31">
        <f>IF(C31="Venta", IFERROR(VLOOKUP(A31, Configuracion!$A:$D, 3, FALSE), 0), 0)</f>
        <v>0</v>
      </c>
      <c r="F31">
        <f t="shared" si="1"/>
        <v>0</v>
      </c>
      <c r="H31">
        <f>IF(AND(G31="Gestor", A31&lt;&gt;""), VLOOKUP(A31, Configuracion!$A:$D, 4, FALSE), 0)*Tabla1027[[#This Row],[CANTIDAD]]</f>
        <v>0</v>
      </c>
      <c r="I31" t="str">
        <f t="shared" si="0"/>
        <v/>
      </c>
    </row>
    <row r="32" spans="2:17" x14ac:dyDescent="0.3">
      <c r="B32" t="e">
        <f>IFERROR(VLOOKUP(A32, viernes!$A:$I, 9, FALSE), IFERROR(VLOOKUP(A32, jueves!$A:$I, 9, FALSE), IFERROR(VLOOKUP(A32, miercoles!$A:$I, 9, FALSE), IFERROR(VLOOKUP(A32, martes!$A:$I, 9, FALSE), IFERROR(VLOOKUP(A32, lunes!$A:$I, 9, FALSE), VLOOKUP(A32, Configuracion!$A:$B, 2, FALSE))))))</f>
        <v>#N/A</v>
      </c>
      <c r="E32">
        <f>IF(C32="Venta", IFERROR(VLOOKUP(A32, Configuracion!$A:$D, 3, FALSE), 0), 0)</f>
        <v>0</v>
      </c>
      <c r="F32">
        <f t="shared" si="1"/>
        <v>0</v>
      </c>
      <c r="H32">
        <f>IF(AND(G32="Gestor", A32&lt;&gt;""), VLOOKUP(A32, Configuracion!$A:$D, 4, FALSE), 0)*Tabla1027[[#This Row],[CANTIDAD]]</f>
        <v>0</v>
      </c>
      <c r="I32" t="str">
        <f t="shared" si="0"/>
        <v/>
      </c>
    </row>
    <row r="33" spans="2:14" x14ac:dyDescent="0.3">
      <c r="B33" t="e">
        <f>IFERROR(VLOOKUP(A33, viernes!$A:$I, 9, FALSE), IFERROR(VLOOKUP(A33, jueves!$A:$I, 9, FALSE), IFERROR(VLOOKUP(A33, miercoles!$A:$I, 9, FALSE), IFERROR(VLOOKUP(A33, martes!$A:$I, 9, FALSE), IFERROR(VLOOKUP(A33, lunes!$A:$I, 9, FALSE), VLOOKUP(A33, Configuracion!$A:$B, 2, FALSE))))))</f>
        <v>#N/A</v>
      </c>
      <c r="E33">
        <f>IF(C33="Venta", IFERROR(VLOOKUP(A33, Configuracion!$A:$D, 3, FALSE), 0), 0)</f>
        <v>0</v>
      </c>
      <c r="F33">
        <f t="shared" si="1"/>
        <v>0</v>
      </c>
      <c r="H33">
        <f>IF(AND(G33="Gestor", A33&lt;&gt;""), VLOOKUP(A33, Configuracion!$A:$D, 4, FALSE), 0)*Tabla1027[[#This Row],[CANTIDAD]]</f>
        <v>0</v>
      </c>
      <c r="I33" t="str">
        <f t="shared" si="0"/>
        <v/>
      </c>
    </row>
    <row r="34" spans="2:14" x14ac:dyDescent="0.3">
      <c r="B34" t="e">
        <f>IFERROR(VLOOKUP(A34, viernes!$A:$I, 9, FALSE), IFERROR(VLOOKUP(A34, jueves!$A:$I, 9, FALSE), IFERROR(VLOOKUP(A34, miercoles!$A:$I, 9, FALSE), IFERROR(VLOOKUP(A34, martes!$A:$I, 9, FALSE), IFERROR(VLOOKUP(A34, lunes!$A:$I, 9, FALSE), VLOOKUP(A34, Configuracion!$A:$B, 2, FALSE))))))</f>
        <v>#N/A</v>
      </c>
      <c r="E34">
        <f>IF(C34="Venta", IFERROR(VLOOKUP(A34, Configuracion!$A:$D, 3, FALSE), 0), 0)</f>
        <v>0</v>
      </c>
      <c r="F34">
        <f t="shared" si="1"/>
        <v>0</v>
      </c>
      <c r="H34">
        <f>IF(AND(G34="Gestor", A34&lt;&gt;""), VLOOKUP(A34, Configuracion!$A:$D, 4, FALSE), 0)*Tabla1027[[#This Row],[CANTIDAD]]</f>
        <v>0</v>
      </c>
      <c r="I34" t="str">
        <f t="shared" ref="I34:I65" si="2">IF(OR(A34="", D34=""), "", IF(C34="Entrada", B34+D34, IF(OR(C34="Venta", C34="Salida"), B34-D34, B34)))</f>
        <v/>
      </c>
    </row>
    <row r="35" spans="2:14" x14ac:dyDescent="0.3">
      <c r="B35" t="e">
        <f>IFERROR(VLOOKUP(A35, viernes!$A:$I, 9, FALSE), IFERROR(VLOOKUP(A35, jueves!$A:$I, 9, FALSE), IFERROR(VLOOKUP(A35, miercoles!$A:$I, 9, FALSE), IFERROR(VLOOKUP(A35, martes!$A:$I, 9, FALSE), IFERROR(VLOOKUP(A35, lunes!$A:$I, 9, FALSE), VLOOKUP(A35, Configuracion!$A:$B, 2, FALSE))))))</f>
        <v>#N/A</v>
      </c>
      <c r="E35">
        <f>IF(C35="Venta", IFERROR(VLOOKUP(A35, Configuracion!$A:$D, 3, FALSE), 0), 0)</f>
        <v>0</v>
      </c>
      <c r="F35">
        <f t="shared" si="1"/>
        <v>0</v>
      </c>
      <c r="H35">
        <f>IF(AND(G35="Gestor", A35&lt;&gt;""), VLOOKUP(A35, Configuracion!$A:$D, 4, FALSE), 0)*Tabla1027[[#This Row],[CANTIDAD]]</f>
        <v>0</v>
      </c>
      <c r="I35" t="str">
        <f t="shared" si="2"/>
        <v/>
      </c>
      <c r="N35" s="1"/>
    </row>
    <row r="36" spans="2:14" x14ac:dyDescent="0.3">
      <c r="B36" t="e">
        <f>IFERROR(VLOOKUP(A36, viernes!$A:$I, 9, FALSE), IFERROR(VLOOKUP(A36, jueves!$A:$I, 9, FALSE), IFERROR(VLOOKUP(A36, miercoles!$A:$I, 9, FALSE), IFERROR(VLOOKUP(A36, martes!$A:$I, 9, FALSE), IFERROR(VLOOKUP(A36, lunes!$A:$I, 9, FALSE), VLOOKUP(A36, Configuracion!$A:$B, 2, FALSE))))))</f>
        <v>#N/A</v>
      </c>
      <c r="E36">
        <f>IF(C36="Venta", IFERROR(VLOOKUP(A36, Configuracion!$A:$D, 3, FALSE), 0), 0)</f>
        <v>0</v>
      </c>
      <c r="F36">
        <f t="shared" si="1"/>
        <v>0</v>
      </c>
      <c r="H36">
        <f>IF(AND(G36="Gestor", A36&lt;&gt;""), VLOOKUP(A36, Configuracion!$A:$D, 4, FALSE), 0)*Tabla1027[[#This Row],[CANTIDAD]]</f>
        <v>0</v>
      </c>
      <c r="I36" t="str">
        <f t="shared" si="2"/>
        <v/>
      </c>
      <c r="N36" s="1"/>
    </row>
    <row r="37" spans="2:14" x14ac:dyDescent="0.3">
      <c r="B37" t="e">
        <f>IFERROR(VLOOKUP(A37, viernes!$A:$I, 9, FALSE), IFERROR(VLOOKUP(A37, jueves!$A:$I, 9, FALSE), IFERROR(VLOOKUP(A37, miercoles!$A:$I, 9, FALSE), IFERROR(VLOOKUP(A37, martes!$A:$I, 9, FALSE), IFERROR(VLOOKUP(A37, lunes!$A:$I, 9, FALSE), VLOOKUP(A37, Configuracion!$A:$B, 2, FALSE))))))</f>
        <v>#N/A</v>
      </c>
      <c r="E37">
        <f>IF(C37="Venta", IFERROR(VLOOKUP(A37, Configuracion!$A:$D, 3, FALSE), 0), 0)</f>
        <v>0</v>
      </c>
      <c r="F37">
        <f t="shared" si="1"/>
        <v>0</v>
      </c>
      <c r="H37">
        <f>IF(AND(G37="Gestor", A37&lt;&gt;""), VLOOKUP(A37, Configuracion!$A:$D, 4, FALSE), 0)*Tabla1027[[#This Row],[CANTIDAD]]</f>
        <v>0</v>
      </c>
      <c r="I37" t="str">
        <f t="shared" si="2"/>
        <v/>
      </c>
      <c r="N37" s="1"/>
    </row>
    <row r="38" spans="2:14" x14ac:dyDescent="0.3">
      <c r="B38" t="e">
        <f>IFERROR(VLOOKUP(A38, viernes!$A:$I, 9, FALSE), IFERROR(VLOOKUP(A38, jueves!$A:$I, 9, FALSE), IFERROR(VLOOKUP(A38, miercoles!$A:$I, 9, FALSE), IFERROR(VLOOKUP(A38, martes!$A:$I, 9, FALSE), IFERROR(VLOOKUP(A38, lunes!$A:$I, 9, FALSE), VLOOKUP(A38, Configuracion!$A:$B, 2, FALSE))))))</f>
        <v>#N/A</v>
      </c>
      <c r="E38">
        <f>IF(C38="Venta", IFERROR(VLOOKUP(A38, Configuracion!$A:$D, 3, FALSE), 0), 0)</f>
        <v>0</v>
      </c>
      <c r="F38">
        <f t="shared" si="1"/>
        <v>0</v>
      </c>
      <c r="H38">
        <f>IF(AND(G38="Gestor", A38&lt;&gt;""), VLOOKUP(A38, Configuracion!$A:$D, 4, FALSE), 0)*Tabla1027[[#This Row],[CANTIDAD]]</f>
        <v>0</v>
      </c>
      <c r="I38" t="str">
        <f t="shared" si="2"/>
        <v/>
      </c>
      <c r="N38" s="1"/>
    </row>
    <row r="39" spans="2:14" x14ac:dyDescent="0.3">
      <c r="B39" t="e">
        <f>IFERROR(VLOOKUP(A39, viernes!$A:$I, 9, FALSE), IFERROR(VLOOKUP(A39, jueves!$A:$I, 9, FALSE), IFERROR(VLOOKUP(A39, miercoles!$A:$I, 9, FALSE), IFERROR(VLOOKUP(A39, martes!$A:$I, 9, FALSE), IFERROR(VLOOKUP(A39, lunes!$A:$I, 9, FALSE), VLOOKUP(A39, Configuracion!$A:$B, 2, FALSE))))))</f>
        <v>#N/A</v>
      </c>
      <c r="E39">
        <f>IF(C39="Venta", IFERROR(VLOOKUP(A39, Configuracion!$A:$D, 3, FALSE), 0), 0)</f>
        <v>0</v>
      </c>
      <c r="F39">
        <f t="shared" si="1"/>
        <v>0</v>
      </c>
      <c r="H39">
        <f>IF(AND(G39="Gestor", A39&lt;&gt;""), VLOOKUP(A39, Configuracion!$A:$D, 4, FALSE), 0)*Tabla1027[[#This Row],[CANTIDAD]]</f>
        <v>0</v>
      </c>
      <c r="I39" t="str">
        <f t="shared" si="2"/>
        <v/>
      </c>
      <c r="N39" s="1"/>
    </row>
    <row r="40" spans="2:14" x14ac:dyDescent="0.3">
      <c r="B40" t="e">
        <f>IFERROR(VLOOKUP(A40, viernes!$A:$I, 9, FALSE), IFERROR(VLOOKUP(A40, jueves!$A:$I, 9, FALSE), IFERROR(VLOOKUP(A40, miercoles!$A:$I, 9, FALSE), IFERROR(VLOOKUP(A40, martes!$A:$I, 9, FALSE), IFERROR(VLOOKUP(A40, lunes!$A:$I, 9, FALSE), VLOOKUP(A40, Configuracion!$A:$B, 2, FALSE))))))</f>
        <v>#N/A</v>
      </c>
      <c r="E40">
        <f>IF(C40="Venta", IFERROR(VLOOKUP(A40, Configuracion!$A:$D, 3, FALSE), 0), 0)</f>
        <v>0</v>
      </c>
      <c r="F40">
        <f t="shared" si="1"/>
        <v>0</v>
      </c>
      <c r="H40">
        <f>IF(AND(G40="Gestor", A40&lt;&gt;""), VLOOKUP(A40, Configuracion!$A:$D, 4, FALSE), 0)*Tabla1027[[#This Row],[CANTIDAD]]</f>
        <v>0</v>
      </c>
      <c r="I40" t="str">
        <f t="shared" si="2"/>
        <v/>
      </c>
      <c r="N40" s="1"/>
    </row>
    <row r="41" spans="2:14" x14ac:dyDescent="0.3">
      <c r="B41" t="e">
        <f>IFERROR(VLOOKUP(A41, viernes!$A:$I, 9, FALSE), IFERROR(VLOOKUP(A41, jueves!$A:$I, 9, FALSE), IFERROR(VLOOKUP(A41, miercoles!$A:$I, 9, FALSE), IFERROR(VLOOKUP(A41, martes!$A:$I, 9, FALSE), IFERROR(VLOOKUP(A41, lunes!$A:$I, 9, FALSE), VLOOKUP(A41, Configuracion!$A:$B, 2, FALSE))))))</f>
        <v>#N/A</v>
      </c>
      <c r="E41">
        <f>IF(C41="Venta", IFERROR(VLOOKUP(A41, Configuracion!$A:$D, 3, FALSE), 0), 0)</f>
        <v>0</v>
      </c>
      <c r="F41">
        <f t="shared" si="1"/>
        <v>0</v>
      </c>
      <c r="H41">
        <f>IF(AND(G41="Gestor", A41&lt;&gt;""), VLOOKUP(A41, Configuracion!$A:$D, 4, FALSE), 0)*Tabla1027[[#This Row],[CANTIDAD]]</f>
        <v>0</v>
      </c>
      <c r="I41" t="str">
        <f t="shared" si="2"/>
        <v/>
      </c>
    </row>
    <row r="42" spans="2:14" x14ac:dyDescent="0.3">
      <c r="B42" t="e">
        <f>IFERROR(VLOOKUP(A42, viernes!$A:$I, 9, FALSE), IFERROR(VLOOKUP(A42, jueves!$A:$I, 9, FALSE), IFERROR(VLOOKUP(A42, miercoles!$A:$I, 9, FALSE), IFERROR(VLOOKUP(A42, martes!$A:$I, 9, FALSE), IFERROR(VLOOKUP(A42, lunes!$A:$I, 9, FALSE), VLOOKUP(A42, Configuracion!$A:$B, 2, FALSE))))))</f>
        <v>#N/A</v>
      </c>
      <c r="E42">
        <f>IF(C42="Venta", IFERROR(VLOOKUP(A42, Configuracion!$A:$D, 3, FALSE), 0), 0)</f>
        <v>0</v>
      </c>
      <c r="F42">
        <f t="shared" si="1"/>
        <v>0</v>
      </c>
      <c r="H42">
        <f>IF(AND(G42="Gestor", A42&lt;&gt;""), VLOOKUP(A42, Configuracion!$A:$D, 4, FALSE), 0)*Tabla1027[[#This Row],[CANTIDAD]]</f>
        <v>0</v>
      </c>
      <c r="I42" t="str">
        <f t="shared" si="2"/>
        <v/>
      </c>
    </row>
    <row r="43" spans="2:14" x14ac:dyDescent="0.3">
      <c r="B43" t="e">
        <f>IFERROR(VLOOKUP(A43, viernes!$A:$I, 9, FALSE), IFERROR(VLOOKUP(A43, jueves!$A:$I, 9, FALSE), IFERROR(VLOOKUP(A43, miercoles!$A:$I, 9, FALSE), IFERROR(VLOOKUP(A43, martes!$A:$I, 9, FALSE), IFERROR(VLOOKUP(A43, lunes!$A:$I, 9, FALSE), VLOOKUP(A43, Configuracion!$A:$B, 2, FALSE))))))</f>
        <v>#N/A</v>
      </c>
      <c r="E43">
        <f>IF(C43="Venta", IFERROR(VLOOKUP(A43, Configuracion!$A:$D, 3, FALSE), 0), 0)</f>
        <v>0</v>
      </c>
      <c r="F43">
        <f t="shared" si="1"/>
        <v>0</v>
      </c>
      <c r="H43">
        <f>IF(AND(G43="Gestor", A43&lt;&gt;""), VLOOKUP(A43, Configuracion!$A:$D, 4, FALSE), 0)*Tabla1027[[#This Row],[CANTIDAD]]</f>
        <v>0</v>
      </c>
      <c r="I43" t="str">
        <f t="shared" si="2"/>
        <v/>
      </c>
    </row>
    <row r="44" spans="2:14" x14ac:dyDescent="0.3">
      <c r="B44" t="e">
        <f>IFERROR(VLOOKUP(A44, viernes!$A:$I, 9, FALSE), IFERROR(VLOOKUP(A44, jueves!$A:$I, 9, FALSE), IFERROR(VLOOKUP(A44, miercoles!$A:$I, 9, FALSE), IFERROR(VLOOKUP(A44, martes!$A:$I, 9, FALSE), IFERROR(VLOOKUP(A44, lunes!$A:$I, 9, FALSE), VLOOKUP(A44, Configuracion!$A:$B, 2, FALSE))))))</f>
        <v>#N/A</v>
      </c>
      <c r="E44">
        <f>IF(C44="Venta", IFERROR(VLOOKUP(A44, Configuracion!$A:$D, 3, FALSE), 0), 0)</f>
        <v>0</v>
      </c>
      <c r="F44">
        <f t="shared" si="1"/>
        <v>0</v>
      </c>
      <c r="H44">
        <f>IF(AND(G44="Gestor", A44&lt;&gt;""), VLOOKUP(A44, Configuracion!$A:$D, 4, FALSE), 0)*Tabla1027[[#This Row],[CANTIDAD]]</f>
        <v>0</v>
      </c>
      <c r="I44" t="str">
        <f t="shared" si="2"/>
        <v/>
      </c>
      <c r="N44" s="1"/>
    </row>
    <row r="45" spans="2:14" x14ac:dyDescent="0.3">
      <c r="B45" t="e">
        <f>IFERROR(VLOOKUP(A45, viernes!$A:$I, 9, FALSE), IFERROR(VLOOKUP(A45, jueves!$A:$I, 9, FALSE), IFERROR(VLOOKUP(A45, miercoles!$A:$I, 9, FALSE), IFERROR(VLOOKUP(A45, martes!$A:$I, 9, FALSE), IFERROR(VLOOKUP(A45, lunes!$A:$I, 9, FALSE), VLOOKUP(A45, Configuracion!$A:$B, 2, FALSE))))))</f>
        <v>#N/A</v>
      </c>
      <c r="E45">
        <f>IF(C45="Venta", IFERROR(VLOOKUP(A45, Configuracion!$A:$D, 3, FALSE), 0), 0)</f>
        <v>0</v>
      </c>
      <c r="F45">
        <f t="shared" si="1"/>
        <v>0</v>
      </c>
      <c r="H45">
        <f>IF(AND(G45="Gestor", A45&lt;&gt;""), VLOOKUP(A45, Configuracion!$A:$D, 4, FALSE), 0)*Tabla1027[[#This Row],[CANTIDAD]]</f>
        <v>0</v>
      </c>
      <c r="I45" t="str">
        <f t="shared" si="2"/>
        <v/>
      </c>
    </row>
    <row r="46" spans="2:14" x14ac:dyDescent="0.3">
      <c r="B46" t="e">
        <f>IFERROR(VLOOKUP(A46, viernes!$A:$I, 9, FALSE), IFERROR(VLOOKUP(A46, jueves!$A:$I, 9, FALSE), IFERROR(VLOOKUP(A46, miercoles!$A:$I, 9, FALSE), IFERROR(VLOOKUP(A46, martes!$A:$I, 9, FALSE), IFERROR(VLOOKUP(A46, lunes!$A:$I, 9, FALSE), VLOOKUP(A46, Configuracion!$A:$B, 2, FALSE))))))</f>
        <v>#N/A</v>
      </c>
      <c r="E46">
        <f>IF(C46="Venta", IFERROR(VLOOKUP(A46, Configuracion!$A:$D, 3, FALSE), 0), 0)</f>
        <v>0</v>
      </c>
      <c r="F46">
        <f t="shared" si="1"/>
        <v>0</v>
      </c>
      <c r="H46">
        <f>IF(AND(G46="Gestor", A46&lt;&gt;""), VLOOKUP(A46, Configuracion!$A:$D, 4, FALSE), 0)*Tabla1027[[#This Row],[CANTIDAD]]</f>
        <v>0</v>
      </c>
      <c r="I46" t="str">
        <f t="shared" si="2"/>
        <v/>
      </c>
    </row>
    <row r="47" spans="2:14" x14ac:dyDescent="0.3">
      <c r="B47" t="e">
        <f>IFERROR(VLOOKUP(A47, viernes!$A:$I, 9, FALSE), IFERROR(VLOOKUP(A47, jueves!$A:$I, 9, FALSE), IFERROR(VLOOKUP(A47, miercoles!$A:$I, 9, FALSE), IFERROR(VLOOKUP(A47, martes!$A:$I, 9, FALSE), IFERROR(VLOOKUP(A47, lunes!$A:$I, 9, FALSE), VLOOKUP(A47, Configuracion!$A:$B, 2, FALSE))))))</f>
        <v>#N/A</v>
      </c>
      <c r="E47">
        <f>IF(C47="Venta", IFERROR(VLOOKUP(A47, Configuracion!$A:$D, 3, FALSE), 0), 0)</f>
        <v>0</v>
      </c>
      <c r="F47">
        <f t="shared" si="1"/>
        <v>0</v>
      </c>
      <c r="H47">
        <f>IF(AND(G47="Gestor", A47&lt;&gt;""), VLOOKUP(A47, Configuracion!$A:$D, 4, FALSE), 0)*Tabla1027[[#This Row],[CANTIDAD]]</f>
        <v>0</v>
      </c>
      <c r="I47" t="str">
        <f t="shared" si="2"/>
        <v/>
      </c>
    </row>
    <row r="48" spans="2:14" x14ac:dyDescent="0.3">
      <c r="B48" t="e">
        <f>IFERROR(VLOOKUP(A48, viernes!$A:$I, 9, FALSE), IFERROR(VLOOKUP(A48, jueves!$A:$I, 9, FALSE), IFERROR(VLOOKUP(A48, miercoles!$A:$I, 9, FALSE), IFERROR(VLOOKUP(A48, martes!$A:$I, 9, FALSE), IFERROR(VLOOKUP(A48, lunes!$A:$I, 9, FALSE), VLOOKUP(A48, Configuracion!$A:$B, 2, FALSE))))))</f>
        <v>#N/A</v>
      </c>
      <c r="E48">
        <f>IF(C48="Venta", IFERROR(VLOOKUP(A48, Configuracion!$A:$D, 3, FALSE), 0), 0)</f>
        <v>0</v>
      </c>
      <c r="F48">
        <f t="shared" si="1"/>
        <v>0</v>
      </c>
      <c r="H48">
        <f>IF(AND(G48="Gestor", A48&lt;&gt;""), VLOOKUP(A48, Configuracion!$A:$D, 4, FALSE), 0)*Tabla1027[[#This Row],[CANTIDAD]]</f>
        <v>0</v>
      </c>
      <c r="I48" t="str">
        <f t="shared" si="2"/>
        <v/>
      </c>
    </row>
    <row r="49" spans="2:9" x14ac:dyDescent="0.3">
      <c r="B49" t="e">
        <f>IFERROR(VLOOKUP(A49, viernes!$A:$I, 9, FALSE), IFERROR(VLOOKUP(A49, jueves!$A:$I, 9, FALSE), IFERROR(VLOOKUP(A49, miercoles!$A:$I, 9, FALSE), IFERROR(VLOOKUP(A49, martes!$A:$I, 9, FALSE), IFERROR(VLOOKUP(A49, lunes!$A:$I, 9, FALSE), VLOOKUP(A49, Configuracion!$A:$B, 2, FALSE))))))</f>
        <v>#N/A</v>
      </c>
      <c r="E49">
        <f>IF(C49="Venta", IFERROR(VLOOKUP(A49, Configuracion!$A:$D, 3, FALSE), 0), 0)</f>
        <v>0</v>
      </c>
      <c r="F49">
        <f t="shared" si="1"/>
        <v>0</v>
      </c>
      <c r="H49">
        <f>IF(AND(G49="Gestor", A49&lt;&gt;""), VLOOKUP(A49, Configuracion!$A:$D, 4, FALSE), 0)*Tabla1027[[#This Row],[CANTIDAD]]</f>
        <v>0</v>
      </c>
      <c r="I49" t="str">
        <f t="shared" si="2"/>
        <v/>
      </c>
    </row>
    <row r="50" spans="2:9" x14ac:dyDescent="0.3">
      <c r="B50" t="e">
        <f>IFERROR(VLOOKUP(A50, viernes!$A:$I, 9, FALSE), IFERROR(VLOOKUP(A50, jueves!$A:$I, 9, FALSE), IFERROR(VLOOKUP(A50, miercoles!$A:$I, 9, FALSE), IFERROR(VLOOKUP(A50, martes!$A:$I, 9, FALSE), IFERROR(VLOOKUP(A50, lunes!$A:$I, 9, FALSE), VLOOKUP(A50, Configuracion!$A:$B, 2, FALSE))))))</f>
        <v>#N/A</v>
      </c>
      <c r="E50">
        <f>IF(C50="Venta", IFERROR(VLOOKUP(A50, Configuracion!$A:$D, 3, FALSE), 0), 0)</f>
        <v>0</v>
      </c>
      <c r="F50">
        <f t="shared" si="1"/>
        <v>0</v>
      </c>
      <c r="H50">
        <f>IF(AND(G50="Gestor", A50&lt;&gt;""), VLOOKUP(A50, Configuracion!$A:$D, 4, FALSE), 0)*Tabla1027[[#This Row],[CANTIDAD]]</f>
        <v>0</v>
      </c>
      <c r="I50" t="str">
        <f t="shared" si="2"/>
        <v/>
      </c>
    </row>
    <row r="51" spans="2:9" x14ac:dyDescent="0.3">
      <c r="B51" t="e">
        <f>IFERROR(VLOOKUP(A51, viernes!$A:$I, 9, FALSE), IFERROR(VLOOKUP(A51, jueves!$A:$I, 9, FALSE), IFERROR(VLOOKUP(A51, miercoles!$A:$I, 9, FALSE), IFERROR(VLOOKUP(A51, martes!$A:$I, 9, FALSE), IFERROR(VLOOKUP(A51, lunes!$A:$I, 9, FALSE), VLOOKUP(A51, Configuracion!$A:$B, 2, FALSE))))))</f>
        <v>#N/A</v>
      </c>
      <c r="E51">
        <f>IF(C51="Venta", IFERROR(VLOOKUP(A51, Configuracion!$A:$D, 3, FALSE), 0), 0)</f>
        <v>0</v>
      </c>
      <c r="F51">
        <f t="shared" si="1"/>
        <v>0</v>
      </c>
      <c r="H51">
        <f>IF(AND(G51="Gestor", A51&lt;&gt;""), VLOOKUP(A51, Configuracion!$A:$D, 4, FALSE), 0)*Tabla1027[[#This Row],[CANTIDAD]]</f>
        <v>0</v>
      </c>
      <c r="I51" t="str">
        <f t="shared" si="2"/>
        <v/>
      </c>
    </row>
    <row r="52" spans="2:9" x14ac:dyDescent="0.3">
      <c r="B52" t="e">
        <f>IFERROR(VLOOKUP(A52, viernes!$A:$I, 9, FALSE), IFERROR(VLOOKUP(A52, jueves!$A:$I, 9, FALSE), IFERROR(VLOOKUP(A52, miercoles!$A:$I, 9, FALSE), IFERROR(VLOOKUP(A52, martes!$A:$I, 9, FALSE), IFERROR(VLOOKUP(A52, lunes!$A:$I, 9, FALSE), VLOOKUP(A52, Configuracion!$A:$B, 2, FALSE))))))</f>
        <v>#N/A</v>
      </c>
      <c r="E52">
        <f>IF(C52="Venta", IFERROR(VLOOKUP(A52, Configuracion!$A:$D, 3, FALSE), 0), 0)</f>
        <v>0</v>
      </c>
      <c r="F52">
        <f t="shared" si="1"/>
        <v>0</v>
      </c>
      <c r="H52">
        <f>IF(AND(G52="Gestor", A52&lt;&gt;""), VLOOKUP(A52, Configuracion!$A:$D, 4, FALSE), 0)*Tabla1027[[#This Row],[CANTIDAD]]</f>
        <v>0</v>
      </c>
      <c r="I52" t="str">
        <f t="shared" si="2"/>
        <v/>
      </c>
    </row>
    <row r="53" spans="2:9" x14ac:dyDescent="0.3">
      <c r="B53" t="e">
        <f>IFERROR(VLOOKUP(A53, viernes!$A:$I, 9, FALSE), IFERROR(VLOOKUP(A53, jueves!$A:$I, 9, FALSE), IFERROR(VLOOKUP(A53, miercoles!$A:$I, 9, FALSE), IFERROR(VLOOKUP(A53, martes!$A:$I, 9, FALSE), IFERROR(VLOOKUP(A53, lunes!$A:$I, 9, FALSE), VLOOKUP(A53, Configuracion!$A:$B, 2, FALSE))))))</f>
        <v>#N/A</v>
      </c>
      <c r="E53">
        <f>IF(C53="Venta", IFERROR(VLOOKUP(A53, Configuracion!$A:$D, 3, FALSE), 0), 0)</f>
        <v>0</v>
      </c>
      <c r="F53">
        <f t="shared" si="1"/>
        <v>0</v>
      </c>
      <c r="H53">
        <f>IF(AND(G53="Gestor", A53&lt;&gt;""), VLOOKUP(A53, Configuracion!$A:$D, 4, FALSE), 0)*Tabla1027[[#This Row],[CANTIDAD]]</f>
        <v>0</v>
      </c>
      <c r="I53" t="str">
        <f t="shared" si="2"/>
        <v/>
      </c>
    </row>
    <row r="54" spans="2:9" x14ac:dyDescent="0.3">
      <c r="B54" t="e">
        <f>IFERROR(VLOOKUP(A54, viernes!$A:$I, 9, FALSE), IFERROR(VLOOKUP(A54, jueves!$A:$I, 9, FALSE), IFERROR(VLOOKUP(A54, miercoles!$A:$I, 9, FALSE), IFERROR(VLOOKUP(A54, martes!$A:$I, 9, FALSE), IFERROR(VLOOKUP(A54, lunes!$A:$I, 9, FALSE), VLOOKUP(A54, Configuracion!$A:$B, 2, FALSE))))))</f>
        <v>#N/A</v>
      </c>
      <c r="E54">
        <f>IF(C54="Venta", IFERROR(VLOOKUP(A54, Configuracion!$A:$D, 3, FALSE), 0), 0)</f>
        <v>0</v>
      </c>
      <c r="F54">
        <f t="shared" si="1"/>
        <v>0</v>
      </c>
      <c r="H54">
        <f>IF(AND(G54="Gestor", A54&lt;&gt;""), VLOOKUP(A54, Configuracion!$A:$D, 4, FALSE), 0)*Tabla1027[[#This Row],[CANTIDAD]]</f>
        <v>0</v>
      </c>
      <c r="I54" t="str">
        <f t="shared" si="2"/>
        <v/>
      </c>
    </row>
    <row r="55" spans="2:9" x14ac:dyDescent="0.3">
      <c r="B55" t="e">
        <f>IFERROR(VLOOKUP(A55, viernes!$A:$I, 9, FALSE), IFERROR(VLOOKUP(A55, jueves!$A:$I, 9, FALSE), IFERROR(VLOOKUP(A55, miercoles!$A:$I, 9, FALSE), IFERROR(VLOOKUP(A55, martes!$A:$I, 9, FALSE), IFERROR(VLOOKUP(A55, lunes!$A:$I, 9, FALSE), VLOOKUP(A55, Configuracion!$A:$B, 2, FALSE))))))</f>
        <v>#N/A</v>
      </c>
      <c r="E55">
        <f>IF(C55="Venta", IFERROR(VLOOKUP(A55, Configuracion!$A:$D, 3, FALSE), 0), 0)</f>
        <v>0</v>
      </c>
      <c r="F55">
        <f t="shared" si="1"/>
        <v>0</v>
      </c>
      <c r="H55">
        <f>IF(AND(G55="Gestor", A55&lt;&gt;""), VLOOKUP(A55, Configuracion!$A:$D, 4, FALSE), 0)*Tabla1027[[#This Row],[CANTIDAD]]</f>
        <v>0</v>
      </c>
      <c r="I55" t="str">
        <f t="shared" si="2"/>
        <v/>
      </c>
    </row>
    <row r="56" spans="2:9" x14ac:dyDescent="0.3">
      <c r="B56" t="e">
        <f>IFERROR(VLOOKUP(A56, viernes!$A:$I, 9, FALSE), IFERROR(VLOOKUP(A56, jueves!$A:$I, 9, FALSE), IFERROR(VLOOKUP(A56, miercoles!$A:$I, 9, FALSE), IFERROR(VLOOKUP(A56, martes!$A:$I, 9, FALSE), IFERROR(VLOOKUP(A56, lunes!$A:$I, 9, FALSE), VLOOKUP(A56, Configuracion!$A:$B, 2, FALSE))))))</f>
        <v>#N/A</v>
      </c>
      <c r="E56">
        <f>IF(C56="Venta", IFERROR(VLOOKUP(A56, Configuracion!$A:$D, 3, FALSE), 0), 0)</f>
        <v>0</v>
      </c>
      <c r="F56">
        <f t="shared" si="1"/>
        <v>0</v>
      </c>
      <c r="H56">
        <f>IF(AND(G56="Gestor", A56&lt;&gt;""), VLOOKUP(A56, Configuracion!$A:$D, 4, FALSE), 0)*Tabla1027[[#This Row],[CANTIDAD]]</f>
        <v>0</v>
      </c>
      <c r="I56" t="str">
        <f t="shared" si="2"/>
        <v/>
      </c>
    </row>
    <row r="57" spans="2:9" x14ac:dyDescent="0.3">
      <c r="B57" t="e">
        <f>IFERROR(VLOOKUP(A57, viernes!$A:$I, 9, FALSE), IFERROR(VLOOKUP(A57, jueves!$A:$I, 9, FALSE), IFERROR(VLOOKUP(A57, miercoles!$A:$I, 9, FALSE), IFERROR(VLOOKUP(A57, martes!$A:$I, 9, FALSE), IFERROR(VLOOKUP(A57, lunes!$A:$I, 9, FALSE), VLOOKUP(A57, Configuracion!$A:$B, 2, FALSE))))))</f>
        <v>#N/A</v>
      </c>
      <c r="E57">
        <f>IF(C57="Venta", IFERROR(VLOOKUP(A57, Configuracion!$A:$D, 3, FALSE), 0), 0)</f>
        <v>0</v>
      </c>
      <c r="F57">
        <f t="shared" si="1"/>
        <v>0</v>
      </c>
      <c r="H57">
        <f>IF(AND(G57="Gestor", A57&lt;&gt;""), VLOOKUP(A57, Configuracion!$A:$D, 4, FALSE), 0)*Tabla1027[[#This Row],[CANTIDAD]]</f>
        <v>0</v>
      </c>
      <c r="I57" t="str">
        <f t="shared" si="2"/>
        <v/>
      </c>
    </row>
    <row r="58" spans="2:9" x14ac:dyDescent="0.3">
      <c r="B58" t="e">
        <f>IFERROR(VLOOKUP(A58, viernes!$A:$I, 9, FALSE), IFERROR(VLOOKUP(A58, jueves!$A:$I, 9, FALSE), IFERROR(VLOOKUP(A58, miercoles!$A:$I, 9, FALSE), IFERROR(VLOOKUP(A58, martes!$A:$I, 9, FALSE), IFERROR(VLOOKUP(A58, lunes!$A:$I, 9, FALSE), VLOOKUP(A58, Configuracion!$A:$B, 2, FALSE))))))</f>
        <v>#N/A</v>
      </c>
      <c r="E58">
        <f>IF(C58="Venta", IFERROR(VLOOKUP(A58, Configuracion!$A:$D, 3, FALSE), 0), 0)</f>
        <v>0</v>
      </c>
      <c r="F58">
        <f t="shared" si="1"/>
        <v>0</v>
      </c>
      <c r="H58">
        <f>IF(AND(G58="Gestor", A58&lt;&gt;""), VLOOKUP(A58, Configuracion!$A:$D, 4, FALSE), 0)*Tabla1027[[#This Row],[CANTIDAD]]</f>
        <v>0</v>
      </c>
      <c r="I58" t="str">
        <f t="shared" si="2"/>
        <v/>
      </c>
    </row>
    <row r="59" spans="2:9" x14ac:dyDescent="0.3">
      <c r="B59" t="e">
        <f>IFERROR(VLOOKUP(A59, viernes!$A:$I, 9, FALSE), IFERROR(VLOOKUP(A59, jueves!$A:$I, 9, FALSE), IFERROR(VLOOKUP(A59, miercoles!$A:$I, 9, FALSE), IFERROR(VLOOKUP(A59, martes!$A:$I, 9, FALSE), IFERROR(VLOOKUP(A59, lunes!$A:$I, 9, FALSE), VLOOKUP(A59, Configuracion!$A:$B, 2, FALSE))))))</f>
        <v>#N/A</v>
      </c>
      <c r="E59">
        <f>IF(C59="Venta", IFERROR(VLOOKUP(A59, Configuracion!$A:$D, 3, FALSE), 0), 0)</f>
        <v>0</v>
      </c>
      <c r="F59">
        <f t="shared" si="1"/>
        <v>0</v>
      </c>
      <c r="H59">
        <f>IF(AND(G59="Gestor", A59&lt;&gt;""), VLOOKUP(A59, Configuracion!$A:$D, 4, FALSE), 0)*Tabla1027[[#This Row],[CANTIDAD]]</f>
        <v>0</v>
      </c>
      <c r="I59" t="str">
        <f t="shared" si="2"/>
        <v/>
      </c>
    </row>
    <row r="60" spans="2:9" x14ac:dyDescent="0.3">
      <c r="B60" t="e">
        <f>IFERROR(VLOOKUP(A60, viernes!$A:$I, 9, FALSE), IFERROR(VLOOKUP(A60, jueves!$A:$I, 9, FALSE), IFERROR(VLOOKUP(A60, miercoles!$A:$I, 9, FALSE), IFERROR(VLOOKUP(A60, martes!$A:$I, 9, FALSE), IFERROR(VLOOKUP(A60, lunes!$A:$I, 9, FALSE), VLOOKUP(A60, Configuracion!$A:$B, 2, FALSE))))))</f>
        <v>#N/A</v>
      </c>
      <c r="E60">
        <f>IF(C60="Venta", IFERROR(VLOOKUP(A60, Configuracion!$A:$D, 3, FALSE), 0), 0)</f>
        <v>0</v>
      </c>
      <c r="F60">
        <f t="shared" si="1"/>
        <v>0</v>
      </c>
      <c r="H60">
        <f>IF(AND(G60="Gestor", A60&lt;&gt;""), VLOOKUP(A60, Configuracion!$A:$D, 4, FALSE), 0)*Tabla1027[[#This Row],[CANTIDAD]]</f>
        <v>0</v>
      </c>
      <c r="I60" t="str">
        <f t="shared" si="2"/>
        <v/>
      </c>
    </row>
    <row r="61" spans="2:9" x14ac:dyDescent="0.3">
      <c r="B61" t="e">
        <f>IFERROR(VLOOKUP(A61, viernes!$A:$I, 9, FALSE), IFERROR(VLOOKUP(A61, jueves!$A:$I, 9, FALSE), IFERROR(VLOOKUP(A61, miercoles!$A:$I, 9, FALSE), IFERROR(VLOOKUP(A61, martes!$A:$I, 9, FALSE), IFERROR(VLOOKUP(A61, lunes!$A:$I, 9, FALSE), VLOOKUP(A61, Configuracion!$A:$B, 2, FALSE))))))</f>
        <v>#N/A</v>
      </c>
      <c r="E61">
        <f>IF(C61="Venta", IFERROR(VLOOKUP(A61, Configuracion!$A:$D, 3, FALSE), 0), 0)</f>
        <v>0</v>
      </c>
      <c r="F61">
        <f t="shared" si="1"/>
        <v>0</v>
      </c>
      <c r="H61">
        <f>IF(AND(G61="Gestor", A61&lt;&gt;""), VLOOKUP(A61, Configuracion!$A:$D, 4, FALSE), 0)*Tabla1027[[#This Row],[CANTIDAD]]</f>
        <v>0</v>
      </c>
      <c r="I61" t="str">
        <f t="shared" si="2"/>
        <v/>
      </c>
    </row>
    <row r="62" spans="2:9" x14ac:dyDescent="0.3">
      <c r="B62" t="e">
        <f>IFERROR(VLOOKUP(A62, viernes!$A:$I, 9, FALSE), IFERROR(VLOOKUP(A62, jueves!$A:$I, 9, FALSE), IFERROR(VLOOKUP(A62, miercoles!$A:$I, 9, FALSE), IFERROR(VLOOKUP(A62, martes!$A:$I, 9, FALSE), IFERROR(VLOOKUP(A62, lunes!$A:$I, 9, FALSE), VLOOKUP(A62, Configuracion!$A:$B, 2, FALSE))))))</f>
        <v>#N/A</v>
      </c>
      <c r="E62">
        <f>IF(C62="Venta", IFERROR(VLOOKUP(A62, Configuracion!$A:$D, 3, FALSE), 0), 0)</f>
        <v>0</v>
      </c>
      <c r="F62">
        <f t="shared" si="1"/>
        <v>0</v>
      </c>
      <c r="H62">
        <f>IF(AND(G62="Gestor", A62&lt;&gt;""), VLOOKUP(A62, Configuracion!$A:$D, 4, FALSE), 0)*Tabla1027[[#This Row],[CANTIDAD]]</f>
        <v>0</v>
      </c>
      <c r="I62" t="str">
        <f t="shared" si="2"/>
        <v/>
      </c>
    </row>
    <row r="63" spans="2:9" x14ac:dyDescent="0.3">
      <c r="B63" t="e">
        <f>IFERROR(VLOOKUP(A63, viernes!$A:$I, 9, FALSE), IFERROR(VLOOKUP(A63, jueves!$A:$I, 9, FALSE), IFERROR(VLOOKUP(A63, miercoles!$A:$I, 9, FALSE), IFERROR(VLOOKUP(A63, martes!$A:$I, 9, FALSE), IFERROR(VLOOKUP(A63, lunes!$A:$I, 9, FALSE), VLOOKUP(A63, Configuracion!$A:$B, 2, FALSE))))))</f>
        <v>#N/A</v>
      </c>
      <c r="E63">
        <f>IF(C63="Venta", IFERROR(VLOOKUP(A63, Configuracion!$A:$D, 3, FALSE), 0), 0)</f>
        <v>0</v>
      </c>
      <c r="F63">
        <f t="shared" si="1"/>
        <v>0</v>
      </c>
      <c r="H63">
        <f>IF(AND(G63="Gestor", A63&lt;&gt;""), VLOOKUP(A63, Configuracion!$A:$D, 4, FALSE), 0)*Tabla1027[[#This Row],[CANTIDAD]]</f>
        <v>0</v>
      </c>
      <c r="I63" t="str">
        <f t="shared" si="2"/>
        <v/>
      </c>
    </row>
    <row r="64" spans="2:9" x14ac:dyDescent="0.3">
      <c r="B64" t="e">
        <f>IFERROR(VLOOKUP(A64, viernes!$A:$I, 9, FALSE), IFERROR(VLOOKUP(A64, jueves!$A:$I, 9, FALSE), IFERROR(VLOOKUP(A64, miercoles!$A:$I, 9, FALSE), IFERROR(VLOOKUP(A64, martes!$A:$I, 9, FALSE), IFERROR(VLOOKUP(A64, lunes!$A:$I, 9, FALSE), VLOOKUP(A64, Configuracion!$A:$B, 2, FALSE))))))</f>
        <v>#N/A</v>
      </c>
      <c r="E64">
        <f>IF(C64="Venta", IFERROR(VLOOKUP(A64, Configuracion!$A:$D, 3, FALSE), 0), 0)</f>
        <v>0</v>
      </c>
      <c r="F64">
        <f t="shared" si="1"/>
        <v>0</v>
      </c>
      <c r="H64">
        <f>IF(AND(G64="Gestor", A64&lt;&gt;""), VLOOKUP(A64, Configuracion!$A:$D, 4, FALSE), 0)*Tabla1027[[#This Row],[CANTIDAD]]</f>
        <v>0</v>
      </c>
      <c r="I64" t="str">
        <f t="shared" si="2"/>
        <v/>
      </c>
    </row>
    <row r="65" spans="2:9" x14ac:dyDescent="0.3">
      <c r="B65" t="e">
        <f>IFERROR(VLOOKUP(A65, viernes!$A:$I, 9, FALSE), IFERROR(VLOOKUP(A65, jueves!$A:$I, 9, FALSE), IFERROR(VLOOKUP(A65, miercoles!$A:$I, 9, FALSE), IFERROR(VLOOKUP(A65, martes!$A:$I, 9, FALSE), IFERROR(VLOOKUP(A65, lunes!$A:$I, 9, FALSE), VLOOKUP(A65, Configuracion!$A:$B, 2, FALSE))))))</f>
        <v>#N/A</v>
      </c>
      <c r="E65">
        <f>IF(C65="Venta", IFERROR(VLOOKUP(A65, Configuracion!$A:$D, 3, FALSE), 0), 0)</f>
        <v>0</v>
      </c>
      <c r="F65">
        <f t="shared" si="1"/>
        <v>0</v>
      </c>
      <c r="H65">
        <f>IF(AND(G65="Gestor", A65&lt;&gt;""), VLOOKUP(A65, Configuracion!$A:$D, 4, FALSE), 0)*Tabla1027[[#This Row],[CANTIDAD]]</f>
        <v>0</v>
      </c>
      <c r="I65" t="str">
        <f t="shared" si="2"/>
        <v/>
      </c>
    </row>
    <row r="66" spans="2:9" x14ac:dyDescent="0.3">
      <c r="B66" t="e">
        <f>IFERROR(VLOOKUP(A66, viernes!$A:$I, 9, FALSE), IFERROR(VLOOKUP(A66, jueves!$A:$I, 9, FALSE), IFERROR(VLOOKUP(A66, miercoles!$A:$I, 9, FALSE), IFERROR(VLOOKUP(A66, martes!$A:$I, 9, FALSE), IFERROR(VLOOKUP(A66, lunes!$A:$I, 9, FALSE), VLOOKUP(A66, Configuracion!$A:$B, 2, FALSE))))))</f>
        <v>#N/A</v>
      </c>
      <c r="E66">
        <f>IF(C66="Venta", IFERROR(VLOOKUP(A66, Configuracion!$A:$D, 3, FALSE), 0), 0)</f>
        <v>0</v>
      </c>
      <c r="F66">
        <f t="shared" si="1"/>
        <v>0</v>
      </c>
      <c r="H66">
        <f>IF(AND(G66="Gestor", A66&lt;&gt;""), VLOOKUP(A66, Configuracion!$A:$D, 4, FALSE), 0)*Tabla1027[[#This Row],[CANTIDAD]]</f>
        <v>0</v>
      </c>
      <c r="I66" t="str">
        <f t="shared" ref="I66:I97" si="3">IF(OR(A66="", D66=""), "", IF(C66="Entrada", B66+D66, IF(OR(C66="Venta", C66="Salida"), B66-D66, B66)))</f>
        <v/>
      </c>
    </row>
    <row r="67" spans="2:9" x14ac:dyDescent="0.3">
      <c r="B67" t="e">
        <f>IFERROR(VLOOKUP(A67, viernes!$A:$I, 9, FALSE), IFERROR(VLOOKUP(A67, jueves!$A:$I, 9, FALSE), IFERROR(VLOOKUP(A67, miercoles!$A:$I, 9, FALSE), IFERROR(VLOOKUP(A67, martes!$A:$I, 9, FALSE), IFERROR(VLOOKUP(A67, lunes!$A:$I, 9, FALSE), VLOOKUP(A67, Configuracion!$A:$B, 2, FALSE))))))</f>
        <v>#N/A</v>
      </c>
      <c r="E67">
        <f>IF(C67="Venta", IFERROR(VLOOKUP(A67, Configuracion!$A:$D, 3, FALSE), 0), 0)</f>
        <v>0</v>
      </c>
      <c r="F67">
        <f t="shared" si="1"/>
        <v>0</v>
      </c>
      <c r="H67">
        <f>IF(AND(G67="Gestor", A67&lt;&gt;""), VLOOKUP(A67, Configuracion!$A:$D, 4, FALSE), 0)*Tabla1027[[#This Row],[CANTIDAD]]</f>
        <v>0</v>
      </c>
      <c r="I67" t="str">
        <f t="shared" si="3"/>
        <v/>
      </c>
    </row>
    <row r="68" spans="2:9" x14ac:dyDescent="0.3">
      <c r="B68" t="e">
        <f>IFERROR(VLOOKUP(A68, viernes!$A:$I, 9, FALSE), IFERROR(VLOOKUP(A68, jueves!$A:$I, 9, FALSE), IFERROR(VLOOKUP(A68, miercoles!$A:$I, 9, FALSE), IFERROR(VLOOKUP(A68, martes!$A:$I, 9, FALSE), IFERROR(VLOOKUP(A68, lunes!$A:$I, 9, FALSE), VLOOKUP(A68, Configuracion!$A:$B, 2, FALSE))))))</f>
        <v>#N/A</v>
      </c>
      <c r="E68">
        <f>IF(C68="Venta", IFERROR(VLOOKUP(A68, Configuracion!$A:$D, 3, FALSE), 0), 0)</f>
        <v>0</v>
      </c>
      <c r="F68">
        <f t="shared" ref="F68:F131" si="4">E68*D68</f>
        <v>0</v>
      </c>
      <c r="H68">
        <f>IF(AND(G68="Gestor", A68&lt;&gt;""), VLOOKUP(A68, Configuracion!$A:$D, 4, FALSE), 0)*Tabla1027[[#This Row],[CANTIDAD]]</f>
        <v>0</v>
      </c>
      <c r="I68" t="str">
        <f t="shared" si="3"/>
        <v/>
      </c>
    </row>
    <row r="69" spans="2:9" x14ac:dyDescent="0.3">
      <c r="B69" t="e">
        <f>IFERROR(VLOOKUP(A69, viernes!$A:$I, 9, FALSE), IFERROR(VLOOKUP(A69, jueves!$A:$I, 9, FALSE), IFERROR(VLOOKUP(A69, miercoles!$A:$I, 9, FALSE), IFERROR(VLOOKUP(A69, martes!$A:$I, 9, FALSE), IFERROR(VLOOKUP(A69, lunes!$A:$I, 9, FALSE), VLOOKUP(A69, Configuracion!$A:$B, 2, FALSE))))))</f>
        <v>#N/A</v>
      </c>
      <c r="E69">
        <f>IF(C69="Venta", IFERROR(VLOOKUP(A69, Configuracion!$A:$D, 3, FALSE), 0), 0)</f>
        <v>0</v>
      </c>
      <c r="F69">
        <f t="shared" si="4"/>
        <v>0</v>
      </c>
      <c r="H69">
        <f>IF(AND(G69="Gestor", A69&lt;&gt;""), VLOOKUP(A69, Configuracion!$A:$D, 4, FALSE), 0)*Tabla1027[[#This Row],[CANTIDAD]]</f>
        <v>0</v>
      </c>
      <c r="I69" t="str">
        <f t="shared" si="3"/>
        <v/>
      </c>
    </row>
    <row r="70" spans="2:9" x14ac:dyDescent="0.3">
      <c r="B70" t="e">
        <f>IFERROR(VLOOKUP(A70, viernes!$A:$I, 9, FALSE), IFERROR(VLOOKUP(A70, jueves!$A:$I, 9, FALSE), IFERROR(VLOOKUP(A70, miercoles!$A:$I, 9, FALSE), IFERROR(VLOOKUP(A70, martes!$A:$I, 9, FALSE), IFERROR(VLOOKUP(A70, lunes!$A:$I, 9, FALSE), VLOOKUP(A70, Configuracion!$A:$B, 2, FALSE))))))</f>
        <v>#N/A</v>
      </c>
      <c r="E70">
        <f>IF(C70="Venta", IFERROR(VLOOKUP(A70, Configuracion!$A:$D, 3, FALSE), 0), 0)</f>
        <v>0</v>
      </c>
      <c r="F70">
        <f t="shared" si="4"/>
        <v>0</v>
      </c>
      <c r="H70">
        <f>IF(AND(G70="Gestor", A70&lt;&gt;""), VLOOKUP(A70, Configuracion!$A:$D, 4, FALSE), 0)*Tabla1027[[#This Row],[CANTIDAD]]</f>
        <v>0</v>
      </c>
      <c r="I70" t="str">
        <f t="shared" si="3"/>
        <v/>
      </c>
    </row>
    <row r="71" spans="2:9" x14ac:dyDescent="0.3">
      <c r="B71" t="e">
        <f>IFERROR(VLOOKUP(A71, viernes!$A:$I, 9, FALSE), IFERROR(VLOOKUP(A71, jueves!$A:$I, 9, FALSE), IFERROR(VLOOKUP(A71, miercoles!$A:$I, 9, FALSE), IFERROR(VLOOKUP(A71, martes!$A:$I, 9, FALSE), IFERROR(VLOOKUP(A71, lunes!$A:$I, 9, FALSE), VLOOKUP(A71, Configuracion!$A:$B, 2, FALSE))))))</f>
        <v>#N/A</v>
      </c>
      <c r="E71">
        <f>IF(C71="Venta", IFERROR(VLOOKUP(A71, Configuracion!$A:$D, 3, FALSE), 0), 0)</f>
        <v>0</v>
      </c>
      <c r="F71">
        <f t="shared" si="4"/>
        <v>0</v>
      </c>
      <c r="H71">
        <f>IF(AND(G71="Gestor", A71&lt;&gt;""), VLOOKUP(A71, Configuracion!$A:$D, 4, FALSE), 0)*Tabla1027[[#This Row],[CANTIDAD]]</f>
        <v>0</v>
      </c>
      <c r="I71" t="str">
        <f t="shared" si="3"/>
        <v/>
      </c>
    </row>
    <row r="72" spans="2:9" x14ac:dyDescent="0.3">
      <c r="B72" t="e">
        <f>IFERROR(VLOOKUP(A72, viernes!$A:$I, 9, FALSE), IFERROR(VLOOKUP(A72, jueves!$A:$I, 9, FALSE), IFERROR(VLOOKUP(A72, miercoles!$A:$I, 9, FALSE), IFERROR(VLOOKUP(A72, martes!$A:$I, 9, FALSE), IFERROR(VLOOKUP(A72, lunes!$A:$I, 9, FALSE), VLOOKUP(A72, Configuracion!$A:$B, 2, FALSE))))))</f>
        <v>#N/A</v>
      </c>
      <c r="E72">
        <f>IF(C72="Venta", IFERROR(VLOOKUP(A72, Configuracion!$A:$D, 3, FALSE), 0), 0)</f>
        <v>0</v>
      </c>
      <c r="F72">
        <f t="shared" si="4"/>
        <v>0</v>
      </c>
      <c r="H72">
        <f>IF(AND(G72="Gestor", A72&lt;&gt;""), VLOOKUP(A72, Configuracion!$A:$D, 4, FALSE), 0)*Tabla1027[[#This Row],[CANTIDAD]]</f>
        <v>0</v>
      </c>
      <c r="I72" t="str">
        <f t="shared" si="3"/>
        <v/>
      </c>
    </row>
    <row r="73" spans="2:9" x14ac:dyDescent="0.3">
      <c r="B73" t="e">
        <f>IFERROR(VLOOKUP(A73, viernes!$A:$I, 9, FALSE), IFERROR(VLOOKUP(A73, jueves!$A:$I, 9, FALSE), IFERROR(VLOOKUP(A73, miercoles!$A:$I, 9, FALSE), IFERROR(VLOOKUP(A73, martes!$A:$I, 9, FALSE), IFERROR(VLOOKUP(A73, lunes!$A:$I, 9, FALSE), VLOOKUP(A73, Configuracion!$A:$B, 2, FALSE))))))</f>
        <v>#N/A</v>
      </c>
      <c r="E73">
        <f>IF(C73="Venta", IFERROR(VLOOKUP(A73, Configuracion!$A:$D, 3, FALSE), 0), 0)</f>
        <v>0</v>
      </c>
      <c r="F73">
        <f t="shared" si="4"/>
        <v>0</v>
      </c>
      <c r="H73">
        <f>IF(AND(G73="Gestor", A73&lt;&gt;""), VLOOKUP(A73, Configuracion!$A:$D, 4, FALSE), 0)*Tabla1027[[#This Row],[CANTIDAD]]</f>
        <v>0</v>
      </c>
      <c r="I73" t="str">
        <f t="shared" si="3"/>
        <v/>
      </c>
    </row>
    <row r="74" spans="2:9" x14ac:dyDescent="0.3">
      <c r="B74" t="e">
        <f>IFERROR(VLOOKUP(A74, viernes!$A:$I, 9, FALSE), IFERROR(VLOOKUP(A74, jueves!$A:$I, 9, FALSE), IFERROR(VLOOKUP(A74, miercoles!$A:$I, 9, FALSE), IFERROR(VLOOKUP(A74, martes!$A:$I, 9, FALSE), IFERROR(VLOOKUP(A74, lunes!$A:$I, 9, FALSE), VLOOKUP(A74, Configuracion!$A:$B, 2, FALSE))))))</f>
        <v>#N/A</v>
      </c>
      <c r="E74">
        <f>IF(C74="Venta", IFERROR(VLOOKUP(A74, Configuracion!$A:$D, 3, FALSE), 0), 0)</f>
        <v>0</v>
      </c>
      <c r="F74">
        <f t="shared" si="4"/>
        <v>0</v>
      </c>
      <c r="H74">
        <f>IF(AND(G74="Gestor", A74&lt;&gt;""), VLOOKUP(A74, Configuracion!$A:$D, 4, FALSE), 0)*Tabla1027[[#This Row],[CANTIDAD]]</f>
        <v>0</v>
      </c>
      <c r="I74" t="str">
        <f t="shared" si="3"/>
        <v/>
      </c>
    </row>
    <row r="75" spans="2:9" x14ac:dyDescent="0.3">
      <c r="B75" t="e">
        <f>IFERROR(VLOOKUP(A75, viernes!$A:$I, 9, FALSE), IFERROR(VLOOKUP(A75, jueves!$A:$I, 9, FALSE), IFERROR(VLOOKUP(A75, miercoles!$A:$I, 9, FALSE), IFERROR(VLOOKUP(A75, martes!$A:$I, 9, FALSE), IFERROR(VLOOKUP(A75, lunes!$A:$I, 9, FALSE), VLOOKUP(A75, Configuracion!$A:$B, 2, FALSE))))))</f>
        <v>#N/A</v>
      </c>
      <c r="E75">
        <f>IF(C75="Venta", IFERROR(VLOOKUP(A75, Configuracion!$A:$D, 3, FALSE), 0), 0)</f>
        <v>0</v>
      </c>
      <c r="F75">
        <f t="shared" si="4"/>
        <v>0</v>
      </c>
      <c r="H75">
        <f>IF(AND(G75="Gestor", A75&lt;&gt;""), VLOOKUP(A75, Configuracion!$A:$D, 4, FALSE), 0)*Tabla1027[[#This Row],[CANTIDAD]]</f>
        <v>0</v>
      </c>
      <c r="I75" t="str">
        <f t="shared" si="3"/>
        <v/>
      </c>
    </row>
    <row r="76" spans="2:9" x14ac:dyDescent="0.3">
      <c r="B76" t="e">
        <f>IFERROR(VLOOKUP(A76, viernes!$A:$I, 9, FALSE), IFERROR(VLOOKUP(A76, jueves!$A:$I, 9, FALSE), IFERROR(VLOOKUP(A76, miercoles!$A:$I, 9, FALSE), IFERROR(VLOOKUP(A76, martes!$A:$I, 9, FALSE), IFERROR(VLOOKUP(A76, lunes!$A:$I, 9, FALSE), VLOOKUP(A76, Configuracion!$A:$B, 2, FALSE))))))</f>
        <v>#N/A</v>
      </c>
      <c r="E76">
        <f>IF(C76="Venta", IFERROR(VLOOKUP(A76, Configuracion!$A:$D, 3, FALSE), 0), 0)</f>
        <v>0</v>
      </c>
      <c r="F76">
        <f t="shared" si="4"/>
        <v>0</v>
      </c>
      <c r="H76">
        <f>IF(AND(G76="Gestor", A76&lt;&gt;""), VLOOKUP(A76, Configuracion!$A:$D, 4, FALSE), 0)*Tabla1027[[#This Row],[CANTIDAD]]</f>
        <v>0</v>
      </c>
      <c r="I76" t="str">
        <f t="shared" si="3"/>
        <v/>
      </c>
    </row>
    <row r="77" spans="2:9" x14ac:dyDescent="0.3">
      <c r="B77" t="e">
        <f>IFERROR(VLOOKUP(A77, viernes!$A:$I, 9, FALSE), IFERROR(VLOOKUP(A77, jueves!$A:$I, 9, FALSE), IFERROR(VLOOKUP(A77, miercoles!$A:$I, 9, FALSE), IFERROR(VLOOKUP(A77, martes!$A:$I, 9, FALSE), IFERROR(VLOOKUP(A77, lunes!$A:$I, 9, FALSE), VLOOKUP(A77, Configuracion!$A:$B, 2, FALSE))))))</f>
        <v>#N/A</v>
      </c>
      <c r="E77">
        <f>IF(C77="Venta", IFERROR(VLOOKUP(A77, Configuracion!$A:$D, 3, FALSE), 0), 0)</f>
        <v>0</v>
      </c>
      <c r="F77">
        <f t="shared" si="4"/>
        <v>0</v>
      </c>
      <c r="H77">
        <f>IF(AND(G77="Gestor", A77&lt;&gt;""), VLOOKUP(A77, Configuracion!$A:$D, 4, FALSE), 0)*Tabla1027[[#This Row],[CANTIDAD]]</f>
        <v>0</v>
      </c>
      <c r="I77" t="str">
        <f t="shared" si="3"/>
        <v/>
      </c>
    </row>
    <row r="78" spans="2:9" x14ac:dyDescent="0.3">
      <c r="B78" t="e">
        <f>IFERROR(VLOOKUP(A78, viernes!$A:$I, 9, FALSE), IFERROR(VLOOKUP(A78, jueves!$A:$I, 9, FALSE), IFERROR(VLOOKUP(A78, miercoles!$A:$I, 9, FALSE), IFERROR(VLOOKUP(A78, martes!$A:$I, 9, FALSE), IFERROR(VLOOKUP(A78, lunes!$A:$I, 9, FALSE), VLOOKUP(A78, Configuracion!$A:$B, 2, FALSE))))))</f>
        <v>#N/A</v>
      </c>
      <c r="E78">
        <f>IF(C78="Venta", IFERROR(VLOOKUP(A78, Configuracion!$A:$D, 3, FALSE), 0), 0)</f>
        <v>0</v>
      </c>
      <c r="F78">
        <f t="shared" si="4"/>
        <v>0</v>
      </c>
      <c r="H78">
        <f>IF(AND(G78="Gestor", A78&lt;&gt;""), VLOOKUP(A78, Configuracion!$A:$D, 4, FALSE), 0)*Tabla1027[[#This Row],[CANTIDAD]]</f>
        <v>0</v>
      </c>
      <c r="I78" t="str">
        <f t="shared" si="3"/>
        <v/>
      </c>
    </row>
    <row r="79" spans="2:9" x14ac:dyDescent="0.3">
      <c r="B79" t="e">
        <f>IFERROR(VLOOKUP(A79, viernes!$A:$I, 9, FALSE), IFERROR(VLOOKUP(A79, jueves!$A:$I, 9, FALSE), IFERROR(VLOOKUP(A79, miercoles!$A:$I, 9, FALSE), IFERROR(VLOOKUP(A79, martes!$A:$I, 9, FALSE), IFERROR(VLOOKUP(A79, lunes!$A:$I, 9, FALSE), VLOOKUP(A79, Configuracion!$A:$B, 2, FALSE))))))</f>
        <v>#N/A</v>
      </c>
      <c r="E79">
        <f>IF(C79="Venta", IFERROR(VLOOKUP(A79, Configuracion!$A:$D, 3, FALSE), 0), 0)</f>
        <v>0</v>
      </c>
      <c r="F79">
        <f t="shared" si="4"/>
        <v>0</v>
      </c>
      <c r="H79">
        <f>IF(AND(G79="Gestor", A79&lt;&gt;""), VLOOKUP(A79, Configuracion!$A:$D, 4, FALSE), 0)*Tabla1027[[#This Row],[CANTIDAD]]</f>
        <v>0</v>
      </c>
      <c r="I79" t="str">
        <f t="shared" si="3"/>
        <v/>
      </c>
    </row>
    <row r="80" spans="2:9" x14ac:dyDescent="0.3">
      <c r="B80" t="e">
        <f>IFERROR(VLOOKUP(A80, viernes!$A:$I, 9, FALSE), IFERROR(VLOOKUP(A80, jueves!$A:$I, 9, FALSE), IFERROR(VLOOKUP(A80, miercoles!$A:$I, 9, FALSE), IFERROR(VLOOKUP(A80, martes!$A:$I, 9, FALSE), IFERROR(VLOOKUP(A80, lunes!$A:$I, 9, FALSE), VLOOKUP(A80, Configuracion!$A:$B, 2, FALSE))))))</f>
        <v>#N/A</v>
      </c>
      <c r="E80">
        <f>IF(C80="Venta", IFERROR(VLOOKUP(A80, Configuracion!$A:$D, 3, FALSE), 0), 0)</f>
        <v>0</v>
      </c>
      <c r="F80">
        <f t="shared" si="4"/>
        <v>0</v>
      </c>
      <c r="H80">
        <f>IF(AND(G80="Gestor", A80&lt;&gt;""), VLOOKUP(A80, Configuracion!$A:$D, 4, FALSE), 0)*Tabla1027[[#This Row],[CANTIDAD]]</f>
        <v>0</v>
      </c>
      <c r="I80" t="str">
        <f t="shared" si="3"/>
        <v/>
      </c>
    </row>
    <row r="81" spans="2:9" x14ac:dyDescent="0.3">
      <c r="B81" t="e">
        <f>IFERROR(VLOOKUP(A81, viernes!$A:$I, 9, FALSE), IFERROR(VLOOKUP(A81, jueves!$A:$I, 9, FALSE), IFERROR(VLOOKUP(A81, miercoles!$A:$I, 9, FALSE), IFERROR(VLOOKUP(A81, martes!$A:$I, 9, FALSE), IFERROR(VLOOKUP(A81, lunes!$A:$I, 9, FALSE), VLOOKUP(A81, Configuracion!$A:$B, 2, FALSE))))))</f>
        <v>#N/A</v>
      </c>
      <c r="E81">
        <f>IF(C81="Venta", IFERROR(VLOOKUP(A81, Configuracion!$A:$D, 3, FALSE), 0), 0)</f>
        <v>0</v>
      </c>
      <c r="F81">
        <f t="shared" si="4"/>
        <v>0</v>
      </c>
      <c r="H81">
        <f>IF(AND(G81="Gestor", A81&lt;&gt;""), VLOOKUP(A81, Configuracion!$A:$D, 4, FALSE), 0)*Tabla1027[[#This Row],[CANTIDAD]]</f>
        <v>0</v>
      </c>
      <c r="I81" t="str">
        <f t="shared" si="3"/>
        <v/>
      </c>
    </row>
    <row r="82" spans="2:9" x14ac:dyDescent="0.3">
      <c r="B82" t="e">
        <f>IFERROR(VLOOKUP(A82, viernes!$A:$I, 9, FALSE), IFERROR(VLOOKUP(A82, jueves!$A:$I, 9, FALSE), IFERROR(VLOOKUP(A82, miercoles!$A:$I, 9, FALSE), IFERROR(VLOOKUP(A82, martes!$A:$I, 9, FALSE), IFERROR(VLOOKUP(A82, lunes!$A:$I, 9, FALSE), VLOOKUP(A82, Configuracion!$A:$B, 2, FALSE))))))</f>
        <v>#N/A</v>
      </c>
      <c r="E82">
        <f>IF(C82="Venta", IFERROR(VLOOKUP(A82, Configuracion!$A:$D, 3, FALSE), 0), 0)</f>
        <v>0</v>
      </c>
      <c r="F82">
        <f t="shared" si="4"/>
        <v>0</v>
      </c>
      <c r="H82">
        <f>IF(AND(G82="Gestor", A82&lt;&gt;""), VLOOKUP(A82, Configuracion!$A:$D, 4, FALSE), 0)*Tabla1027[[#This Row],[CANTIDAD]]</f>
        <v>0</v>
      </c>
      <c r="I82" t="str">
        <f t="shared" si="3"/>
        <v/>
      </c>
    </row>
    <row r="83" spans="2:9" x14ac:dyDescent="0.3">
      <c r="B83" t="e">
        <f>IFERROR(VLOOKUP(A83, viernes!$A:$I, 9, FALSE), IFERROR(VLOOKUP(A83, jueves!$A:$I, 9, FALSE), IFERROR(VLOOKUP(A83, miercoles!$A:$I, 9, FALSE), IFERROR(VLOOKUP(A83, martes!$A:$I, 9, FALSE), IFERROR(VLOOKUP(A83, lunes!$A:$I, 9, FALSE), VLOOKUP(A83, Configuracion!$A:$B, 2, FALSE))))))</f>
        <v>#N/A</v>
      </c>
      <c r="E83">
        <f>IF(C83="Venta", IFERROR(VLOOKUP(A83, Configuracion!$A:$D, 3, FALSE), 0), 0)</f>
        <v>0</v>
      </c>
      <c r="F83">
        <f t="shared" si="4"/>
        <v>0</v>
      </c>
      <c r="H83">
        <f>IF(AND(G83="Gestor", A83&lt;&gt;""), VLOOKUP(A83, Configuracion!$A:$D, 4, FALSE), 0)*Tabla1027[[#This Row],[CANTIDAD]]</f>
        <v>0</v>
      </c>
      <c r="I83" t="str">
        <f t="shared" si="3"/>
        <v/>
      </c>
    </row>
    <row r="84" spans="2:9" x14ac:dyDescent="0.3">
      <c r="B84" t="e">
        <f>IFERROR(VLOOKUP(A84, viernes!$A:$I, 9, FALSE), IFERROR(VLOOKUP(A84, jueves!$A:$I, 9, FALSE), IFERROR(VLOOKUP(A84, miercoles!$A:$I, 9, FALSE), IFERROR(VLOOKUP(A84, martes!$A:$I, 9, FALSE), IFERROR(VLOOKUP(A84, lunes!$A:$I, 9, FALSE), VLOOKUP(A84, Configuracion!$A:$B, 2, FALSE))))))</f>
        <v>#N/A</v>
      </c>
      <c r="E84">
        <f>IF(C84="Venta", IFERROR(VLOOKUP(A84, Configuracion!$A:$D, 3, FALSE), 0), 0)</f>
        <v>0</v>
      </c>
      <c r="F84">
        <f t="shared" si="4"/>
        <v>0</v>
      </c>
      <c r="H84">
        <f>IF(AND(G84="Gestor", A84&lt;&gt;""), VLOOKUP(A84, Configuracion!$A:$D, 4, FALSE), 0)*Tabla1027[[#This Row],[CANTIDAD]]</f>
        <v>0</v>
      </c>
      <c r="I84" t="str">
        <f t="shared" si="3"/>
        <v/>
      </c>
    </row>
    <row r="85" spans="2:9" x14ac:dyDescent="0.3">
      <c r="B85" t="e">
        <f>IFERROR(VLOOKUP(A85, viernes!$A:$I, 9, FALSE), IFERROR(VLOOKUP(A85, jueves!$A:$I, 9, FALSE), IFERROR(VLOOKUP(A85, miercoles!$A:$I, 9, FALSE), IFERROR(VLOOKUP(A85, martes!$A:$I, 9, FALSE), IFERROR(VLOOKUP(A85, lunes!$A:$I, 9, FALSE), VLOOKUP(A85, Configuracion!$A:$B, 2, FALSE))))))</f>
        <v>#N/A</v>
      </c>
      <c r="E85">
        <f>IF(C85="Venta", IFERROR(VLOOKUP(A85, Configuracion!$A:$D, 3, FALSE), 0), 0)</f>
        <v>0</v>
      </c>
      <c r="F85">
        <f t="shared" si="4"/>
        <v>0</v>
      </c>
      <c r="H85">
        <f>IF(AND(G85="Gestor", A85&lt;&gt;""), VLOOKUP(A85, Configuracion!$A:$D, 4, FALSE), 0)*Tabla1027[[#This Row],[CANTIDAD]]</f>
        <v>0</v>
      </c>
      <c r="I85" t="str">
        <f t="shared" si="3"/>
        <v/>
      </c>
    </row>
    <row r="86" spans="2:9" x14ac:dyDescent="0.3">
      <c r="B86" t="e">
        <f>IFERROR(VLOOKUP(A86, viernes!$A:$I, 9, FALSE), IFERROR(VLOOKUP(A86, jueves!$A:$I, 9, FALSE), IFERROR(VLOOKUP(A86, miercoles!$A:$I, 9, FALSE), IFERROR(VLOOKUP(A86, martes!$A:$I, 9, FALSE), IFERROR(VLOOKUP(A86, lunes!$A:$I, 9, FALSE), VLOOKUP(A86, Configuracion!$A:$B, 2, FALSE))))))</f>
        <v>#N/A</v>
      </c>
      <c r="E86">
        <f>IF(C86="Venta", IFERROR(VLOOKUP(A86, Configuracion!$A:$D, 3, FALSE), 0), 0)</f>
        <v>0</v>
      </c>
      <c r="F86">
        <f t="shared" si="4"/>
        <v>0</v>
      </c>
      <c r="H86">
        <f>IF(AND(G86="Gestor", A86&lt;&gt;""), VLOOKUP(A86, Configuracion!$A:$D, 4, FALSE), 0)*Tabla1027[[#This Row],[CANTIDAD]]</f>
        <v>0</v>
      </c>
      <c r="I86" t="str">
        <f t="shared" si="3"/>
        <v/>
      </c>
    </row>
    <row r="87" spans="2:9" x14ac:dyDescent="0.3">
      <c r="B87" t="e">
        <f>IFERROR(VLOOKUP(A87, viernes!$A:$I, 9, FALSE), IFERROR(VLOOKUP(A87, jueves!$A:$I, 9, FALSE), IFERROR(VLOOKUP(A87, miercoles!$A:$I, 9, FALSE), IFERROR(VLOOKUP(A87, martes!$A:$I, 9, FALSE), IFERROR(VLOOKUP(A87, lunes!$A:$I, 9, FALSE), VLOOKUP(A87, Configuracion!$A:$B, 2, FALSE))))))</f>
        <v>#N/A</v>
      </c>
      <c r="E87">
        <f>IF(C87="Venta", IFERROR(VLOOKUP(A87, Configuracion!$A:$D, 3, FALSE), 0), 0)</f>
        <v>0</v>
      </c>
      <c r="F87">
        <f t="shared" si="4"/>
        <v>0</v>
      </c>
      <c r="H87">
        <f>IF(AND(G87="Gestor", A87&lt;&gt;""), VLOOKUP(A87, Configuracion!$A:$D, 4, FALSE), 0)*Tabla1027[[#This Row],[CANTIDAD]]</f>
        <v>0</v>
      </c>
      <c r="I87" t="str">
        <f t="shared" si="3"/>
        <v/>
      </c>
    </row>
    <row r="88" spans="2:9" x14ac:dyDescent="0.3">
      <c r="B88" t="e">
        <f>IFERROR(VLOOKUP(A88, viernes!$A:$I, 9, FALSE), IFERROR(VLOOKUP(A88, jueves!$A:$I, 9, FALSE), IFERROR(VLOOKUP(A88, miercoles!$A:$I, 9, FALSE), IFERROR(VLOOKUP(A88, martes!$A:$I, 9, FALSE), IFERROR(VLOOKUP(A88, lunes!$A:$I, 9, FALSE), VLOOKUP(A88, Configuracion!$A:$B, 2, FALSE))))))</f>
        <v>#N/A</v>
      </c>
      <c r="E88">
        <f>IF(C88="Venta", IFERROR(VLOOKUP(A88, Configuracion!$A:$D, 3, FALSE), 0), 0)</f>
        <v>0</v>
      </c>
      <c r="F88">
        <f t="shared" si="4"/>
        <v>0</v>
      </c>
      <c r="H88">
        <f>IF(AND(G88="Gestor", A88&lt;&gt;""), VLOOKUP(A88, Configuracion!$A:$D, 4, FALSE), 0)*Tabla1027[[#This Row],[CANTIDAD]]</f>
        <v>0</v>
      </c>
      <c r="I88" t="str">
        <f t="shared" si="3"/>
        <v/>
      </c>
    </row>
    <row r="89" spans="2:9" x14ac:dyDescent="0.3">
      <c r="B89" t="e">
        <f>IFERROR(VLOOKUP(A89, viernes!$A:$I, 9, FALSE), IFERROR(VLOOKUP(A89, jueves!$A:$I, 9, FALSE), IFERROR(VLOOKUP(A89, miercoles!$A:$I, 9, FALSE), IFERROR(VLOOKUP(A89, martes!$A:$I, 9, FALSE), IFERROR(VLOOKUP(A89, lunes!$A:$I, 9, FALSE), VLOOKUP(A89, Configuracion!$A:$B, 2, FALSE))))))</f>
        <v>#N/A</v>
      </c>
      <c r="E89">
        <f>IF(C89="Venta", IFERROR(VLOOKUP(A89, Configuracion!$A:$D, 3, FALSE), 0), 0)</f>
        <v>0</v>
      </c>
      <c r="F89">
        <f t="shared" si="4"/>
        <v>0</v>
      </c>
      <c r="H89">
        <f>IF(AND(G89="Gestor", A89&lt;&gt;""), VLOOKUP(A89, Configuracion!$A:$D, 4, FALSE), 0)*Tabla1027[[#This Row],[CANTIDAD]]</f>
        <v>0</v>
      </c>
      <c r="I89" t="str">
        <f t="shared" si="3"/>
        <v/>
      </c>
    </row>
    <row r="90" spans="2:9" x14ac:dyDescent="0.3">
      <c r="B90" t="e">
        <f>IFERROR(VLOOKUP(A90, viernes!$A:$I, 9, FALSE), IFERROR(VLOOKUP(A90, jueves!$A:$I, 9, FALSE), IFERROR(VLOOKUP(A90, miercoles!$A:$I, 9, FALSE), IFERROR(VLOOKUP(A90, martes!$A:$I, 9, FALSE), IFERROR(VLOOKUP(A90, lunes!$A:$I, 9, FALSE), VLOOKUP(A90, Configuracion!$A:$B, 2, FALSE))))))</f>
        <v>#N/A</v>
      </c>
      <c r="E90">
        <f>IF(C90="Venta", IFERROR(VLOOKUP(A90, Configuracion!$A:$D, 3, FALSE), 0), 0)</f>
        <v>0</v>
      </c>
      <c r="F90">
        <f t="shared" si="4"/>
        <v>0</v>
      </c>
      <c r="H90">
        <f>IF(AND(G90="Gestor", A90&lt;&gt;""), VLOOKUP(A90, Configuracion!$A:$D, 4, FALSE), 0)*Tabla1027[[#This Row],[CANTIDAD]]</f>
        <v>0</v>
      </c>
      <c r="I90" t="str">
        <f t="shared" si="3"/>
        <v/>
      </c>
    </row>
    <row r="91" spans="2:9" x14ac:dyDescent="0.3">
      <c r="B91" t="e">
        <f>IFERROR(VLOOKUP(A91, viernes!$A:$I, 9, FALSE), IFERROR(VLOOKUP(A91, jueves!$A:$I, 9, FALSE), IFERROR(VLOOKUP(A91, miercoles!$A:$I, 9, FALSE), IFERROR(VLOOKUP(A91, martes!$A:$I, 9, FALSE), IFERROR(VLOOKUP(A91, lunes!$A:$I, 9, FALSE), VLOOKUP(A91, Configuracion!$A:$B, 2, FALSE))))))</f>
        <v>#N/A</v>
      </c>
      <c r="E91">
        <f>IF(C91="Venta", IFERROR(VLOOKUP(A91, Configuracion!$A:$D, 3, FALSE), 0), 0)</f>
        <v>0</v>
      </c>
      <c r="F91">
        <f t="shared" si="4"/>
        <v>0</v>
      </c>
      <c r="H91">
        <f>IF(AND(G91="Gestor", A91&lt;&gt;""), VLOOKUP(A91, Configuracion!$A:$D, 4, FALSE), 0)*Tabla1027[[#This Row],[CANTIDAD]]</f>
        <v>0</v>
      </c>
      <c r="I91" t="str">
        <f t="shared" si="3"/>
        <v/>
      </c>
    </row>
    <row r="92" spans="2:9" x14ac:dyDescent="0.3">
      <c r="B92" t="e">
        <f>IFERROR(VLOOKUP(A92, viernes!$A:$I, 9, FALSE), IFERROR(VLOOKUP(A92, jueves!$A:$I, 9, FALSE), IFERROR(VLOOKUP(A92, miercoles!$A:$I, 9, FALSE), IFERROR(VLOOKUP(A92, martes!$A:$I, 9, FALSE), IFERROR(VLOOKUP(A92, lunes!$A:$I, 9, FALSE), VLOOKUP(A92, Configuracion!$A:$B, 2, FALSE))))))</f>
        <v>#N/A</v>
      </c>
      <c r="E92">
        <f>IF(C92="Venta", IFERROR(VLOOKUP(A92, Configuracion!$A:$D, 3, FALSE), 0), 0)</f>
        <v>0</v>
      </c>
      <c r="F92">
        <f t="shared" si="4"/>
        <v>0</v>
      </c>
      <c r="H92">
        <f>IF(AND(G92="Gestor", A92&lt;&gt;""), VLOOKUP(A92, Configuracion!$A:$D, 4, FALSE), 0)*Tabla1027[[#This Row],[CANTIDAD]]</f>
        <v>0</v>
      </c>
      <c r="I92" t="str">
        <f t="shared" si="3"/>
        <v/>
      </c>
    </row>
    <row r="93" spans="2:9" x14ac:dyDescent="0.3">
      <c r="B93" t="e">
        <f>IFERROR(VLOOKUP(A93, viernes!$A:$I, 9, FALSE), IFERROR(VLOOKUP(A93, jueves!$A:$I, 9, FALSE), IFERROR(VLOOKUP(A93, miercoles!$A:$I, 9, FALSE), IFERROR(VLOOKUP(A93, martes!$A:$I, 9, FALSE), IFERROR(VLOOKUP(A93, lunes!$A:$I, 9, FALSE), VLOOKUP(A93, Configuracion!$A:$B, 2, FALSE))))))</f>
        <v>#N/A</v>
      </c>
      <c r="E93">
        <f>IF(C93="Venta", IFERROR(VLOOKUP(A93, Configuracion!$A:$D, 3, FALSE), 0), 0)</f>
        <v>0</v>
      </c>
      <c r="F93">
        <f t="shared" si="4"/>
        <v>0</v>
      </c>
      <c r="H93">
        <f>IF(AND(G93="Gestor", A93&lt;&gt;""), VLOOKUP(A93, Configuracion!$A:$D, 4, FALSE), 0)*Tabla1027[[#This Row],[CANTIDAD]]</f>
        <v>0</v>
      </c>
      <c r="I93" t="str">
        <f t="shared" si="3"/>
        <v/>
      </c>
    </row>
    <row r="94" spans="2:9" x14ac:dyDescent="0.3">
      <c r="B94" t="e">
        <f>IFERROR(VLOOKUP(A94, viernes!$A:$I, 9, FALSE), IFERROR(VLOOKUP(A94, jueves!$A:$I, 9, FALSE), IFERROR(VLOOKUP(A94, miercoles!$A:$I, 9, FALSE), IFERROR(VLOOKUP(A94, martes!$A:$I, 9, FALSE), IFERROR(VLOOKUP(A94, lunes!$A:$I, 9, FALSE), VLOOKUP(A94, Configuracion!$A:$B, 2, FALSE))))))</f>
        <v>#N/A</v>
      </c>
      <c r="E94">
        <f>IF(C94="Venta", IFERROR(VLOOKUP(A94, Configuracion!$A:$D, 3, FALSE), 0), 0)</f>
        <v>0</v>
      </c>
      <c r="F94">
        <f t="shared" si="4"/>
        <v>0</v>
      </c>
      <c r="H94">
        <f>IF(AND(G94="Gestor", A94&lt;&gt;""), VLOOKUP(A94, Configuracion!$A:$D, 4, FALSE), 0)*Tabla1027[[#This Row],[CANTIDAD]]</f>
        <v>0</v>
      </c>
      <c r="I94" t="str">
        <f t="shared" si="3"/>
        <v/>
      </c>
    </row>
    <row r="95" spans="2:9" x14ac:dyDescent="0.3">
      <c r="B95" t="e">
        <f>IFERROR(VLOOKUP(A95, viernes!$A:$I, 9, FALSE), IFERROR(VLOOKUP(A95, jueves!$A:$I, 9, FALSE), IFERROR(VLOOKUP(A95, miercoles!$A:$I, 9, FALSE), IFERROR(VLOOKUP(A95, martes!$A:$I, 9, FALSE), IFERROR(VLOOKUP(A95, lunes!$A:$I, 9, FALSE), VLOOKUP(A95, Configuracion!$A:$B, 2, FALSE))))))</f>
        <v>#N/A</v>
      </c>
      <c r="E95">
        <f>IF(C95="Venta", IFERROR(VLOOKUP(A95, Configuracion!$A:$D, 3, FALSE), 0), 0)</f>
        <v>0</v>
      </c>
      <c r="F95">
        <f t="shared" si="4"/>
        <v>0</v>
      </c>
      <c r="H95">
        <f>IF(AND(G95="Gestor", A95&lt;&gt;""), VLOOKUP(A95, Configuracion!$A:$D, 4, FALSE), 0)*Tabla1027[[#This Row],[CANTIDAD]]</f>
        <v>0</v>
      </c>
      <c r="I95" t="str">
        <f t="shared" si="3"/>
        <v/>
      </c>
    </row>
    <row r="96" spans="2:9" x14ac:dyDescent="0.3">
      <c r="B96" t="e">
        <f>IFERROR(VLOOKUP(A96, viernes!$A:$I, 9, FALSE), IFERROR(VLOOKUP(A96, jueves!$A:$I, 9, FALSE), IFERROR(VLOOKUP(A96, miercoles!$A:$I, 9, FALSE), IFERROR(VLOOKUP(A96, martes!$A:$I, 9, FALSE), IFERROR(VLOOKUP(A96, lunes!$A:$I, 9, FALSE), VLOOKUP(A96, Configuracion!$A:$B, 2, FALSE))))))</f>
        <v>#N/A</v>
      </c>
      <c r="E96">
        <f>IF(C96="Venta", IFERROR(VLOOKUP(A96, Configuracion!$A:$D, 3, FALSE), 0), 0)</f>
        <v>0</v>
      </c>
      <c r="F96">
        <f t="shared" si="4"/>
        <v>0</v>
      </c>
      <c r="H96">
        <f>IF(AND(G96="Gestor", A96&lt;&gt;""), VLOOKUP(A96, Configuracion!$A:$D, 4, FALSE), 0)*Tabla1027[[#This Row],[CANTIDAD]]</f>
        <v>0</v>
      </c>
      <c r="I96" t="str">
        <f t="shared" si="3"/>
        <v/>
      </c>
    </row>
    <row r="97" spans="2:9" x14ac:dyDescent="0.3">
      <c r="B97" t="e">
        <f>IFERROR(VLOOKUP(A97, viernes!$A:$I, 9, FALSE), IFERROR(VLOOKUP(A97, jueves!$A:$I, 9, FALSE), IFERROR(VLOOKUP(A97, miercoles!$A:$I, 9, FALSE), IFERROR(VLOOKUP(A97, martes!$A:$I, 9, FALSE), IFERROR(VLOOKUP(A97, lunes!$A:$I, 9, FALSE), VLOOKUP(A97, Configuracion!$A:$B, 2, FALSE))))))</f>
        <v>#N/A</v>
      </c>
      <c r="E97">
        <f>IF(C97="Venta", IFERROR(VLOOKUP(A97, Configuracion!$A:$D, 3, FALSE), 0), 0)</f>
        <v>0</v>
      </c>
      <c r="F97">
        <f t="shared" si="4"/>
        <v>0</v>
      </c>
      <c r="H97">
        <f>IF(AND(G97="Gestor", A97&lt;&gt;""), VLOOKUP(A97, Configuracion!$A:$D, 4, FALSE), 0)*Tabla1027[[#This Row],[CANTIDAD]]</f>
        <v>0</v>
      </c>
      <c r="I97" t="str">
        <f t="shared" si="3"/>
        <v/>
      </c>
    </row>
    <row r="98" spans="2:9" x14ac:dyDescent="0.3">
      <c r="B98" t="e">
        <f>IFERROR(VLOOKUP(A98, viernes!$A:$I, 9, FALSE), IFERROR(VLOOKUP(A98, jueves!$A:$I, 9, FALSE), IFERROR(VLOOKUP(A98, miercoles!$A:$I, 9, FALSE), IFERROR(VLOOKUP(A98, martes!$A:$I, 9, FALSE), IFERROR(VLOOKUP(A98, lunes!$A:$I, 9, FALSE), VLOOKUP(A98, Configuracion!$A:$B, 2, FALSE))))))</f>
        <v>#N/A</v>
      </c>
      <c r="E98">
        <f>IF(C98="Venta", IFERROR(VLOOKUP(A98, Configuracion!$A:$D, 3, FALSE), 0), 0)</f>
        <v>0</v>
      </c>
      <c r="F98">
        <f t="shared" si="4"/>
        <v>0</v>
      </c>
      <c r="H98">
        <f>IF(AND(G98="Gestor", A98&lt;&gt;""), VLOOKUP(A98, Configuracion!$A:$D, 4, FALSE), 0)*Tabla1027[[#This Row],[CANTIDAD]]</f>
        <v>0</v>
      </c>
      <c r="I98" t="str">
        <f t="shared" ref="I98:I129" si="5">IF(OR(A98="", D98=""), "", IF(C98="Entrada", B98+D98, IF(OR(C98="Venta", C98="Salida"), B98-D98, B98)))</f>
        <v/>
      </c>
    </row>
    <row r="99" spans="2:9" x14ac:dyDescent="0.3">
      <c r="B99" t="e">
        <f>IFERROR(VLOOKUP(A99, viernes!$A:$I, 9, FALSE), IFERROR(VLOOKUP(A99, jueves!$A:$I, 9, FALSE), IFERROR(VLOOKUP(A99, miercoles!$A:$I, 9, FALSE), IFERROR(VLOOKUP(A99, martes!$A:$I, 9, FALSE), IFERROR(VLOOKUP(A99, lunes!$A:$I, 9, FALSE), VLOOKUP(A99, Configuracion!$A:$B, 2, FALSE))))))</f>
        <v>#N/A</v>
      </c>
      <c r="E99">
        <f>IF(C99="Venta", IFERROR(VLOOKUP(A99, Configuracion!$A:$D, 3, FALSE), 0), 0)</f>
        <v>0</v>
      </c>
      <c r="F99">
        <f t="shared" si="4"/>
        <v>0</v>
      </c>
      <c r="H99">
        <f>IF(AND(G99="Gestor", A99&lt;&gt;""), VLOOKUP(A99, Configuracion!$A:$D, 4, FALSE), 0)*Tabla1027[[#This Row],[CANTIDAD]]</f>
        <v>0</v>
      </c>
      <c r="I99" t="str">
        <f t="shared" si="5"/>
        <v/>
      </c>
    </row>
    <row r="100" spans="2:9" x14ac:dyDescent="0.3">
      <c r="B100" t="e">
        <f>IFERROR(VLOOKUP(A100, viernes!$A:$I, 9, FALSE), IFERROR(VLOOKUP(A100, jueves!$A:$I, 9, FALSE), IFERROR(VLOOKUP(A100, miercoles!$A:$I, 9, FALSE), IFERROR(VLOOKUP(A100, martes!$A:$I, 9, FALSE), IFERROR(VLOOKUP(A100, lunes!$A:$I, 9, FALSE), VLOOKUP(A100, Configuracion!$A:$B, 2, FALSE))))))</f>
        <v>#N/A</v>
      </c>
      <c r="E100">
        <f>IF(C100="Venta", IFERROR(VLOOKUP(A100, Configuracion!$A:$D, 3, FALSE), 0), 0)</f>
        <v>0</v>
      </c>
      <c r="F100">
        <f t="shared" si="4"/>
        <v>0</v>
      </c>
      <c r="H100">
        <f>IF(AND(G100="Gestor", A100&lt;&gt;""), VLOOKUP(A100, Configuracion!$A:$D, 4, FALSE), 0)*Tabla1027[[#This Row],[CANTIDAD]]</f>
        <v>0</v>
      </c>
      <c r="I100" t="str">
        <f t="shared" si="5"/>
        <v/>
      </c>
    </row>
    <row r="101" spans="2:9" x14ac:dyDescent="0.3">
      <c r="B101" t="e">
        <f>IFERROR(VLOOKUP(A101, viernes!$A:$I, 9, FALSE), IFERROR(VLOOKUP(A101, jueves!$A:$I, 9, FALSE), IFERROR(VLOOKUP(A101, miercoles!$A:$I, 9, FALSE), IFERROR(VLOOKUP(A101, martes!$A:$I, 9, FALSE), IFERROR(VLOOKUP(A101, lunes!$A:$I, 9, FALSE), VLOOKUP(A101, Configuracion!$A:$B, 2, FALSE))))))</f>
        <v>#N/A</v>
      </c>
      <c r="E101">
        <f>IF(C101="Venta", IFERROR(VLOOKUP(A101, Configuracion!$A:$D, 3, FALSE), 0), 0)</f>
        <v>0</v>
      </c>
      <c r="F101">
        <f t="shared" si="4"/>
        <v>0</v>
      </c>
      <c r="H101">
        <f>IF(AND(G101="Gestor", A101&lt;&gt;""), VLOOKUP(A101, Configuracion!$A:$D, 4, FALSE), 0)*Tabla1027[[#This Row],[CANTIDAD]]</f>
        <v>0</v>
      </c>
      <c r="I101" t="str">
        <f t="shared" si="5"/>
        <v/>
      </c>
    </row>
    <row r="102" spans="2:9" x14ac:dyDescent="0.3">
      <c r="B102" t="e">
        <f>IFERROR(VLOOKUP(A102, viernes!$A:$I, 9, FALSE), IFERROR(VLOOKUP(A102, jueves!$A:$I, 9, FALSE), IFERROR(VLOOKUP(A102, miercoles!$A:$I, 9, FALSE), IFERROR(VLOOKUP(A102, martes!$A:$I, 9, FALSE), IFERROR(VLOOKUP(A102, lunes!$A:$I, 9, FALSE), VLOOKUP(A102, Configuracion!$A:$B, 2, FALSE))))))</f>
        <v>#N/A</v>
      </c>
      <c r="E102">
        <f>IF(C102="Venta", IFERROR(VLOOKUP(A102, Configuracion!$A:$D, 3, FALSE), 0), 0)</f>
        <v>0</v>
      </c>
      <c r="F102">
        <f t="shared" si="4"/>
        <v>0</v>
      </c>
      <c r="H102">
        <f>IF(AND(G102="Gestor", A102&lt;&gt;""), VLOOKUP(A102, Configuracion!$A:$D, 4, FALSE), 0)*Tabla1027[[#This Row],[CANTIDAD]]</f>
        <v>0</v>
      </c>
      <c r="I102" t="str">
        <f t="shared" si="5"/>
        <v/>
      </c>
    </row>
    <row r="103" spans="2:9" x14ac:dyDescent="0.3">
      <c r="B103" t="e">
        <f>IFERROR(VLOOKUP(A103, viernes!$A:$I, 9, FALSE), IFERROR(VLOOKUP(A103, jueves!$A:$I, 9, FALSE), IFERROR(VLOOKUP(A103, miercoles!$A:$I, 9, FALSE), IFERROR(VLOOKUP(A103, martes!$A:$I, 9, FALSE), IFERROR(VLOOKUP(A103, lunes!$A:$I, 9, FALSE), VLOOKUP(A103, Configuracion!$A:$B, 2, FALSE))))))</f>
        <v>#N/A</v>
      </c>
      <c r="E103">
        <f>IF(C103="Venta", IFERROR(VLOOKUP(A103, Configuracion!$A:$D, 3, FALSE), 0), 0)</f>
        <v>0</v>
      </c>
      <c r="F103">
        <f t="shared" si="4"/>
        <v>0</v>
      </c>
      <c r="H103">
        <f>IF(AND(G103="Gestor", A103&lt;&gt;""), VLOOKUP(A103, Configuracion!$A:$D, 4, FALSE), 0)*Tabla1027[[#This Row],[CANTIDAD]]</f>
        <v>0</v>
      </c>
      <c r="I103" t="str">
        <f t="shared" si="5"/>
        <v/>
      </c>
    </row>
    <row r="104" spans="2:9" x14ac:dyDescent="0.3">
      <c r="B104" t="e">
        <f>IFERROR(VLOOKUP(A104, viernes!$A:$I, 9, FALSE), IFERROR(VLOOKUP(A104, jueves!$A:$I, 9, FALSE), IFERROR(VLOOKUP(A104, miercoles!$A:$I, 9, FALSE), IFERROR(VLOOKUP(A104, martes!$A:$I, 9, FALSE), IFERROR(VLOOKUP(A104, lunes!$A:$I, 9, FALSE), VLOOKUP(A104, Configuracion!$A:$B, 2, FALSE))))))</f>
        <v>#N/A</v>
      </c>
      <c r="E104">
        <f>IF(C104="Venta", IFERROR(VLOOKUP(A104, Configuracion!$A:$D, 3, FALSE), 0), 0)</f>
        <v>0</v>
      </c>
      <c r="F104">
        <f t="shared" si="4"/>
        <v>0</v>
      </c>
      <c r="H104">
        <f>IF(AND(G104="Gestor", A104&lt;&gt;""), VLOOKUP(A104, Configuracion!$A:$D, 4, FALSE), 0)*Tabla1027[[#This Row],[CANTIDAD]]</f>
        <v>0</v>
      </c>
      <c r="I104" t="str">
        <f t="shared" si="5"/>
        <v/>
      </c>
    </row>
    <row r="105" spans="2:9" x14ac:dyDescent="0.3">
      <c r="B105" t="e">
        <f>IFERROR(VLOOKUP(A105, viernes!$A:$I, 9, FALSE), IFERROR(VLOOKUP(A105, jueves!$A:$I, 9, FALSE), IFERROR(VLOOKUP(A105, miercoles!$A:$I, 9, FALSE), IFERROR(VLOOKUP(A105, martes!$A:$I, 9, FALSE), IFERROR(VLOOKUP(A105, lunes!$A:$I, 9, FALSE), VLOOKUP(A105, Configuracion!$A:$B, 2, FALSE))))))</f>
        <v>#N/A</v>
      </c>
      <c r="E105">
        <f>IF(C105="Venta", IFERROR(VLOOKUP(A105, Configuracion!$A:$D, 3, FALSE), 0), 0)</f>
        <v>0</v>
      </c>
      <c r="F105">
        <f t="shared" si="4"/>
        <v>0</v>
      </c>
      <c r="H105">
        <f>IF(AND(G105="Gestor", A105&lt;&gt;""), VLOOKUP(A105, Configuracion!$A:$D, 4, FALSE), 0)*Tabla1027[[#This Row],[CANTIDAD]]</f>
        <v>0</v>
      </c>
      <c r="I105" t="str">
        <f t="shared" si="5"/>
        <v/>
      </c>
    </row>
    <row r="106" spans="2:9" x14ac:dyDescent="0.3">
      <c r="B106" t="e">
        <f>IFERROR(VLOOKUP(A106, viernes!$A:$I, 9, FALSE), IFERROR(VLOOKUP(A106, jueves!$A:$I, 9, FALSE), IFERROR(VLOOKUP(A106, miercoles!$A:$I, 9, FALSE), IFERROR(VLOOKUP(A106, martes!$A:$I, 9, FALSE), IFERROR(VLOOKUP(A106, lunes!$A:$I, 9, FALSE), VLOOKUP(A106, Configuracion!$A:$B, 2, FALSE))))))</f>
        <v>#N/A</v>
      </c>
      <c r="E106">
        <f>IF(C106="Venta", IFERROR(VLOOKUP(A106, Configuracion!$A:$D, 3, FALSE), 0), 0)</f>
        <v>0</v>
      </c>
      <c r="F106">
        <f t="shared" si="4"/>
        <v>0</v>
      </c>
      <c r="H106">
        <f>IF(AND(G106="Gestor", A106&lt;&gt;""), VLOOKUP(A106, Configuracion!$A:$D, 4, FALSE), 0)*Tabla1027[[#This Row],[CANTIDAD]]</f>
        <v>0</v>
      </c>
      <c r="I106" t="str">
        <f t="shared" si="5"/>
        <v/>
      </c>
    </row>
    <row r="107" spans="2:9" x14ac:dyDescent="0.3">
      <c r="B107" t="e">
        <f>IFERROR(VLOOKUP(A107, viernes!$A:$I, 9, FALSE), IFERROR(VLOOKUP(A107, jueves!$A:$I, 9, FALSE), IFERROR(VLOOKUP(A107, miercoles!$A:$I, 9, FALSE), IFERROR(VLOOKUP(A107, martes!$A:$I, 9, FALSE), IFERROR(VLOOKUP(A107, lunes!$A:$I, 9, FALSE), VLOOKUP(A107, Configuracion!$A:$B, 2, FALSE))))))</f>
        <v>#N/A</v>
      </c>
      <c r="E107">
        <f>IF(C107="Venta", IFERROR(VLOOKUP(A107, Configuracion!$A:$D, 3, FALSE), 0), 0)</f>
        <v>0</v>
      </c>
      <c r="F107">
        <f t="shared" si="4"/>
        <v>0</v>
      </c>
      <c r="H107">
        <f>IF(AND(G107="Gestor", A107&lt;&gt;""), VLOOKUP(A107, Configuracion!$A:$D, 4, FALSE), 0)*Tabla1027[[#This Row],[CANTIDAD]]</f>
        <v>0</v>
      </c>
      <c r="I107" t="str">
        <f t="shared" si="5"/>
        <v/>
      </c>
    </row>
    <row r="108" spans="2:9" x14ac:dyDescent="0.3">
      <c r="B108" t="e">
        <f>IFERROR(VLOOKUP(A108, viernes!$A:$I, 9, FALSE), IFERROR(VLOOKUP(A108, jueves!$A:$I, 9, FALSE), IFERROR(VLOOKUP(A108, miercoles!$A:$I, 9, FALSE), IFERROR(VLOOKUP(A108, martes!$A:$I, 9, FALSE), IFERROR(VLOOKUP(A108, lunes!$A:$I, 9, FALSE), VLOOKUP(A108, Configuracion!$A:$B, 2, FALSE))))))</f>
        <v>#N/A</v>
      </c>
      <c r="E108">
        <f>IF(C108="Venta", IFERROR(VLOOKUP(A108, Configuracion!$A:$D, 3, FALSE), 0), 0)</f>
        <v>0</v>
      </c>
      <c r="F108">
        <f t="shared" si="4"/>
        <v>0</v>
      </c>
      <c r="H108">
        <f>IF(AND(G108="Gestor", A108&lt;&gt;""), VLOOKUP(A108, Configuracion!$A:$D, 4, FALSE), 0)*Tabla1027[[#This Row],[CANTIDAD]]</f>
        <v>0</v>
      </c>
      <c r="I108" t="str">
        <f t="shared" si="5"/>
        <v/>
      </c>
    </row>
    <row r="109" spans="2:9" x14ac:dyDescent="0.3">
      <c r="B109" t="e">
        <f>IFERROR(VLOOKUP(A109, viernes!$A:$I, 9, FALSE), IFERROR(VLOOKUP(A109, jueves!$A:$I, 9, FALSE), IFERROR(VLOOKUP(A109, miercoles!$A:$I, 9, FALSE), IFERROR(VLOOKUP(A109, martes!$A:$I, 9, FALSE), IFERROR(VLOOKUP(A109, lunes!$A:$I, 9, FALSE), VLOOKUP(A109, Configuracion!$A:$B, 2, FALSE))))))</f>
        <v>#N/A</v>
      </c>
      <c r="E109">
        <f>IF(C109="Venta", IFERROR(VLOOKUP(A109, Configuracion!$A:$D, 3, FALSE), 0), 0)</f>
        <v>0</v>
      </c>
      <c r="F109">
        <f t="shared" si="4"/>
        <v>0</v>
      </c>
      <c r="H109">
        <f>IF(AND(G109="Gestor", A109&lt;&gt;""), VLOOKUP(A109, Configuracion!$A:$D, 4, FALSE), 0)*Tabla1027[[#This Row],[CANTIDAD]]</f>
        <v>0</v>
      </c>
      <c r="I109" t="str">
        <f t="shared" si="5"/>
        <v/>
      </c>
    </row>
    <row r="110" spans="2:9" x14ac:dyDescent="0.3">
      <c r="B110" t="e">
        <f>IFERROR(VLOOKUP(A110, viernes!$A:$I, 9, FALSE), IFERROR(VLOOKUP(A110, jueves!$A:$I, 9, FALSE), IFERROR(VLOOKUP(A110, miercoles!$A:$I, 9, FALSE), IFERROR(VLOOKUP(A110, martes!$A:$I, 9, FALSE), IFERROR(VLOOKUP(A110, lunes!$A:$I, 9, FALSE), VLOOKUP(A110, Configuracion!$A:$B, 2, FALSE))))))</f>
        <v>#N/A</v>
      </c>
      <c r="E110">
        <f>IF(C110="Venta", IFERROR(VLOOKUP(A110, Configuracion!$A:$D, 3, FALSE), 0), 0)</f>
        <v>0</v>
      </c>
      <c r="F110">
        <f t="shared" si="4"/>
        <v>0</v>
      </c>
      <c r="H110">
        <f>IF(AND(G110="Gestor", A110&lt;&gt;""), VLOOKUP(A110, Configuracion!$A:$D, 4, FALSE), 0)*Tabla1027[[#This Row],[CANTIDAD]]</f>
        <v>0</v>
      </c>
      <c r="I110" t="str">
        <f t="shared" si="5"/>
        <v/>
      </c>
    </row>
    <row r="111" spans="2:9" x14ac:dyDescent="0.3">
      <c r="B111" t="e">
        <f>IFERROR(VLOOKUP(A111, viernes!$A:$I, 9, FALSE), IFERROR(VLOOKUP(A111, jueves!$A:$I, 9, FALSE), IFERROR(VLOOKUP(A111, miercoles!$A:$I, 9, FALSE), IFERROR(VLOOKUP(A111, martes!$A:$I, 9, FALSE), IFERROR(VLOOKUP(A111, lunes!$A:$I, 9, FALSE), VLOOKUP(A111, Configuracion!$A:$B, 2, FALSE))))))</f>
        <v>#N/A</v>
      </c>
      <c r="E111">
        <f>IF(C111="Venta", IFERROR(VLOOKUP(A111, Configuracion!$A:$D, 3, FALSE), 0), 0)</f>
        <v>0</v>
      </c>
      <c r="F111">
        <f t="shared" si="4"/>
        <v>0</v>
      </c>
      <c r="H111">
        <f>IF(AND(G111="Gestor", A111&lt;&gt;""), VLOOKUP(A111, Configuracion!$A:$D, 4, FALSE), 0)*Tabla1027[[#This Row],[CANTIDAD]]</f>
        <v>0</v>
      </c>
      <c r="I111" t="str">
        <f t="shared" si="5"/>
        <v/>
      </c>
    </row>
    <row r="112" spans="2:9" x14ac:dyDescent="0.3">
      <c r="B112" t="e">
        <f>IFERROR(VLOOKUP(A112, viernes!$A:$I, 9, FALSE), IFERROR(VLOOKUP(A112, jueves!$A:$I, 9, FALSE), IFERROR(VLOOKUP(A112, miercoles!$A:$I, 9, FALSE), IFERROR(VLOOKUP(A112, martes!$A:$I, 9, FALSE), IFERROR(VLOOKUP(A112, lunes!$A:$I, 9, FALSE), VLOOKUP(A112, Configuracion!$A:$B, 2, FALSE))))))</f>
        <v>#N/A</v>
      </c>
      <c r="E112">
        <f>IF(C112="Venta", IFERROR(VLOOKUP(A112, Configuracion!$A:$D, 3, FALSE), 0), 0)</f>
        <v>0</v>
      </c>
      <c r="F112">
        <f t="shared" si="4"/>
        <v>0</v>
      </c>
      <c r="H112">
        <f>IF(AND(G112="Gestor", A112&lt;&gt;""), VLOOKUP(A112, Configuracion!$A:$D, 4, FALSE), 0)*Tabla1027[[#This Row],[CANTIDAD]]</f>
        <v>0</v>
      </c>
      <c r="I112" t="str">
        <f t="shared" si="5"/>
        <v/>
      </c>
    </row>
    <row r="113" spans="2:9" x14ac:dyDescent="0.3">
      <c r="B113" t="e">
        <f>IFERROR(VLOOKUP(A113, viernes!$A:$I, 9, FALSE), IFERROR(VLOOKUP(A113, jueves!$A:$I, 9, FALSE), IFERROR(VLOOKUP(A113, miercoles!$A:$I, 9, FALSE), IFERROR(VLOOKUP(A113, martes!$A:$I, 9, FALSE), IFERROR(VLOOKUP(A113, lunes!$A:$I, 9, FALSE), VLOOKUP(A113, Configuracion!$A:$B, 2, FALSE))))))</f>
        <v>#N/A</v>
      </c>
      <c r="E113">
        <f>IF(C113="Venta", IFERROR(VLOOKUP(A113, Configuracion!$A:$D, 3, FALSE), 0), 0)</f>
        <v>0</v>
      </c>
      <c r="F113">
        <f t="shared" si="4"/>
        <v>0</v>
      </c>
      <c r="H113">
        <f>IF(AND(G113="Gestor", A113&lt;&gt;""), VLOOKUP(A113, Configuracion!$A:$D, 4, FALSE), 0)*Tabla1027[[#This Row],[CANTIDAD]]</f>
        <v>0</v>
      </c>
      <c r="I113" t="str">
        <f t="shared" si="5"/>
        <v/>
      </c>
    </row>
    <row r="114" spans="2:9" x14ac:dyDescent="0.3">
      <c r="B114" t="e">
        <f>IFERROR(VLOOKUP(A114, viernes!$A:$I, 9, FALSE), IFERROR(VLOOKUP(A114, jueves!$A:$I, 9, FALSE), IFERROR(VLOOKUP(A114, miercoles!$A:$I, 9, FALSE), IFERROR(VLOOKUP(A114, martes!$A:$I, 9, FALSE), IFERROR(VLOOKUP(A114, lunes!$A:$I, 9, FALSE), VLOOKUP(A114, Configuracion!$A:$B, 2, FALSE))))))</f>
        <v>#N/A</v>
      </c>
      <c r="E114">
        <f>IF(C114="Venta", IFERROR(VLOOKUP(A114, Configuracion!$A:$D, 3, FALSE), 0), 0)</f>
        <v>0</v>
      </c>
      <c r="F114">
        <f t="shared" si="4"/>
        <v>0</v>
      </c>
      <c r="H114">
        <f>IF(AND(G114="Gestor", A114&lt;&gt;""), VLOOKUP(A114, Configuracion!$A:$D, 4, FALSE), 0)*Tabla1027[[#This Row],[CANTIDAD]]</f>
        <v>0</v>
      </c>
      <c r="I114" t="str">
        <f t="shared" si="5"/>
        <v/>
      </c>
    </row>
    <row r="115" spans="2:9" x14ac:dyDescent="0.3">
      <c r="B115" t="e">
        <f>IFERROR(VLOOKUP(A115, viernes!$A:$I, 9, FALSE), IFERROR(VLOOKUP(A115, jueves!$A:$I, 9, FALSE), IFERROR(VLOOKUP(A115, miercoles!$A:$I, 9, FALSE), IFERROR(VLOOKUP(A115, martes!$A:$I, 9, FALSE), IFERROR(VLOOKUP(A115, lunes!$A:$I, 9, FALSE), VLOOKUP(A115, Configuracion!$A:$B, 2, FALSE))))))</f>
        <v>#N/A</v>
      </c>
      <c r="E115">
        <f>IF(C115="Venta", IFERROR(VLOOKUP(A115, Configuracion!$A:$D, 3, FALSE), 0), 0)</f>
        <v>0</v>
      </c>
      <c r="F115">
        <f t="shared" si="4"/>
        <v>0</v>
      </c>
      <c r="H115">
        <f>IF(AND(G115="Gestor", A115&lt;&gt;""), VLOOKUP(A115, Configuracion!$A:$D, 4, FALSE), 0)*Tabla1027[[#This Row],[CANTIDAD]]</f>
        <v>0</v>
      </c>
      <c r="I115" t="str">
        <f t="shared" si="5"/>
        <v/>
      </c>
    </row>
    <row r="116" spans="2:9" x14ac:dyDescent="0.3">
      <c r="B116" t="e">
        <f>IFERROR(VLOOKUP(A116, viernes!$A:$I, 9, FALSE), IFERROR(VLOOKUP(A116, jueves!$A:$I, 9, FALSE), IFERROR(VLOOKUP(A116, miercoles!$A:$I, 9, FALSE), IFERROR(VLOOKUP(A116, martes!$A:$I, 9, FALSE), IFERROR(VLOOKUP(A116, lunes!$A:$I, 9, FALSE), VLOOKUP(A116, Configuracion!$A:$B, 2, FALSE))))))</f>
        <v>#N/A</v>
      </c>
      <c r="E116">
        <f>IF(C116="Venta", IFERROR(VLOOKUP(A116, Configuracion!$A:$D, 3, FALSE), 0), 0)</f>
        <v>0</v>
      </c>
      <c r="F116">
        <f t="shared" si="4"/>
        <v>0</v>
      </c>
      <c r="H116">
        <f>IF(AND(G116="Gestor", A116&lt;&gt;""), VLOOKUP(A116, Configuracion!$A:$D, 4, FALSE), 0)*Tabla1027[[#This Row],[CANTIDAD]]</f>
        <v>0</v>
      </c>
      <c r="I116" t="str">
        <f t="shared" si="5"/>
        <v/>
      </c>
    </row>
    <row r="117" spans="2:9" x14ac:dyDescent="0.3">
      <c r="B117" t="e">
        <f>IFERROR(VLOOKUP(A117, viernes!$A:$I, 9, FALSE), IFERROR(VLOOKUP(A117, jueves!$A:$I, 9, FALSE), IFERROR(VLOOKUP(A117, miercoles!$A:$I, 9, FALSE), IFERROR(VLOOKUP(A117, martes!$A:$I, 9, FALSE), IFERROR(VLOOKUP(A117, lunes!$A:$I, 9, FALSE), VLOOKUP(A117, Configuracion!$A:$B, 2, FALSE))))))</f>
        <v>#N/A</v>
      </c>
      <c r="E117">
        <f>IF(C117="Venta", IFERROR(VLOOKUP(A117, Configuracion!$A:$D, 3, FALSE), 0), 0)</f>
        <v>0</v>
      </c>
      <c r="F117">
        <f t="shared" si="4"/>
        <v>0</v>
      </c>
      <c r="H117">
        <f>IF(AND(G117="Gestor", A117&lt;&gt;""), VLOOKUP(A117, Configuracion!$A:$D, 4, FALSE), 0)*Tabla1027[[#This Row],[CANTIDAD]]</f>
        <v>0</v>
      </c>
      <c r="I117" t="str">
        <f t="shared" si="5"/>
        <v/>
      </c>
    </row>
    <row r="118" spans="2:9" x14ac:dyDescent="0.3">
      <c r="B118" t="e">
        <f>IFERROR(VLOOKUP(A118, viernes!$A:$I, 9, FALSE), IFERROR(VLOOKUP(A118, jueves!$A:$I, 9, FALSE), IFERROR(VLOOKUP(A118, miercoles!$A:$I, 9, FALSE), IFERROR(VLOOKUP(A118, martes!$A:$I, 9, FALSE), IFERROR(VLOOKUP(A118, lunes!$A:$I, 9, FALSE), VLOOKUP(A118, Configuracion!$A:$B, 2, FALSE))))))</f>
        <v>#N/A</v>
      </c>
      <c r="E118">
        <f>IF(C118="Venta", IFERROR(VLOOKUP(A118, Configuracion!$A:$D, 3, FALSE), 0), 0)</f>
        <v>0</v>
      </c>
      <c r="F118">
        <f t="shared" si="4"/>
        <v>0</v>
      </c>
      <c r="H118">
        <f>IF(AND(G118="Gestor", A118&lt;&gt;""), VLOOKUP(A118, Configuracion!$A:$D, 4, FALSE), 0)*Tabla1027[[#This Row],[CANTIDAD]]</f>
        <v>0</v>
      </c>
      <c r="I118" t="str">
        <f t="shared" si="5"/>
        <v/>
      </c>
    </row>
    <row r="119" spans="2:9" x14ac:dyDescent="0.3">
      <c r="B119" t="e">
        <f>IFERROR(VLOOKUP(A119, viernes!$A:$I, 9, FALSE), IFERROR(VLOOKUP(A119, jueves!$A:$I, 9, FALSE), IFERROR(VLOOKUP(A119, miercoles!$A:$I, 9, FALSE), IFERROR(VLOOKUP(A119, martes!$A:$I, 9, FALSE), IFERROR(VLOOKUP(A119, lunes!$A:$I, 9, FALSE), VLOOKUP(A119, Configuracion!$A:$B, 2, FALSE))))))</f>
        <v>#N/A</v>
      </c>
      <c r="E119">
        <f>IF(C119="Venta", IFERROR(VLOOKUP(A119, Configuracion!$A:$D, 3, FALSE), 0), 0)</f>
        <v>0</v>
      </c>
      <c r="F119">
        <f t="shared" si="4"/>
        <v>0</v>
      </c>
      <c r="H119">
        <f>IF(AND(G119="Gestor", A119&lt;&gt;""), VLOOKUP(A119, Configuracion!$A:$D, 4, FALSE), 0)*Tabla1027[[#This Row],[CANTIDAD]]</f>
        <v>0</v>
      </c>
      <c r="I119" t="str">
        <f t="shared" si="5"/>
        <v/>
      </c>
    </row>
    <row r="120" spans="2:9" x14ac:dyDescent="0.3">
      <c r="B120" t="e">
        <f>IFERROR(VLOOKUP(A120, viernes!$A:$I, 9, FALSE), IFERROR(VLOOKUP(A120, jueves!$A:$I, 9, FALSE), IFERROR(VLOOKUP(A120, miercoles!$A:$I, 9, FALSE), IFERROR(VLOOKUP(A120, martes!$A:$I, 9, FALSE), IFERROR(VLOOKUP(A120, lunes!$A:$I, 9, FALSE), VLOOKUP(A120, Configuracion!$A:$B, 2, FALSE))))))</f>
        <v>#N/A</v>
      </c>
      <c r="E120">
        <f>IF(C120="Venta", IFERROR(VLOOKUP(A120, Configuracion!$A:$D, 3, FALSE), 0), 0)</f>
        <v>0</v>
      </c>
      <c r="F120">
        <f t="shared" si="4"/>
        <v>0</v>
      </c>
      <c r="H120">
        <f>IF(AND(G120="Gestor", A120&lt;&gt;""), VLOOKUP(A120, Configuracion!$A:$D, 4, FALSE), 0)*Tabla1027[[#This Row],[CANTIDAD]]</f>
        <v>0</v>
      </c>
      <c r="I120" t="str">
        <f t="shared" si="5"/>
        <v/>
      </c>
    </row>
    <row r="121" spans="2:9" x14ac:dyDescent="0.3">
      <c r="B121" t="e">
        <f>IFERROR(VLOOKUP(A121, viernes!$A:$I, 9, FALSE), IFERROR(VLOOKUP(A121, jueves!$A:$I, 9, FALSE), IFERROR(VLOOKUP(A121, miercoles!$A:$I, 9, FALSE), IFERROR(VLOOKUP(A121, martes!$A:$I, 9, FALSE), IFERROR(VLOOKUP(A121, lunes!$A:$I, 9, FALSE), VLOOKUP(A121, Configuracion!$A:$B, 2, FALSE))))))</f>
        <v>#N/A</v>
      </c>
      <c r="E121">
        <f>IF(C121="Venta", IFERROR(VLOOKUP(A121, Configuracion!$A:$D, 3, FALSE), 0), 0)</f>
        <v>0</v>
      </c>
      <c r="F121">
        <f t="shared" si="4"/>
        <v>0</v>
      </c>
      <c r="H121">
        <f>IF(AND(G121="Gestor", A121&lt;&gt;""), VLOOKUP(A121, Configuracion!$A:$D, 4, FALSE), 0)*Tabla1027[[#This Row],[CANTIDAD]]</f>
        <v>0</v>
      </c>
      <c r="I121" t="str">
        <f t="shared" si="5"/>
        <v/>
      </c>
    </row>
    <row r="122" spans="2:9" x14ac:dyDescent="0.3">
      <c r="B122" t="e">
        <f>IFERROR(VLOOKUP(A122, viernes!$A:$I, 9, FALSE), IFERROR(VLOOKUP(A122, jueves!$A:$I, 9, FALSE), IFERROR(VLOOKUP(A122, miercoles!$A:$I, 9, FALSE), IFERROR(VLOOKUP(A122, martes!$A:$I, 9, FALSE), IFERROR(VLOOKUP(A122, lunes!$A:$I, 9, FALSE), VLOOKUP(A122, Configuracion!$A:$B, 2, FALSE))))))</f>
        <v>#N/A</v>
      </c>
      <c r="E122">
        <f>IF(C122="Venta", IFERROR(VLOOKUP(A122, Configuracion!$A:$D, 3, FALSE), 0), 0)</f>
        <v>0</v>
      </c>
      <c r="F122">
        <f t="shared" si="4"/>
        <v>0</v>
      </c>
      <c r="H122">
        <f>IF(AND(G122="Gestor", A122&lt;&gt;""), VLOOKUP(A122, Configuracion!$A:$D, 4, FALSE), 0)*Tabla1027[[#This Row],[CANTIDAD]]</f>
        <v>0</v>
      </c>
      <c r="I122" t="str">
        <f t="shared" si="5"/>
        <v/>
      </c>
    </row>
    <row r="123" spans="2:9" x14ac:dyDescent="0.3">
      <c r="B123" t="e">
        <f>IFERROR(VLOOKUP(A123, viernes!$A:$I, 9, FALSE), IFERROR(VLOOKUP(A123, jueves!$A:$I, 9, FALSE), IFERROR(VLOOKUP(A123, miercoles!$A:$I, 9, FALSE), IFERROR(VLOOKUP(A123, martes!$A:$I, 9, FALSE), IFERROR(VLOOKUP(A123, lunes!$A:$I, 9, FALSE), VLOOKUP(A123, Configuracion!$A:$B, 2, FALSE))))))</f>
        <v>#N/A</v>
      </c>
      <c r="E123">
        <f>IF(C123="Venta", IFERROR(VLOOKUP(A123, Configuracion!$A:$D, 3, FALSE), 0), 0)</f>
        <v>0</v>
      </c>
      <c r="F123">
        <f t="shared" si="4"/>
        <v>0</v>
      </c>
      <c r="H123">
        <f>IF(AND(G123="Gestor", A123&lt;&gt;""), VLOOKUP(A123, Configuracion!$A:$D, 4, FALSE), 0)*Tabla1027[[#This Row],[CANTIDAD]]</f>
        <v>0</v>
      </c>
      <c r="I123" t="str">
        <f t="shared" si="5"/>
        <v/>
      </c>
    </row>
    <row r="124" spans="2:9" x14ac:dyDescent="0.3">
      <c r="B124" t="e">
        <f>IFERROR(VLOOKUP(A124, viernes!$A:$I, 9, FALSE), IFERROR(VLOOKUP(A124, jueves!$A:$I, 9, FALSE), IFERROR(VLOOKUP(A124, miercoles!$A:$I, 9, FALSE), IFERROR(VLOOKUP(A124, martes!$A:$I, 9, FALSE), IFERROR(VLOOKUP(A124, lunes!$A:$I, 9, FALSE), VLOOKUP(A124, Configuracion!$A:$B, 2, FALSE))))))</f>
        <v>#N/A</v>
      </c>
      <c r="E124">
        <f>IF(C124="Venta", IFERROR(VLOOKUP(A124, Configuracion!$A:$D, 3, FALSE), 0), 0)</f>
        <v>0</v>
      </c>
      <c r="F124">
        <f t="shared" si="4"/>
        <v>0</v>
      </c>
      <c r="H124">
        <f>IF(AND(G124="Gestor", A124&lt;&gt;""), VLOOKUP(A124, Configuracion!$A:$D, 4, FALSE), 0)*Tabla1027[[#This Row],[CANTIDAD]]</f>
        <v>0</v>
      </c>
      <c r="I124" t="str">
        <f t="shared" si="5"/>
        <v/>
      </c>
    </row>
    <row r="125" spans="2:9" x14ac:dyDescent="0.3">
      <c r="B125" t="e">
        <f>IFERROR(VLOOKUP(A125, viernes!$A:$I, 9, FALSE), IFERROR(VLOOKUP(A125, jueves!$A:$I, 9, FALSE), IFERROR(VLOOKUP(A125, miercoles!$A:$I, 9, FALSE), IFERROR(VLOOKUP(A125, martes!$A:$I, 9, FALSE), IFERROR(VLOOKUP(A125, lunes!$A:$I, 9, FALSE), VLOOKUP(A125, Configuracion!$A:$B, 2, FALSE))))))</f>
        <v>#N/A</v>
      </c>
      <c r="E125">
        <f>IF(C125="Venta", IFERROR(VLOOKUP(A125, Configuracion!$A:$D, 3, FALSE), 0), 0)</f>
        <v>0</v>
      </c>
      <c r="F125">
        <f t="shared" si="4"/>
        <v>0</v>
      </c>
      <c r="H125">
        <f>IF(AND(G125="Gestor", A125&lt;&gt;""), VLOOKUP(A125, Configuracion!$A:$D, 4, FALSE), 0)*Tabla1027[[#This Row],[CANTIDAD]]</f>
        <v>0</v>
      </c>
      <c r="I125" t="str">
        <f t="shared" si="5"/>
        <v/>
      </c>
    </row>
    <row r="126" spans="2:9" x14ac:dyDescent="0.3">
      <c r="B126" t="e">
        <f>IFERROR(VLOOKUP(A126, viernes!$A:$I, 9, FALSE), IFERROR(VLOOKUP(A126, jueves!$A:$I, 9, FALSE), IFERROR(VLOOKUP(A126, miercoles!$A:$I, 9, FALSE), IFERROR(VLOOKUP(A126, martes!$A:$I, 9, FALSE), IFERROR(VLOOKUP(A126, lunes!$A:$I, 9, FALSE), VLOOKUP(A126, Configuracion!$A:$B, 2, FALSE))))))</f>
        <v>#N/A</v>
      </c>
      <c r="E126">
        <f>IF(C126="Venta", IFERROR(VLOOKUP(A126, Configuracion!$A:$D, 3, FALSE), 0), 0)</f>
        <v>0</v>
      </c>
      <c r="F126">
        <f t="shared" si="4"/>
        <v>0</v>
      </c>
      <c r="H126">
        <f>IF(AND(G126="Gestor", A126&lt;&gt;""), VLOOKUP(A126, Configuracion!$A:$D, 4, FALSE), 0)*Tabla1027[[#This Row],[CANTIDAD]]</f>
        <v>0</v>
      </c>
      <c r="I126" t="str">
        <f t="shared" si="5"/>
        <v/>
      </c>
    </row>
    <row r="127" spans="2:9" x14ac:dyDescent="0.3">
      <c r="B127" t="e">
        <f>IFERROR(VLOOKUP(A127, viernes!$A:$I, 9, FALSE), IFERROR(VLOOKUP(A127, jueves!$A:$I, 9, FALSE), IFERROR(VLOOKUP(A127, miercoles!$A:$I, 9, FALSE), IFERROR(VLOOKUP(A127, martes!$A:$I, 9, FALSE), IFERROR(VLOOKUP(A127, lunes!$A:$I, 9, FALSE), VLOOKUP(A127, Configuracion!$A:$B, 2, FALSE))))))</f>
        <v>#N/A</v>
      </c>
      <c r="E127">
        <f>IF(C127="Venta", IFERROR(VLOOKUP(A127, Configuracion!$A:$D, 3, FALSE), 0), 0)</f>
        <v>0</v>
      </c>
      <c r="F127">
        <f t="shared" si="4"/>
        <v>0</v>
      </c>
      <c r="H127">
        <f>IF(AND(G127="Gestor", A127&lt;&gt;""), VLOOKUP(A127, Configuracion!$A:$D, 4, FALSE), 0)*Tabla1027[[#This Row],[CANTIDAD]]</f>
        <v>0</v>
      </c>
      <c r="I127" t="str">
        <f t="shared" si="5"/>
        <v/>
      </c>
    </row>
    <row r="128" spans="2:9" x14ac:dyDescent="0.3">
      <c r="B128" t="e">
        <f>IFERROR(VLOOKUP(A128, viernes!$A:$I, 9, FALSE), IFERROR(VLOOKUP(A128, jueves!$A:$I, 9, FALSE), IFERROR(VLOOKUP(A128, miercoles!$A:$I, 9, FALSE), IFERROR(VLOOKUP(A128, martes!$A:$I, 9, FALSE), IFERROR(VLOOKUP(A128, lunes!$A:$I, 9, FALSE), VLOOKUP(A128, Configuracion!$A:$B, 2, FALSE))))))</f>
        <v>#N/A</v>
      </c>
      <c r="E128">
        <f>IF(C128="Venta", IFERROR(VLOOKUP(A128, Configuracion!$A:$D, 3, FALSE), 0), 0)</f>
        <v>0</v>
      </c>
      <c r="F128">
        <f t="shared" si="4"/>
        <v>0</v>
      </c>
      <c r="H128">
        <f>IF(AND(G128="Gestor", A128&lt;&gt;""), VLOOKUP(A128, Configuracion!$A:$D, 4, FALSE), 0)*Tabla1027[[#This Row],[CANTIDAD]]</f>
        <v>0</v>
      </c>
      <c r="I128" t="str">
        <f t="shared" si="5"/>
        <v/>
      </c>
    </row>
    <row r="129" spans="2:9" x14ac:dyDescent="0.3">
      <c r="B129" t="e">
        <f>IFERROR(VLOOKUP(A129, viernes!$A:$I, 9, FALSE), IFERROR(VLOOKUP(A129, jueves!$A:$I, 9, FALSE), IFERROR(VLOOKUP(A129, miercoles!$A:$I, 9, FALSE), IFERROR(VLOOKUP(A129, martes!$A:$I, 9, FALSE), IFERROR(VLOOKUP(A129, lunes!$A:$I, 9, FALSE), VLOOKUP(A129, Configuracion!$A:$B, 2, FALSE))))))</f>
        <v>#N/A</v>
      </c>
      <c r="E129">
        <f>IF(C129="Venta", IFERROR(VLOOKUP(A129, Configuracion!$A:$D, 3, FALSE), 0), 0)</f>
        <v>0</v>
      </c>
      <c r="F129">
        <f t="shared" si="4"/>
        <v>0</v>
      </c>
      <c r="H129">
        <f>IF(AND(G129="Gestor", A129&lt;&gt;""), VLOOKUP(A129, Configuracion!$A:$D, 4, FALSE), 0)*Tabla1027[[#This Row],[CANTIDAD]]</f>
        <v>0</v>
      </c>
      <c r="I129" t="str">
        <f t="shared" si="5"/>
        <v/>
      </c>
    </row>
    <row r="130" spans="2:9" x14ac:dyDescent="0.3">
      <c r="B130" t="e">
        <f>IFERROR(VLOOKUP(A130, viernes!$A:$I, 9, FALSE), IFERROR(VLOOKUP(A130, jueves!$A:$I, 9, FALSE), IFERROR(VLOOKUP(A130, miercoles!$A:$I, 9, FALSE), IFERROR(VLOOKUP(A130, martes!$A:$I, 9, FALSE), IFERROR(VLOOKUP(A130, lunes!$A:$I, 9, FALSE), VLOOKUP(A130, Configuracion!$A:$B, 2, FALSE))))))</f>
        <v>#N/A</v>
      </c>
      <c r="E130">
        <f>IF(C130="Venta", IFERROR(VLOOKUP(A130, Configuracion!$A:$D, 3, FALSE), 0), 0)</f>
        <v>0</v>
      </c>
      <c r="F130">
        <f t="shared" si="4"/>
        <v>0</v>
      </c>
      <c r="H130">
        <f>IF(AND(G130="Gestor", A130&lt;&gt;""), VLOOKUP(A130, Configuracion!$A:$D, 4, FALSE), 0)*Tabla1027[[#This Row],[CANTIDAD]]</f>
        <v>0</v>
      </c>
      <c r="I130" t="str">
        <f t="shared" ref="I130:I161" si="6">IF(OR(A130="", D130=""), "", IF(C130="Entrada", B130+D130, IF(OR(C130="Venta", C130="Salida"), B130-D130, B130)))</f>
        <v/>
      </c>
    </row>
    <row r="131" spans="2:9" x14ac:dyDescent="0.3">
      <c r="B131" t="e">
        <f>IFERROR(VLOOKUP(A131, viernes!$A:$I, 9, FALSE), IFERROR(VLOOKUP(A131, jueves!$A:$I, 9, FALSE), IFERROR(VLOOKUP(A131, miercoles!$A:$I, 9, FALSE), IFERROR(VLOOKUP(A131, martes!$A:$I, 9, FALSE), IFERROR(VLOOKUP(A131, lunes!$A:$I, 9, FALSE), VLOOKUP(A131, Configuracion!$A:$B, 2, FALSE))))))</f>
        <v>#N/A</v>
      </c>
      <c r="E131">
        <f>IF(C131="Venta", IFERROR(VLOOKUP(A131, Configuracion!$A:$D, 3, FALSE), 0), 0)</f>
        <v>0</v>
      </c>
      <c r="F131">
        <f t="shared" si="4"/>
        <v>0</v>
      </c>
      <c r="H131">
        <f>IF(AND(G131="Gestor", A131&lt;&gt;""), VLOOKUP(A131, Configuracion!$A:$D, 4, FALSE), 0)*Tabla1027[[#This Row],[CANTIDAD]]</f>
        <v>0</v>
      </c>
      <c r="I131" t="str">
        <f t="shared" si="6"/>
        <v/>
      </c>
    </row>
    <row r="132" spans="2:9" x14ac:dyDescent="0.3">
      <c r="B132" t="e">
        <f>IFERROR(VLOOKUP(A132, viernes!$A:$I, 9, FALSE), IFERROR(VLOOKUP(A132, jueves!$A:$I, 9, FALSE), IFERROR(VLOOKUP(A132, miercoles!$A:$I, 9, FALSE), IFERROR(VLOOKUP(A132, martes!$A:$I, 9, FALSE), IFERROR(VLOOKUP(A132, lunes!$A:$I, 9, FALSE), VLOOKUP(A132, Configuracion!$A:$B, 2, FALSE))))))</f>
        <v>#N/A</v>
      </c>
      <c r="E132">
        <f>IF(C132="Venta", IFERROR(VLOOKUP(A132, Configuracion!$A:$D, 3, FALSE), 0), 0)</f>
        <v>0</v>
      </c>
      <c r="F132">
        <f t="shared" ref="F132:F190" si="7">E132*D132</f>
        <v>0</v>
      </c>
      <c r="H132">
        <f>IF(AND(G132="Gestor", A132&lt;&gt;""), VLOOKUP(A132, Configuracion!$A:$D, 4, FALSE), 0)*Tabla1027[[#This Row],[CANTIDAD]]</f>
        <v>0</v>
      </c>
      <c r="I132" t="str">
        <f t="shared" si="6"/>
        <v/>
      </c>
    </row>
    <row r="133" spans="2:9" x14ac:dyDescent="0.3">
      <c r="B133" t="e">
        <f>IFERROR(VLOOKUP(A133, viernes!$A:$I, 9, FALSE), IFERROR(VLOOKUP(A133, jueves!$A:$I, 9, FALSE), IFERROR(VLOOKUP(A133, miercoles!$A:$I, 9, FALSE), IFERROR(VLOOKUP(A133, martes!$A:$I, 9, FALSE), IFERROR(VLOOKUP(A133, lunes!$A:$I, 9, FALSE), VLOOKUP(A133, Configuracion!$A:$B, 2, FALSE))))))</f>
        <v>#N/A</v>
      </c>
      <c r="E133">
        <f>IF(C133="Venta", IFERROR(VLOOKUP(A133, Configuracion!$A:$D, 3, FALSE), 0), 0)</f>
        <v>0</v>
      </c>
      <c r="F133">
        <f t="shared" si="7"/>
        <v>0</v>
      </c>
      <c r="H133">
        <f>IF(AND(G133="Gestor", A133&lt;&gt;""), VLOOKUP(A133, Configuracion!$A:$D, 4, FALSE), 0)*Tabla1027[[#This Row],[CANTIDAD]]</f>
        <v>0</v>
      </c>
      <c r="I133" t="str">
        <f t="shared" si="6"/>
        <v/>
      </c>
    </row>
    <row r="134" spans="2:9" x14ac:dyDescent="0.3">
      <c r="B134" t="e">
        <f>IFERROR(VLOOKUP(A134, viernes!$A:$I, 9, FALSE), IFERROR(VLOOKUP(A134, jueves!$A:$I, 9, FALSE), IFERROR(VLOOKUP(A134, miercoles!$A:$I, 9, FALSE), IFERROR(VLOOKUP(A134, martes!$A:$I, 9, FALSE), IFERROR(VLOOKUP(A134, lunes!$A:$I, 9, FALSE), VLOOKUP(A134, Configuracion!$A:$B, 2, FALSE))))))</f>
        <v>#N/A</v>
      </c>
      <c r="E134">
        <f>IF(C134="Venta", IFERROR(VLOOKUP(A134, Configuracion!$A:$D, 3, FALSE), 0), 0)</f>
        <v>0</v>
      </c>
      <c r="F134">
        <f t="shared" si="7"/>
        <v>0</v>
      </c>
      <c r="H134">
        <f>IF(AND(G134="Gestor", A134&lt;&gt;""), VLOOKUP(A134, Configuracion!$A:$D, 4, FALSE), 0)*Tabla1027[[#This Row],[CANTIDAD]]</f>
        <v>0</v>
      </c>
      <c r="I134" t="str">
        <f t="shared" si="6"/>
        <v/>
      </c>
    </row>
    <row r="135" spans="2:9" x14ac:dyDescent="0.3">
      <c r="B135" t="e">
        <f>IFERROR(VLOOKUP(A135, viernes!$A:$I, 9, FALSE), IFERROR(VLOOKUP(A135, jueves!$A:$I, 9, FALSE), IFERROR(VLOOKUP(A135, miercoles!$A:$I, 9, FALSE), IFERROR(VLOOKUP(A135, martes!$A:$I, 9, FALSE), IFERROR(VLOOKUP(A135, lunes!$A:$I, 9, FALSE), VLOOKUP(A135, Configuracion!$A:$B, 2, FALSE))))))</f>
        <v>#N/A</v>
      </c>
      <c r="E135">
        <f>IF(C135="Venta", IFERROR(VLOOKUP(A135, Configuracion!$A:$D, 3, FALSE), 0), 0)</f>
        <v>0</v>
      </c>
      <c r="F135">
        <f t="shared" si="7"/>
        <v>0</v>
      </c>
      <c r="H135">
        <f>IF(AND(G135="Gestor", A135&lt;&gt;""), VLOOKUP(A135, Configuracion!$A:$D, 4, FALSE), 0)*Tabla1027[[#This Row],[CANTIDAD]]</f>
        <v>0</v>
      </c>
      <c r="I135" t="str">
        <f t="shared" si="6"/>
        <v/>
      </c>
    </row>
    <row r="136" spans="2:9" x14ac:dyDescent="0.3">
      <c r="B136" t="e">
        <f>IFERROR(VLOOKUP(A136, viernes!$A:$I, 9, FALSE), IFERROR(VLOOKUP(A136, jueves!$A:$I, 9, FALSE), IFERROR(VLOOKUP(A136, miercoles!$A:$I, 9, FALSE), IFERROR(VLOOKUP(A136, martes!$A:$I, 9, FALSE), IFERROR(VLOOKUP(A136, lunes!$A:$I, 9, FALSE), VLOOKUP(A136, Configuracion!$A:$B, 2, FALSE))))))</f>
        <v>#N/A</v>
      </c>
      <c r="E136">
        <f>IF(C136="Venta", IFERROR(VLOOKUP(A136, Configuracion!$A:$D, 3, FALSE), 0), 0)</f>
        <v>0</v>
      </c>
      <c r="F136">
        <f t="shared" si="7"/>
        <v>0</v>
      </c>
      <c r="H136">
        <f>IF(AND(G136="Gestor", A136&lt;&gt;""), VLOOKUP(A136, Configuracion!$A:$D, 4, FALSE), 0)*Tabla1027[[#This Row],[CANTIDAD]]</f>
        <v>0</v>
      </c>
      <c r="I136" t="str">
        <f t="shared" si="6"/>
        <v/>
      </c>
    </row>
    <row r="137" spans="2:9" x14ac:dyDescent="0.3">
      <c r="B137" t="e">
        <f>IFERROR(VLOOKUP(A137, viernes!$A:$I, 9, FALSE), IFERROR(VLOOKUP(A137, jueves!$A:$I, 9, FALSE), IFERROR(VLOOKUP(A137, miercoles!$A:$I, 9, FALSE), IFERROR(VLOOKUP(A137, martes!$A:$I, 9, FALSE), IFERROR(VLOOKUP(A137, lunes!$A:$I, 9, FALSE), VLOOKUP(A137, Configuracion!$A:$B, 2, FALSE))))))</f>
        <v>#N/A</v>
      </c>
      <c r="E137">
        <f>IF(C137="Venta", IFERROR(VLOOKUP(A137, Configuracion!$A:$D, 3, FALSE), 0), 0)</f>
        <v>0</v>
      </c>
      <c r="F137">
        <f t="shared" si="7"/>
        <v>0</v>
      </c>
      <c r="H137">
        <f>IF(AND(G137="Gestor", A137&lt;&gt;""), VLOOKUP(A137, Configuracion!$A:$D, 4, FALSE), 0)*Tabla1027[[#This Row],[CANTIDAD]]</f>
        <v>0</v>
      </c>
      <c r="I137" t="str">
        <f t="shared" si="6"/>
        <v/>
      </c>
    </row>
    <row r="138" spans="2:9" x14ac:dyDescent="0.3">
      <c r="B138" t="e">
        <f>IFERROR(VLOOKUP(A138, viernes!$A:$I, 9, FALSE), IFERROR(VLOOKUP(A138, jueves!$A:$I, 9, FALSE), IFERROR(VLOOKUP(A138, miercoles!$A:$I, 9, FALSE), IFERROR(VLOOKUP(A138, martes!$A:$I, 9, FALSE), IFERROR(VLOOKUP(A138, lunes!$A:$I, 9, FALSE), VLOOKUP(A138, Configuracion!$A:$B, 2, FALSE))))))</f>
        <v>#N/A</v>
      </c>
      <c r="E138">
        <f>IF(C138="Venta", IFERROR(VLOOKUP(A138, Configuracion!$A:$D, 3, FALSE), 0), 0)</f>
        <v>0</v>
      </c>
      <c r="F138">
        <f t="shared" si="7"/>
        <v>0</v>
      </c>
      <c r="H138">
        <f>IF(AND(G138="Gestor", A138&lt;&gt;""), VLOOKUP(A138, Configuracion!$A:$D, 4, FALSE), 0)*Tabla1027[[#This Row],[CANTIDAD]]</f>
        <v>0</v>
      </c>
      <c r="I138" t="str">
        <f t="shared" si="6"/>
        <v/>
      </c>
    </row>
    <row r="139" spans="2:9" x14ac:dyDescent="0.3">
      <c r="B139" t="e">
        <f>IFERROR(VLOOKUP(A139, viernes!$A:$I, 9, FALSE), IFERROR(VLOOKUP(A139, jueves!$A:$I, 9, FALSE), IFERROR(VLOOKUP(A139, miercoles!$A:$I, 9, FALSE), IFERROR(VLOOKUP(A139, martes!$A:$I, 9, FALSE), IFERROR(VLOOKUP(A139, lunes!$A:$I, 9, FALSE), VLOOKUP(A139, Configuracion!$A:$B, 2, FALSE))))))</f>
        <v>#N/A</v>
      </c>
      <c r="E139">
        <f>IF(C139="Venta", IFERROR(VLOOKUP(A139, Configuracion!$A:$D, 3, FALSE), 0), 0)</f>
        <v>0</v>
      </c>
      <c r="F139">
        <f t="shared" si="7"/>
        <v>0</v>
      </c>
      <c r="H139">
        <f>IF(AND(G139="Gestor", A139&lt;&gt;""), VLOOKUP(A139, Configuracion!$A:$D, 4, FALSE), 0)*Tabla1027[[#This Row],[CANTIDAD]]</f>
        <v>0</v>
      </c>
      <c r="I139" t="str">
        <f t="shared" si="6"/>
        <v/>
      </c>
    </row>
    <row r="140" spans="2:9" x14ac:dyDescent="0.3">
      <c r="B140" t="e">
        <f>IFERROR(VLOOKUP(A140, viernes!$A:$I, 9, FALSE), IFERROR(VLOOKUP(A140, jueves!$A:$I, 9, FALSE), IFERROR(VLOOKUP(A140, miercoles!$A:$I, 9, FALSE), IFERROR(VLOOKUP(A140, martes!$A:$I, 9, FALSE), IFERROR(VLOOKUP(A140, lunes!$A:$I, 9, FALSE), VLOOKUP(A140, Configuracion!$A:$B, 2, FALSE))))))</f>
        <v>#N/A</v>
      </c>
      <c r="E140">
        <f>IF(C140="Venta", IFERROR(VLOOKUP(A140, Configuracion!$A:$D, 3, FALSE), 0), 0)</f>
        <v>0</v>
      </c>
      <c r="F140">
        <f t="shared" si="7"/>
        <v>0</v>
      </c>
      <c r="H140">
        <f>IF(AND(G140="Gestor", A140&lt;&gt;""), VLOOKUP(A140, Configuracion!$A:$D, 4, FALSE), 0)*Tabla1027[[#This Row],[CANTIDAD]]</f>
        <v>0</v>
      </c>
      <c r="I140" t="str">
        <f t="shared" si="6"/>
        <v/>
      </c>
    </row>
    <row r="141" spans="2:9" x14ac:dyDescent="0.3">
      <c r="B141" t="e">
        <f>IFERROR(VLOOKUP(A141, viernes!$A:$I, 9, FALSE), IFERROR(VLOOKUP(A141, jueves!$A:$I, 9, FALSE), IFERROR(VLOOKUP(A141, miercoles!$A:$I, 9, FALSE), IFERROR(VLOOKUP(A141, martes!$A:$I, 9, FALSE), IFERROR(VLOOKUP(A141, lunes!$A:$I, 9, FALSE), VLOOKUP(A141, Configuracion!$A:$B, 2, FALSE))))))</f>
        <v>#N/A</v>
      </c>
      <c r="E141">
        <f>IF(C141="Venta", IFERROR(VLOOKUP(A141, Configuracion!$A:$D, 3, FALSE), 0), 0)</f>
        <v>0</v>
      </c>
      <c r="F141">
        <f t="shared" si="7"/>
        <v>0</v>
      </c>
      <c r="H141">
        <f>IF(AND(G141="Gestor", A141&lt;&gt;""), VLOOKUP(A141, Configuracion!$A:$D, 4, FALSE), 0)*Tabla1027[[#This Row],[CANTIDAD]]</f>
        <v>0</v>
      </c>
      <c r="I141" t="str">
        <f t="shared" si="6"/>
        <v/>
      </c>
    </row>
    <row r="142" spans="2:9" x14ac:dyDescent="0.3">
      <c r="B142" t="e">
        <f>IFERROR(VLOOKUP(A142, viernes!$A:$I, 9, FALSE), IFERROR(VLOOKUP(A142, jueves!$A:$I, 9, FALSE), IFERROR(VLOOKUP(A142, miercoles!$A:$I, 9, FALSE), IFERROR(VLOOKUP(A142, martes!$A:$I, 9, FALSE), IFERROR(VLOOKUP(A142, lunes!$A:$I, 9, FALSE), VLOOKUP(A142, Configuracion!$A:$B, 2, FALSE))))))</f>
        <v>#N/A</v>
      </c>
      <c r="E142">
        <f>IF(C142="Venta", IFERROR(VLOOKUP(A142, Configuracion!$A:$D, 3, FALSE), 0), 0)</f>
        <v>0</v>
      </c>
      <c r="F142">
        <f t="shared" si="7"/>
        <v>0</v>
      </c>
      <c r="H142">
        <f>IF(AND(G142="Gestor", A142&lt;&gt;""), VLOOKUP(A142, Configuracion!$A:$D, 4, FALSE), 0)*Tabla1027[[#This Row],[CANTIDAD]]</f>
        <v>0</v>
      </c>
      <c r="I142" t="str">
        <f t="shared" si="6"/>
        <v/>
      </c>
    </row>
    <row r="143" spans="2:9" x14ac:dyDescent="0.3">
      <c r="B143" t="e">
        <f>IFERROR(VLOOKUP(A143, viernes!$A:$I, 9, FALSE), IFERROR(VLOOKUP(A143, jueves!$A:$I, 9, FALSE), IFERROR(VLOOKUP(A143, miercoles!$A:$I, 9, FALSE), IFERROR(VLOOKUP(A143, martes!$A:$I, 9, FALSE), IFERROR(VLOOKUP(A143, lunes!$A:$I, 9, FALSE), VLOOKUP(A143, Configuracion!$A:$B, 2, FALSE))))))</f>
        <v>#N/A</v>
      </c>
      <c r="E143">
        <f>IF(C143="Venta", IFERROR(VLOOKUP(A143, Configuracion!$A:$D, 3, FALSE), 0), 0)</f>
        <v>0</v>
      </c>
      <c r="F143">
        <f t="shared" si="7"/>
        <v>0</v>
      </c>
      <c r="H143">
        <f>IF(AND(G143="Gestor", A143&lt;&gt;""), VLOOKUP(A143, Configuracion!$A:$D, 4, FALSE), 0)*Tabla1027[[#This Row],[CANTIDAD]]</f>
        <v>0</v>
      </c>
      <c r="I143" t="str">
        <f t="shared" si="6"/>
        <v/>
      </c>
    </row>
    <row r="144" spans="2:9" x14ac:dyDescent="0.3">
      <c r="B144" t="e">
        <f>IFERROR(VLOOKUP(A144, viernes!$A:$I, 9, FALSE), IFERROR(VLOOKUP(A144, jueves!$A:$I, 9, FALSE), IFERROR(VLOOKUP(A144, miercoles!$A:$I, 9, FALSE), IFERROR(VLOOKUP(A144, martes!$A:$I, 9, FALSE), IFERROR(VLOOKUP(A144, lunes!$A:$I, 9, FALSE), VLOOKUP(A144, Configuracion!$A:$B, 2, FALSE))))))</f>
        <v>#N/A</v>
      </c>
      <c r="E144">
        <f>IF(C144="Venta", IFERROR(VLOOKUP(A144, Configuracion!$A:$D, 3, FALSE), 0), 0)</f>
        <v>0</v>
      </c>
      <c r="F144">
        <f t="shared" si="7"/>
        <v>0</v>
      </c>
      <c r="H144">
        <f>IF(AND(G144="Gestor", A144&lt;&gt;""), VLOOKUP(A144, Configuracion!$A:$D, 4, FALSE), 0)*Tabla1027[[#This Row],[CANTIDAD]]</f>
        <v>0</v>
      </c>
      <c r="I144" t="str">
        <f t="shared" si="6"/>
        <v/>
      </c>
    </row>
    <row r="145" spans="2:9" x14ac:dyDescent="0.3">
      <c r="B145" t="e">
        <f>IFERROR(VLOOKUP(A145, viernes!$A:$I, 9, FALSE), IFERROR(VLOOKUP(A145, jueves!$A:$I, 9, FALSE), IFERROR(VLOOKUP(A145, miercoles!$A:$I, 9, FALSE), IFERROR(VLOOKUP(A145, martes!$A:$I, 9, FALSE), IFERROR(VLOOKUP(A145, lunes!$A:$I, 9, FALSE), VLOOKUP(A145, Configuracion!$A:$B, 2, FALSE))))))</f>
        <v>#N/A</v>
      </c>
      <c r="E145">
        <f>IF(C145="Venta", IFERROR(VLOOKUP(A145, Configuracion!$A:$D, 3, FALSE), 0), 0)</f>
        <v>0</v>
      </c>
      <c r="F145">
        <f t="shared" si="7"/>
        <v>0</v>
      </c>
      <c r="H145">
        <f>IF(AND(G145="Gestor", A145&lt;&gt;""), VLOOKUP(A145, Configuracion!$A:$D, 4, FALSE), 0)*Tabla1027[[#This Row],[CANTIDAD]]</f>
        <v>0</v>
      </c>
      <c r="I145" t="str">
        <f t="shared" si="6"/>
        <v/>
      </c>
    </row>
    <row r="146" spans="2:9" x14ac:dyDescent="0.3">
      <c r="B146" t="e">
        <f>IFERROR(VLOOKUP(A146, viernes!$A:$I, 9, FALSE), IFERROR(VLOOKUP(A146, jueves!$A:$I, 9, FALSE), IFERROR(VLOOKUP(A146, miercoles!$A:$I, 9, FALSE), IFERROR(VLOOKUP(A146, martes!$A:$I, 9, FALSE), IFERROR(VLOOKUP(A146, lunes!$A:$I, 9, FALSE), VLOOKUP(A146, Configuracion!$A:$B, 2, FALSE))))))</f>
        <v>#N/A</v>
      </c>
      <c r="E146">
        <f>IF(C146="Venta", IFERROR(VLOOKUP(A146, Configuracion!$A:$D, 3, FALSE), 0), 0)</f>
        <v>0</v>
      </c>
      <c r="F146">
        <f t="shared" si="7"/>
        <v>0</v>
      </c>
      <c r="H146">
        <f>IF(AND(G146="Gestor", A146&lt;&gt;""), VLOOKUP(A146, Configuracion!$A:$D, 4, FALSE), 0)*Tabla1027[[#This Row],[CANTIDAD]]</f>
        <v>0</v>
      </c>
      <c r="I146" t="str">
        <f t="shared" si="6"/>
        <v/>
      </c>
    </row>
    <row r="147" spans="2:9" x14ac:dyDescent="0.3">
      <c r="B147" t="e">
        <f>IFERROR(VLOOKUP(A147, viernes!$A:$I, 9, FALSE), IFERROR(VLOOKUP(A147, jueves!$A:$I, 9, FALSE), IFERROR(VLOOKUP(A147, miercoles!$A:$I, 9, FALSE), IFERROR(VLOOKUP(A147, martes!$A:$I, 9, FALSE), IFERROR(VLOOKUP(A147, lunes!$A:$I, 9, FALSE), VLOOKUP(A147, Configuracion!$A:$B, 2, FALSE))))))</f>
        <v>#N/A</v>
      </c>
      <c r="E147">
        <f>IF(C147="Venta", IFERROR(VLOOKUP(A147, Configuracion!$A:$D, 3, FALSE), 0), 0)</f>
        <v>0</v>
      </c>
      <c r="F147">
        <f t="shared" si="7"/>
        <v>0</v>
      </c>
      <c r="H147">
        <f>IF(AND(G147="Gestor", A147&lt;&gt;""), VLOOKUP(A147, Configuracion!$A:$D, 4, FALSE), 0)*Tabla1027[[#This Row],[CANTIDAD]]</f>
        <v>0</v>
      </c>
      <c r="I147" t="str">
        <f t="shared" si="6"/>
        <v/>
      </c>
    </row>
    <row r="148" spans="2:9" x14ac:dyDescent="0.3">
      <c r="B148" t="e">
        <f>IFERROR(VLOOKUP(A148, viernes!$A:$I, 9, FALSE), IFERROR(VLOOKUP(A148, jueves!$A:$I, 9, FALSE), IFERROR(VLOOKUP(A148, miercoles!$A:$I, 9, FALSE), IFERROR(VLOOKUP(A148, martes!$A:$I, 9, FALSE), IFERROR(VLOOKUP(A148, lunes!$A:$I, 9, FALSE), VLOOKUP(A148, Configuracion!$A:$B, 2, FALSE))))))</f>
        <v>#N/A</v>
      </c>
      <c r="E148">
        <f>IF(C148="Venta", IFERROR(VLOOKUP(A148, Configuracion!$A:$D, 3, FALSE), 0), 0)</f>
        <v>0</v>
      </c>
      <c r="F148">
        <f t="shared" si="7"/>
        <v>0</v>
      </c>
      <c r="H148">
        <f>IF(AND(G148="Gestor", A148&lt;&gt;""), VLOOKUP(A148, Configuracion!$A:$D, 4, FALSE), 0)*Tabla1027[[#This Row],[CANTIDAD]]</f>
        <v>0</v>
      </c>
      <c r="I148" t="str">
        <f t="shared" si="6"/>
        <v/>
      </c>
    </row>
    <row r="149" spans="2:9" x14ac:dyDescent="0.3">
      <c r="B149" t="e">
        <f>IFERROR(VLOOKUP(A149, viernes!$A:$I, 9, FALSE), IFERROR(VLOOKUP(A149, jueves!$A:$I, 9, FALSE), IFERROR(VLOOKUP(A149, miercoles!$A:$I, 9, FALSE), IFERROR(VLOOKUP(A149, martes!$A:$I, 9, FALSE), IFERROR(VLOOKUP(A149, lunes!$A:$I, 9, FALSE), VLOOKUP(A149, Configuracion!$A:$B, 2, FALSE))))))</f>
        <v>#N/A</v>
      </c>
      <c r="E149">
        <f>IF(C149="Venta", IFERROR(VLOOKUP(A149, Configuracion!$A:$D, 3, FALSE), 0), 0)</f>
        <v>0</v>
      </c>
      <c r="F149">
        <f t="shared" si="7"/>
        <v>0</v>
      </c>
      <c r="H149">
        <f>IF(AND(G149="Gestor", A149&lt;&gt;""), VLOOKUP(A149, Configuracion!$A:$D, 4, FALSE), 0)*Tabla1027[[#This Row],[CANTIDAD]]</f>
        <v>0</v>
      </c>
      <c r="I149" t="str">
        <f t="shared" si="6"/>
        <v/>
      </c>
    </row>
    <row r="150" spans="2:9" x14ac:dyDescent="0.3">
      <c r="B150" t="e">
        <f>IFERROR(VLOOKUP(A150, viernes!$A:$I, 9, FALSE), IFERROR(VLOOKUP(A150, jueves!$A:$I, 9, FALSE), IFERROR(VLOOKUP(A150, miercoles!$A:$I, 9, FALSE), IFERROR(VLOOKUP(A150, martes!$A:$I, 9, FALSE), IFERROR(VLOOKUP(A150, lunes!$A:$I, 9, FALSE), VLOOKUP(A150, Configuracion!$A:$B, 2, FALSE))))))</f>
        <v>#N/A</v>
      </c>
      <c r="E150">
        <f>IF(C150="Venta", IFERROR(VLOOKUP(A150, Configuracion!$A:$D, 3, FALSE), 0), 0)</f>
        <v>0</v>
      </c>
      <c r="F150">
        <f t="shared" si="7"/>
        <v>0</v>
      </c>
      <c r="H150">
        <f>IF(AND(G150="Gestor", A150&lt;&gt;""), VLOOKUP(A150, Configuracion!$A:$D, 4, FALSE), 0)*Tabla1027[[#This Row],[CANTIDAD]]</f>
        <v>0</v>
      </c>
      <c r="I150" t="str">
        <f t="shared" si="6"/>
        <v/>
      </c>
    </row>
    <row r="151" spans="2:9" x14ac:dyDescent="0.3">
      <c r="B151" t="e">
        <f>IFERROR(VLOOKUP(A151, viernes!$A:$I, 9, FALSE), IFERROR(VLOOKUP(A151, jueves!$A:$I, 9, FALSE), IFERROR(VLOOKUP(A151, miercoles!$A:$I, 9, FALSE), IFERROR(VLOOKUP(A151, martes!$A:$I, 9, FALSE), IFERROR(VLOOKUP(A151, lunes!$A:$I, 9, FALSE), VLOOKUP(A151, Configuracion!$A:$B, 2, FALSE))))))</f>
        <v>#N/A</v>
      </c>
      <c r="E151">
        <f>IF(C151="Venta", IFERROR(VLOOKUP(A151, Configuracion!$A:$D, 3, FALSE), 0), 0)</f>
        <v>0</v>
      </c>
      <c r="F151">
        <f t="shared" si="7"/>
        <v>0</v>
      </c>
      <c r="H151">
        <f>IF(AND(G151="Gestor", A151&lt;&gt;""), VLOOKUP(A151, Configuracion!$A:$D, 4, FALSE), 0)*Tabla1027[[#This Row],[CANTIDAD]]</f>
        <v>0</v>
      </c>
      <c r="I151" t="str">
        <f t="shared" si="6"/>
        <v/>
      </c>
    </row>
    <row r="152" spans="2:9" x14ac:dyDescent="0.3">
      <c r="B152" t="e">
        <f>IFERROR(VLOOKUP(A152, viernes!$A:$I, 9, FALSE), IFERROR(VLOOKUP(A152, jueves!$A:$I, 9, FALSE), IFERROR(VLOOKUP(A152, miercoles!$A:$I, 9, FALSE), IFERROR(VLOOKUP(A152, martes!$A:$I, 9, FALSE), IFERROR(VLOOKUP(A152, lunes!$A:$I, 9, FALSE), VLOOKUP(A152, Configuracion!$A:$B, 2, FALSE))))))</f>
        <v>#N/A</v>
      </c>
      <c r="E152">
        <f>IF(C152="Venta", IFERROR(VLOOKUP(A152, Configuracion!$A:$D, 3, FALSE), 0), 0)</f>
        <v>0</v>
      </c>
      <c r="F152">
        <f t="shared" si="7"/>
        <v>0</v>
      </c>
      <c r="H152">
        <f>IF(AND(G152="Gestor", A152&lt;&gt;""), VLOOKUP(A152, Configuracion!$A:$D, 4, FALSE), 0)*Tabla1027[[#This Row],[CANTIDAD]]</f>
        <v>0</v>
      </c>
      <c r="I152" t="str">
        <f t="shared" si="6"/>
        <v/>
      </c>
    </row>
    <row r="153" spans="2:9" x14ac:dyDescent="0.3">
      <c r="B153" t="e">
        <f>IFERROR(VLOOKUP(A153, viernes!$A:$I, 9, FALSE), IFERROR(VLOOKUP(A153, jueves!$A:$I, 9, FALSE), IFERROR(VLOOKUP(A153, miercoles!$A:$I, 9, FALSE), IFERROR(VLOOKUP(A153, martes!$A:$I, 9, FALSE), IFERROR(VLOOKUP(A153, lunes!$A:$I, 9, FALSE), VLOOKUP(A153, Configuracion!$A:$B, 2, FALSE))))))</f>
        <v>#N/A</v>
      </c>
      <c r="E153">
        <f>IF(C153="Venta", IFERROR(VLOOKUP(A153, Configuracion!$A:$D, 3, FALSE), 0), 0)</f>
        <v>0</v>
      </c>
      <c r="F153">
        <f t="shared" si="7"/>
        <v>0</v>
      </c>
      <c r="H153">
        <f>IF(AND(G153="Gestor", A153&lt;&gt;""), VLOOKUP(A153, Configuracion!$A:$D, 4, FALSE), 0)*Tabla1027[[#This Row],[CANTIDAD]]</f>
        <v>0</v>
      </c>
      <c r="I153" t="str">
        <f t="shared" si="6"/>
        <v/>
      </c>
    </row>
    <row r="154" spans="2:9" x14ac:dyDescent="0.3">
      <c r="B154" t="e">
        <f>IFERROR(VLOOKUP(A154, viernes!$A:$I, 9, FALSE), IFERROR(VLOOKUP(A154, jueves!$A:$I, 9, FALSE), IFERROR(VLOOKUP(A154, miercoles!$A:$I, 9, FALSE), IFERROR(VLOOKUP(A154, martes!$A:$I, 9, FALSE), IFERROR(VLOOKUP(A154, lunes!$A:$I, 9, FALSE), VLOOKUP(A154, Configuracion!$A:$B, 2, FALSE))))))</f>
        <v>#N/A</v>
      </c>
      <c r="E154">
        <f>IF(C154="Venta", IFERROR(VLOOKUP(A154, Configuracion!$A:$D, 3, FALSE), 0), 0)</f>
        <v>0</v>
      </c>
      <c r="F154">
        <f t="shared" si="7"/>
        <v>0</v>
      </c>
      <c r="H154">
        <f>IF(AND(G154="Gestor", A154&lt;&gt;""), VLOOKUP(A154, Configuracion!$A:$D, 4, FALSE), 0)*Tabla1027[[#This Row],[CANTIDAD]]</f>
        <v>0</v>
      </c>
      <c r="I154" t="str">
        <f t="shared" si="6"/>
        <v/>
      </c>
    </row>
    <row r="155" spans="2:9" x14ac:dyDescent="0.3">
      <c r="B155" t="e">
        <f>IFERROR(VLOOKUP(A155, viernes!$A:$I, 9, FALSE), IFERROR(VLOOKUP(A155, jueves!$A:$I, 9, FALSE), IFERROR(VLOOKUP(A155, miercoles!$A:$I, 9, FALSE), IFERROR(VLOOKUP(A155, martes!$A:$I, 9, FALSE), IFERROR(VLOOKUP(A155, lunes!$A:$I, 9, FALSE), VLOOKUP(A155, Configuracion!$A:$B, 2, FALSE))))))</f>
        <v>#N/A</v>
      </c>
      <c r="E155">
        <f>IF(C155="Venta", IFERROR(VLOOKUP(A155, Configuracion!$A:$D, 3, FALSE), 0), 0)</f>
        <v>0</v>
      </c>
      <c r="F155">
        <f t="shared" si="7"/>
        <v>0</v>
      </c>
      <c r="H155">
        <f>IF(AND(G155="Gestor", A155&lt;&gt;""), VLOOKUP(A155, Configuracion!$A:$D, 4, FALSE), 0)*Tabla1027[[#This Row],[CANTIDAD]]</f>
        <v>0</v>
      </c>
      <c r="I155" t="str">
        <f t="shared" si="6"/>
        <v/>
      </c>
    </row>
    <row r="156" spans="2:9" x14ac:dyDescent="0.3">
      <c r="B156" t="e">
        <f>IFERROR(VLOOKUP(A156, viernes!$A:$I, 9, FALSE), IFERROR(VLOOKUP(A156, jueves!$A:$I, 9, FALSE), IFERROR(VLOOKUP(A156, miercoles!$A:$I, 9, FALSE), IFERROR(VLOOKUP(A156, martes!$A:$I, 9, FALSE), IFERROR(VLOOKUP(A156, lunes!$A:$I, 9, FALSE), VLOOKUP(A156, Configuracion!$A:$B, 2, FALSE))))))</f>
        <v>#N/A</v>
      </c>
      <c r="E156">
        <f>IF(C156="Venta", IFERROR(VLOOKUP(A156, Configuracion!$A:$D, 3, FALSE), 0), 0)</f>
        <v>0</v>
      </c>
      <c r="F156">
        <f t="shared" si="7"/>
        <v>0</v>
      </c>
      <c r="H156">
        <f>IF(AND(G156="Gestor", A156&lt;&gt;""), VLOOKUP(A156, Configuracion!$A:$D, 4, FALSE), 0)*Tabla1027[[#This Row],[CANTIDAD]]</f>
        <v>0</v>
      </c>
      <c r="I156" t="str">
        <f t="shared" si="6"/>
        <v/>
      </c>
    </row>
    <row r="157" spans="2:9" x14ac:dyDescent="0.3">
      <c r="B157" t="e">
        <f>IFERROR(VLOOKUP(A157, viernes!$A:$I, 9, FALSE), IFERROR(VLOOKUP(A157, jueves!$A:$I, 9, FALSE), IFERROR(VLOOKUP(A157, miercoles!$A:$I, 9, FALSE), IFERROR(VLOOKUP(A157, martes!$A:$I, 9, FALSE), IFERROR(VLOOKUP(A157, lunes!$A:$I, 9, FALSE), VLOOKUP(A157, Configuracion!$A:$B, 2, FALSE))))))</f>
        <v>#N/A</v>
      </c>
      <c r="E157">
        <f>IF(C157="Venta", IFERROR(VLOOKUP(A157, Configuracion!$A:$D, 3, FALSE), 0), 0)</f>
        <v>0</v>
      </c>
      <c r="F157">
        <f t="shared" si="7"/>
        <v>0</v>
      </c>
      <c r="H157">
        <f>IF(AND(G157="Gestor", A157&lt;&gt;""), VLOOKUP(A157, Configuracion!$A:$D, 4, FALSE), 0)*Tabla1027[[#This Row],[CANTIDAD]]</f>
        <v>0</v>
      </c>
      <c r="I157" t="str">
        <f t="shared" si="6"/>
        <v/>
      </c>
    </row>
    <row r="158" spans="2:9" x14ac:dyDescent="0.3">
      <c r="B158" t="e">
        <f>IFERROR(VLOOKUP(A158, viernes!$A:$I, 9, FALSE), IFERROR(VLOOKUP(A158, jueves!$A:$I, 9, FALSE), IFERROR(VLOOKUP(A158, miercoles!$A:$I, 9, FALSE), IFERROR(VLOOKUP(A158, martes!$A:$I, 9, FALSE), IFERROR(VLOOKUP(A158, lunes!$A:$I, 9, FALSE), VLOOKUP(A158, Configuracion!$A:$B, 2, FALSE))))))</f>
        <v>#N/A</v>
      </c>
      <c r="E158">
        <f>IF(C158="Venta", IFERROR(VLOOKUP(A158, Configuracion!$A:$D, 3, FALSE), 0), 0)</f>
        <v>0</v>
      </c>
      <c r="F158">
        <f t="shared" si="7"/>
        <v>0</v>
      </c>
      <c r="H158">
        <f>IF(AND(G158="Gestor", A158&lt;&gt;""), VLOOKUP(A158, Configuracion!$A:$D, 4, FALSE), 0)*Tabla1027[[#This Row],[CANTIDAD]]</f>
        <v>0</v>
      </c>
      <c r="I158" t="str">
        <f t="shared" si="6"/>
        <v/>
      </c>
    </row>
    <row r="159" spans="2:9" x14ac:dyDescent="0.3">
      <c r="B159" t="e">
        <f>IFERROR(VLOOKUP(A159, viernes!$A:$I, 9, FALSE), IFERROR(VLOOKUP(A159, jueves!$A:$I, 9, FALSE), IFERROR(VLOOKUP(A159, miercoles!$A:$I, 9, FALSE), IFERROR(VLOOKUP(A159, martes!$A:$I, 9, FALSE), IFERROR(VLOOKUP(A159, lunes!$A:$I, 9, FALSE), VLOOKUP(A159, Configuracion!$A:$B, 2, FALSE))))))</f>
        <v>#N/A</v>
      </c>
      <c r="E159">
        <f>IF(C159="Venta", IFERROR(VLOOKUP(A159, Configuracion!$A:$D, 3, FALSE), 0), 0)</f>
        <v>0</v>
      </c>
      <c r="F159">
        <f t="shared" si="7"/>
        <v>0</v>
      </c>
      <c r="H159">
        <f>IF(AND(G159="Gestor", A159&lt;&gt;""), VLOOKUP(A159, Configuracion!$A:$D, 4, FALSE), 0)*Tabla1027[[#This Row],[CANTIDAD]]</f>
        <v>0</v>
      </c>
      <c r="I159" t="str">
        <f t="shared" si="6"/>
        <v/>
      </c>
    </row>
    <row r="160" spans="2:9" x14ac:dyDescent="0.3">
      <c r="B160" t="e">
        <f>IFERROR(VLOOKUP(A160, viernes!$A:$I, 9, FALSE), IFERROR(VLOOKUP(A160, jueves!$A:$I, 9, FALSE), IFERROR(VLOOKUP(A160, miercoles!$A:$I, 9, FALSE), IFERROR(VLOOKUP(A160, martes!$A:$I, 9, FALSE), IFERROR(VLOOKUP(A160, lunes!$A:$I, 9, FALSE), VLOOKUP(A160, Configuracion!$A:$B, 2, FALSE))))))</f>
        <v>#N/A</v>
      </c>
      <c r="E160">
        <f>IF(C160="Venta", IFERROR(VLOOKUP(A160, Configuracion!$A:$D, 3, FALSE), 0), 0)</f>
        <v>0</v>
      </c>
      <c r="F160">
        <f t="shared" si="7"/>
        <v>0</v>
      </c>
      <c r="H160">
        <f>IF(AND(G160="Gestor", A160&lt;&gt;""), VLOOKUP(A160, Configuracion!$A:$D, 4, FALSE), 0)*Tabla1027[[#This Row],[CANTIDAD]]</f>
        <v>0</v>
      </c>
      <c r="I160" t="str">
        <f t="shared" si="6"/>
        <v/>
      </c>
    </row>
    <row r="161" spans="2:9" x14ac:dyDescent="0.3">
      <c r="B161" t="e">
        <f>IFERROR(VLOOKUP(A161, viernes!$A:$I, 9, FALSE), IFERROR(VLOOKUP(A161, jueves!$A:$I, 9, FALSE), IFERROR(VLOOKUP(A161, miercoles!$A:$I, 9, FALSE), IFERROR(VLOOKUP(A161, martes!$A:$I, 9, FALSE), IFERROR(VLOOKUP(A161, lunes!$A:$I, 9, FALSE), VLOOKUP(A161, Configuracion!$A:$B, 2, FALSE))))))</f>
        <v>#N/A</v>
      </c>
      <c r="E161">
        <f>IF(C161="Venta", IFERROR(VLOOKUP(A161, Configuracion!$A:$D, 3, FALSE), 0), 0)</f>
        <v>0</v>
      </c>
      <c r="F161">
        <f t="shared" si="7"/>
        <v>0</v>
      </c>
      <c r="H161">
        <f>IF(AND(G161="Gestor", A161&lt;&gt;""), VLOOKUP(A161, Configuracion!$A:$D, 4, FALSE), 0)*Tabla1027[[#This Row],[CANTIDAD]]</f>
        <v>0</v>
      </c>
      <c r="I161" t="str">
        <f t="shared" si="6"/>
        <v/>
      </c>
    </row>
    <row r="162" spans="2:9" x14ac:dyDescent="0.3">
      <c r="B162" t="e">
        <f>IFERROR(VLOOKUP(A162, viernes!$A:$I, 9, FALSE), IFERROR(VLOOKUP(A162, jueves!$A:$I, 9, FALSE), IFERROR(VLOOKUP(A162, miercoles!$A:$I, 9, FALSE), IFERROR(VLOOKUP(A162, martes!$A:$I, 9, FALSE), IFERROR(VLOOKUP(A162, lunes!$A:$I, 9, FALSE), VLOOKUP(A162, Configuracion!$A:$B, 2, FALSE))))))</f>
        <v>#N/A</v>
      </c>
      <c r="E162">
        <f>IF(C162="Venta", IFERROR(VLOOKUP(A162, Configuracion!$A:$D, 3, FALSE), 0), 0)</f>
        <v>0</v>
      </c>
      <c r="F162">
        <f t="shared" si="7"/>
        <v>0</v>
      </c>
      <c r="H162">
        <f>IF(AND(G162="Gestor", A162&lt;&gt;""), VLOOKUP(A162, Configuracion!$A:$D, 4, FALSE), 0)*Tabla1027[[#This Row],[CANTIDAD]]</f>
        <v>0</v>
      </c>
      <c r="I162" t="str">
        <f t="shared" ref="I162:I189" si="8">IF(OR(A162="", D162=""), "", IF(C162="Entrada", B162+D162, IF(OR(C162="Venta", C162="Salida"), B162-D162, B162)))</f>
        <v/>
      </c>
    </row>
    <row r="163" spans="2:9" x14ac:dyDescent="0.3">
      <c r="B163" t="e">
        <f>IFERROR(VLOOKUP(A163, viernes!$A:$I, 9, FALSE), IFERROR(VLOOKUP(A163, jueves!$A:$I, 9, FALSE), IFERROR(VLOOKUP(A163, miercoles!$A:$I, 9, FALSE), IFERROR(VLOOKUP(A163, martes!$A:$I, 9, FALSE), IFERROR(VLOOKUP(A163, lunes!$A:$I, 9, FALSE), VLOOKUP(A163, Configuracion!$A:$B, 2, FALSE))))))</f>
        <v>#N/A</v>
      </c>
      <c r="E163">
        <f>IF(C163="Venta", IFERROR(VLOOKUP(A163, Configuracion!$A:$D, 3, FALSE), 0), 0)</f>
        <v>0</v>
      </c>
      <c r="F163">
        <f t="shared" si="7"/>
        <v>0</v>
      </c>
      <c r="H163">
        <f>IF(AND(G163="Gestor", A163&lt;&gt;""), VLOOKUP(A163, Configuracion!$A:$D, 4, FALSE), 0)*Tabla1027[[#This Row],[CANTIDAD]]</f>
        <v>0</v>
      </c>
      <c r="I163" t="str">
        <f t="shared" si="8"/>
        <v/>
      </c>
    </row>
    <row r="164" spans="2:9" x14ac:dyDescent="0.3">
      <c r="B164" t="e">
        <f>IFERROR(VLOOKUP(A164, viernes!$A:$I, 9, FALSE), IFERROR(VLOOKUP(A164, jueves!$A:$I, 9, FALSE), IFERROR(VLOOKUP(A164, miercoles!$A:$I, 9, FALSE), IFERROR(VLOOKUP(A164, martes!$A:$I, 9, FALSE), IFERROR(VLOOKUP(A164, lunes!$A:$I, 9, FALSE), VLOOKUP(A164, Configuracion!$A:$B, 2, FALSE))))))</f>
        <v>#N/A</v>
      </c>
      <c r="E164">
        <f>IF(C164="Venta", IFERROR(VLOOKUP(A164, Configuracion!$A:$D, 3, FALSE), 0), 0)</f>
        <v>0</v>
      </c>
      <c r="F164">
        <f t="shared" si="7"/>
        <v>0</v>
      </c>
      <c r="H164">
        <f>IF(AND(G164="Gestor", A164&lt;&gt;""), VLOOKUP(A164, Configuracion!$A:$D, 4, FALSE), 0)*Tabla1027[[#This Row],[CANTIDAD]]</f>
        <v>0</v>
      </c>
      <c r="I164" t="str">
        <f t="shared" si="8"/>
        <v/>
      </c>
    </row>
    <row r="165" spans="2:9" x14ac:dyDescent="0.3">
      <c r="B165" t="e">
        <f>IFERROR(VLOOKUP(A165, viernes!$A:$I, 9, FALSE), IFERROR(VLOOKUP(A165, jueves!$A:$I, 9, FALSE), IFERROR(VLOOKUP(A165, miercoles!$A:$I, 9, FALSE), IFERROR(VLOOKUP(A165, martes!$A:$I, 9, FALSE), IFERROR(VLOOKUP(A165, lunes!$A:$I, 9, FALSE), VLOOKUP(A165, Configuracion!$A:$B, 2, FALSE))))))</f>
        <v>#N/A</v>
      </c>
      <c r="E165">
        <f>IF(C165="Venta", IFERROR(VLOOKUP(A165, Configuracion!$A:$D, 3, FALSE), 0), 0)</f>
        <v>0</v>
      </c>
      <c r="F165">
        <f t="shared" si="7"/>
        <v>0</v>
      </c>
      <c r="H165">
        <f>IF(AND(G165="Gestor", A165&lt;&gt;""), VLOOKUP(A165, Configuracion!$A:$D, 4, FALSE), 0)*Tabla1027[[#This Row],[CANTIDAD]]</f>
        <v>0</v>
      </c>
      <c r="I165" t="str">
        <f t="shared" si="8"/>
        <v/>
      </c>
    </row>
    <row r="166" spans="2:9" x14ac:dyDescent="0.3">
      <c r="B166" t="e">
        <f>IFERROR(VLOOKUP(A166, viernes!$A:$I, 9, FALSE), IFERROR(VLOOKUP(A166, jueves!$A:$I, 9, FALSE), IFERROR(VLOOKUP(A166, miercoles!$A:$I, 9, FALSE), IFERROR(VLOOKUP(A166, martes!$A:$I, 9, FALSE), IFERROR(VLOOKUP(A166, lunes!$A:$I, 9, FALSE), VLOOKUP(A166, Configuracion!$A:$B, 2, FALSE))))))</f>
        <v>#N/A</v>
      </c>
      <c r="E166">
        <f>IF(C166="Venta", IFERROR(VLOOKUP(A166, Configuracion!$A:$D, 3, FALSE), 0), 0)</f>
        <v>0</v>
      </c>
      <c r="F166">
        <f t="shared" si="7"/>
        <v>0</v>
      </c>
      <c r="H166">
        <f>IF(AND(G166="Gestor", A166&lt;&gt;""), VLOOKUP(A166, Configuracion!$A:$D, 4, FALSE), 0)*Tabla1027[[#This Row],[CANTIDAD]]</f>
        <v>0</v>
      </c>
      <c r="I166" t="str">
        <f t="shared" si="8"/>
        <v/>
      </c>
    </row>
    <row r="167" spans="2:9" x14ac:dyDescent="0.3">
      <c r="B167" t="e">
        <f>IFERROR(VLOOKUP(A167, viernes!$A:$I, 9, FALSE), IFERROR(VLOOKUP(A167, jueves!$A:$I, 9, FALSE), IFERROR(VLOOKUP(A167, miercoles!$A:$I, 9, FALSE), IFERROR(VLOOKUP(A167, martes!$A:$I, 9, FALSE), IFERROR(VLOOKUP(A167, lunes!$A:$I, 9, FALSE), VLOOKUP(A167, Configuracion!$A:$B, 2, FALSE))))))</f>
        <v>#N/A</v>
      </c>
      <c r="E167">
        <f>IF(C167="Venta", IFERROR(VLOOKUP(A167, Configuracion!$A:$D, 3, FALSE), 0), 0)</f>
        <v>0</v>
      </c>
      <c r="F167">
        <f t="shared" si="7"/>
        <v>0</v>
      </c>
      <c r="H167">
        <f>IF(AND(G167="Gestor", A167&lt;&gt;""), VLOOKUP(A167, Configuracion!$A:$D, 4, FALSE), 0)*Tabla1027[[#This Row],[CANTIDAD]]</f>
        <v>0</v>
      </c>
      <c r="I167" t="str">
        <f t="shared" si="8"/>
        <v/>
      </c>
    </row>
    <row r="168" spans="2:9" x14ac:dyDescent="0.3">
      <c r="B168" t="e">
        <f>IFERROR(VLOOKUP(A168, viernes!$A:$I, 9, FALSE), IFERROR(VLOOKUP(A168, jueves!$A:$I, 9, FALSE), IFERROR(VLOOKUP(A168, miercoles!$A:$I, 9, FALSE), IFERROR(VLOOKUP(A168, martes!$A:$I, 9, FALSE), IFERROR(VLOOKUP(A168, lunes!$A:$I, 9, FALSE), VLOOKUP(A168, Configuracion!$A:$B, 2, FALSE))))))</f>
        <v>#N/A</v>
      </c>
      <c r="E168">
        <f>IF(C168="Venta", IFERROR(VLOOKUP(A168, Configuracion!$A:$D, 3, FALSE), 0), 0)</f>
        <v>0</v>
      </c>
      <c r="F168">
        <f t="shared" si="7"/>
        <v>0</v>
      </c>
      <c r="H168">
        <f>IF(AND(G168="Gestor", A168&lt;&gt;""), VLOOKUP(A168, Configuracion!$A:$D, 4, FALSE), 0)*Tabla1027[[#This Row],[CANTIDAD]]</f>
        <v>0</v>
      </c>
      <c r="I168" t="str">
        <f t="shared" si="8"/>
        <v/>
      </c>
    </row>
    <row r="169" spans="2:9" x14ac:dyDescent="0.3">
      <c r="B169" t="e">
        <f>IFERROR(VLOOKUP(A169, viernes!$A:$I, 9, FALSE), IFERROR(VLOOKUP(A169, jueves!$A:$I, 9, FALSE), IFERROR(VLOOKUP(A169, miercoles!$A:$I, 9, FALSE), IFERROR(VLOOKUP(A169, martes!$A:$I, 9, FALSE), IFERROR(VLOOKUP(A169, lunes!$A:$I, 9, FALSE), VLOOKUP(A169, Configuracion!$A:$B, 2, FALSE))))))</f>
        <v>#N/A</v>
      </c>
      <c r="E169">
        <f>IF(C169="Venta", IFERROR(VLOOKUP(A169, Configuracion!$A:$D, 3, FALSE), 0), 0)</f>
        <v>0</v>
      </c>
      <c r="F169">
        <f t="shared" si="7"/>
        <v>0</v>
      </c>
      <c r="H169">
        <f>IF(AND(G169="Gestor", A169&lt;&gt;""), VLOOKUP(A169, Configuracion!$A:$D, 4, FALSE), 0)*Tabla1027[[#This Row],[CANTIDAD]]</f>
        <v>0</v>
      </c>
      <c r="I169" t="str">
        <f t="shared" si="8"/>
        <v/>
      </c>
    </row>
    <row r="170" spans="2:9" x14ac:dyDescent="0.3">
      <c r="B170" t="e">
        <f>IFERROR(VLOOKUP(A170, viernes!$A:$I, 9, FALSE), IFERROR(VLOOKUP(A170, jueves!$A:$I, 9, FALSE), IFERROR(VLOOKUP(A170, miercoles!$A:$I, 9, FALSE), IFERROR(VLOOKUP(A170, martes!$A:$I, 9, FALSE), IFERROR(VLOOKUP(A170, lunes!$A:$I, 9, FALSE), VLOOKUP(A170, Configuracion!$A:$B, 2, FALSE))))))</f>
        <v>#N/A</v>
      </c>
      <c r="E170">
        <f>IF(C170="Venta", IFERROR(VLOOKUP(A170, Configuracion!$A:$D, 3, FALSE), 0), 0)</f>
        <v>0</v>
      </c>
      <c r="F170">
        <f t="shared" si="7"/>
        <v>0</v>
      </c>
      <c r="H170">
        <f>IF(AND(G170="Gestor", A170&lt;&gt;""), VLOOKUP(A170, Configuracion!$A:$D, 4, FALSE), 0)*Tabla1027[[#This Row],[CANTIDAD]]</f>
        <v>0</v>
      </c>
      <c r="I170" t="str">
        <f t="shared" si="8"/>
        <v/>
      </c>
    </row>
    <row r="171" spans="2:9" x14ac:dyDescent="0.3">
      <c r="B171" t="e">
        <f>IFERROR(VLOOKUP(A171, viernes!$A:$I, 9, FALSE), IFERROR(VLOOKUP(A171, jueves!$A:$I, 9, FALSE), IFERROR(VLOOKUP(A171, miercoles!$A:$I, 9, FALSE), IFERROR(VLOOKUP(A171, martes!$A:$I, 9, FALSE), IFERROR(VLOOKUP(A171, lunes!$A:$I, 9, FALSE), VLOOKUP(A171, Configuracion!$A:$B, 2, FALSE))))))</f>
        <v>#N/A</v>
      </c>
      <c r="E171">
        <f>IF(C171="Venta", IFERROR(VLOOKUP(A171, Configuracion!$A:$D, 3, FALSE), 0), 0)</f>
        <v>0</v>
      </c>
      <c r="F171">
        <f t="shared" si="7"/>
        <v>0</v>
      </c>
      <c r="H171">
        <f>IF(AND(G171="Gestor", A171&lt;&gt;""), VLOOKUP(A171, Configuracion!$A:$D, 4, FALSE), 0)*Tabla1027[[#This Row],[CANTIDAD]]</f>
        <v>0</v>
      </c>
      <c r="I171" t="str">
        <f t="shared" si="8"/>
        <v/>
      </c>
    </row>
    <row r="172" spans="2:9" x14ac:dyDescent="0.3">
      <c r="B172" t="e">
        <f>IFERROR(VLOOKUP(A172, viernes!$A:$I, 9, FALSE), IFERROR(VLOOKUP(A172, jueves!$A:$I, 9, FALSE), IFERROR(VLOOKUP(A172, miercoles!$A:$I, 9, FALSE), IFERROR(VLOOKUP(A172, martes!$A:$I, 9, FALSE), IFERROR(VLOOKUP(A172, lunes!$A:$I, 9, FALSE), VLOOKUP(A172, Configuracion!$A:$B, 2, FALSE))))))</f>
        <v>#N/A</v>
      </c>
      <c r="E172">
        <f>IF(C172="Venta", IFERROR(VLOOKUP(A172, Configuracion!$A:$D, 3, FALSE), 0), 0)</f>
        <v>0</v>
      </c>
      <c r="F172">
        <f t="shared" si="7"/>
        <v>0</v>
      </c>
      <c r="H172">
        <f>IF(AND(G172="Gestor", A172&lt;&gt;""), VLOOKUP(A172, Configuracion!$A:$D, 4, FALSE), 0)*Tabla1027[[#This Row],[CANTIDAD]]</f>
        <v>0</v>
      </c>
      <c r="I172" t="str">
        <f t="shared" si="8"/>
        <v/>
      </c>
    </row>
    <row r="173" spans="2:9" x14ac:dyDescent="0.3">
      <c r="B173" t="e">
        <f>IFERROR(VLOOKUP(A173, viernes!$A:$I, 9, FALSE), IFERROR(VLOOKUP(A173, jueves!$A:$I, 9, FALSE), IFERROR(VLOOKUP(A173, miercoles!$A:$I, 9, FALSE), IFERROR(VLOOKUP(A173, martes!$A:$I, 9, FALSE), IFERROR(VLOOKUP(A173, lunes!$A:$I, 9, FALSE), VLOOKUP(A173, Configuracion!$A:$B, 2, FALSE))))))</f>
        <v>#N/A</v>
      </c>
      <c r="E173">
        <f>IF(C173="Venta", IFERROR(VLOOKUP(A173, Configuracion!$A:$D, 3, FALSE), 0), 0)</f>
        <v>0</v>
      </c>
      <c r="F173">
        <f t="shared" si="7"/>
        <v>0</v>
      </c>
      <c r="H173">
        <f>IF(AND(G173="Gestor", A173&lt;&gt;""), VLOOKUP(A173, Configuracion!$A:$D, 4, FALSE), 0)*Tabla1027[[#This Row],[CANTIDAD]]</f>
        <v>0</v>
      </c>
      <c r="I173" t="str">
        <f t="shared" si="8"/>
        <v/>
      </c>
    </row>
    <row r="174" spans="2:9" x14ac:dyDescent="0.3">
      <c r="B174" t="e">
        <f>IFERROR(VLOOKUP(A174, viernes!$A:$I, 9, FALSE), IFERROR(VLOOKUP(A174, jueves!$A:$I, 9, FALSE), IFERROR(VLOOKUP(A174, miercoles!$A:$I, 9, FALSE), IFERROR(VLOOKUP(A174, martes!$A:$I, 9, FALSE), IFERROR(VLOOKUP(A174, lunes!$A:$I, 9, FALSE), VLOOKUP(A174, Configuracion!$A:$B, 2, FALSE))))))</f>
        <v>#N/A</v>
      </c>
      <c r="E174">
        <f>IF(C174="Venta", IFERROR(VLOOKUP(A174, Configuracion!$A:$D, 3, FALSE), 0), 0)</f>
        <v>0</v>
      </c>
      <c r="F174">
        <f t="shared" si="7"/>
        <v>0</v>
      </c>
      <c r="H174">
        <f>IF(AND(G174="Gestor", A174&lt;&gt;""), VLOOKUP(A174, Configuracion!$A:$D, 4, FALSE), 0)*Tabla1027[[#This Row],[CANTIDAD]]</f>
        <v>0</v>
      </c>
      <c r="I174" t="str">
        <f t="shared" si="8"/>
        <v/>
      </c>
    </row>
    <row r="175" spans="2:9" x14ac:dyDescent="0.3">
      <c r="B175" t="e">
        <f>IFERROR(VLOOKUP(A175, viernes!$A:$I, 9, FALSE), IFERROR(VLOOKUP(A175, jueves!$A:$I, 9, FALSE), IFERROR(VLOOKUP(A175, miercoles!$A:$I, 9, FALSE), IFERROR(VLOOKUP(A175, martes!$A:$I, 9, FALSE), IFERROR(VLOOKUP(A175, lunes!$A:$I, 9, FALSE), VLOOKUP(A175, Configuracion!$A:$B, 2, FALSE))))))</f>
        <v>#N/A</v>
      </c>
      <c r="E175">
        <f>IF(C175="Venta", IFERROR(VLOOKUP(A175, Configuracion!$A:$D, 3, FALSE), 0), 0)</f>
        <v>0</v>
      </c>
      <c r="F175">
        <f t="shared" si="7"/>
        <v>0</v>
      </c>
      <c r="H175">
        <f>IF(AND(G175="Gestor", A175&lt;&gt;""), VLOOKUP(A175, Configuracion!$A:$D, 4, FALSE), 0)*Tabla1027[[#This Row],[CANTIDAD]]</f>
        <v>0</v>
      </c>
      <c r="I175" t="str">
        <f t="shared" si="8"/>
        <v/>
      </c>
    </row>
    <row r="176" spans="2:9" x14ac:dyDescent="0.3">
      <c r="B176" t="e">
        <f>IFERROR(VLOOKUP(A176, viernes!$A:$I, 9, FALSE), IFERROR(VLOOKUP(A176, jueves!$A:$I, 9, FALSE), IFERROR(VLOOKUP(A176, miercoles!$A:$I, 9, FALSE), IFERROR(VLOOKUP(A176, martes!$A:$I, 9, FALSE), IFERROR(VLOOKUP(A176, lunes!$A:$I, 9, FALSE), VLOOKUP(A176, Configuracion!$A:$B, 2, FALSE))))))</f>
        <v>#N/A</v>
      </c>
      <c r="E176">
        <f>IF(C176="Venta", IFERROR(VLOOKUP(A176, Configuracion!$A:$D, 3, FALSE), 0), 0)</f>
        <v>0</v>
      </c>
      <c r="F176">
        <f t="shared" si="7"/>
        <v>0</v>
      </c>
      <c r="H176">
        <f>IF(AND(G176="Gestor", A176&lt;&gt;""), VLOOKUP(A176, Configuracion!$A:$D, 4, FALSE), 0)*Tabla1027[[#This Row],[CANTIDAD]]</f>
        <v>0</v>
      </c>
      <c r="I176" t="str">
        <f t="shared" si="8"/>
        <v/>
      </c>
    </row>
    <row r="177" spans="2:9" x14ac:dyDescent="0.3">
      <c r="B177" t="e">
        <f>IFERROR(VLOOKUP(A177, viernes!$A:$I, 9, FALSE), IFERROR(VLOOKUP(A177, jueves!$A:$I, 9, FALSE), IFERROR(VLOOKUP(A177, miercoles!$A:$I, 9, FALSE), IFERROR(VLOOKUP(A177, martes!$A:$I, 9, FALSE), IFERROR(VLOOKUP(A177, lunes!$A:$I, 9, FALSE), VLOOKUP(A177, Configuracion!$A:$B, 2, FALSE))))))</f>
        <v>#N/A</v>
      </c>
      <c r="E177">
        <f>IF(C177="Venta", IFERROR(VLOOKUP(A177, Configuracion!$A:$D, 3, FALSE), 0), 0)</f>
        <v>0</v>
      </c>
      <c r="F177">
        <f t="shared" si="7"/>
        <v>0</v>
      </c>
      <c r="H177">
        <f>IF(AND(G177="Gestor", A177&lt;&gt;""), VLOOKUP(A177, Configuracion!$A:$D, 4, FALSE), 0)*Tabla1027[[#This Row],[CANTIDAD]]</f>
        <v>0</v>
      </c>
      <c r="I177" t="str">
        <f t="shared" si="8"/>
        <v/>
      </c>
    </row>
    <row r="178" spans="2:9" x14ac:dyDescent="0.3">
      <c r="B178" t="e">
        <f>IFERROR(VLOOKUP(A178, viernes!$A:$I, 9, FALSE), IFERROR(VLOOKUP(A178, jueves!$A:$I, 9, FALSE), IFERROR(VLOOKUP(A178, miercoles!$A:$I, 9, FALSE), IFERROR(VLOOKUP(A178, martes!$A:$I, 9, FALSE), IFERROR(VLOOKUP(A178, lunes!$A:$I, 9, FALSE), VLOOKUP(A178, Configuracion!$A:$B, 2, FALSE))))))</f>
        <v>#N/A</v>
      </c>
      <c r="E178">
        <f>IF(C178="Venta", IFERROR(VLOOKUP(A178, Configuracion!$A:$D, 3, FALSE), 0), 0)</f>
        <v>0</v>
      </c>
      <c r="F178">
        <f t="shared" si="7"/>
        <v>0</v>
      </c>
      <c r="H178">
        <f>IF(AND(G178="Gestor", A178&lt;&gt;""), VLOOKUP(A178, Configuracion!$A:$D, 4, FALSE), 0)*Tabla1027[[#This Row],[CANTIDAD]]</f>
        <v>0</v>
      </c>
      <c r="I178" t="str">
        <f t="shared" si="8"/>
        <v/>
      </c>
    </row>
    <row r="179" spans="2:9" x14ac:dyDescent="0.3">
      <c r="B179" t="e">
        <f>IFERROR(VLOOKUP(A179, viernes!$A:$I, 9, FALSE), IFERROR(VLOOKUP(A179, jueves!$A:$I, 9, FALSE), IFERROR(VLOOKUP(A179, miercoles!$A:$I, 9, FALSE), IFERROR(VLOOKUP(A179, martes!$A:$I, 9, FALSE), IFERROR(VLOOKUP(A179, lunes!$A:$I, 9, FALSE), VLOOKUP(A179, Configuracion!$A:$B, 2, FALSE))))))</f>
        <v>#N/A</v>
      </c>
      <c r="E179">
        <f>IF(C179="Venta", IFERROR(VLOOKUP(A179, Configuracion!$A:$D, 3, FALSE), 0), 0)</f>
        <v>0</v>
      </c>
      <c r="F179">
        <f t="shared" si="7"/>
        <v>0</v>
      </c>
      <c r="H179">
        <f>IF(AND(G179="Gestor", A179&lt;&gt;""), VLOOKUP(A179, Configuracion!$A:$D, 4, FALSE), 0)*Tabla1027[[#This Row],[CANTIDAD]]</f>
        <v>0</v>
      </c>
      <c r="I179" t="str">
        <f t="shared" si="8"/>
        <v/>
      </c>
    </row>
    <row r="180" spans="2:9" x14ac:dyDescent="0.3">
      <c r="B180" t="e">
        <f>IFERROR(VLOOKUP(A180, viernes!$A:$I, 9, FALSE), IFERROR(VLOOKUP(A180, jueves!$A:$I, 9, FALSE), IFERROR(VLOOKUP(A180, miercoles!$A:$I, 9, FALSE), IFERROR(VLOOKUP(A180, martes!$A:$I, 9, FALSE), IFERROR(VLOOKUP(A180, lunes!$A:$I, 9, FALSE), VLOOKUP(A180, Configuracion!$A:$B, 2, FALSE))))))</f>
        <v>#N/A</v>
      </c>
      <c r="E180">
        <f>IF(C180="Venta", IFERROR(VLOOKUP(A180, Configuracion!$A:$D, 3, FALSE), 0), 0)</f>
        <v>0</v>
      </c>
      <c r="F180">
        <f t="shared" si="7"/>
        <v>0</v>
      </c>
      <c r="H180">
        <f>IF(AND(G180="Gestor", A180&lt;&gt;""), VLOOKUP(A180, Configuracion!$A:$D, 4, FALSE), 0)*Tabla1027[[#This Row],[CANTIDAD]]</f>
        <v>0</v>
      </c>
      <c r="I180" t="str">
        <f t="shared" si="8"/>
        <v/>
      </c>
    </row>
    <row r="181" spans="2:9" x14ac:dyDescent="0.3">
      <c r="B181" t="e">
        <f>IFERROR(VLOOKUP(A181, viernes!$A:$I, 9, FALSE), IFERROR(VLOOKUP(A181, jueves!$A:$I, 9, FALSE), IFERROR(VLOOKUP(A181, miercoles!$A:$I, 9, FALSE), IFERROR(VLOOKUP(A181, martes!$A:$I, 9, FALSE), IFERROR(VLOOKUP(A181, lunes!$A:$I, 9, FALSE), VLOOKUP(A181, Configuracion!$A:$B, 2, FALSE))))))</f>
        <v>#N/A</v>
      </c>
      <c r="E181">
        <f>IF(C181="Venta", IFERROR(VLOOKUP(A181, Configuracion!$A:$D, 3, FALSE), 0), 0)</f>
        <v>0</v>
      </c>
      <c r="F181">
        <f t="shared" si="7"/>
        <v>0</v>
      </c>
      <c r="H181">
        <f>IF(AND(G181="Gestor", A181&lt;&gt;""), VLOOKUP(A181, Configuracion!$A:$D, 4, FALSE), 0)*Tabla1027[[#This Row],[CANTIDAD]]</f>
        <v>0</v>
      </c>
      <c r="I181" t="str">
        <f t="shared" si="8"/>
        <v/>
      </c>
    </row>
    <row r="182" spans="2:9" x14ac:dyDescent="0.3">
      <c r="B182" t="e">
        <f>IFERROR(VLOOKUP(A182, viernes!$A:$I, 9, FALSE), IFERROR(VLOOKUP(A182, jueves!$A:$I, 9, FALSE), IFERROR(VLOOKUP(A182, miercoles!$A:$I, 9, FALSE), IFERROR(VLOOKUP(A182, martes!$A:$I, 9, FALSE), IFERROR(VLOOKUP(A182, lunes!$A:$I, 9, FALSE), VLOOKUP(A182, Configuracion!$A:$B, 2, FALSE))))))</f>
        <v>#N/A</v>
      </c>
      <c r="E182">
        <f>IF(C182="Venta", IFERROR(VLOOKUP(A182, Configuracion!$A:$D, 3, FALSE), 0), 0)</f>
        <v>0</v>
      </c>
      <c r="F182">
        <f t="shared" si="7"/>
        <v>0</v>
      </c>
      <c r="H182">
        <f>IF(AND(G182="Gestor", A182&lt;&gt;""), VLOOKUP(A182, Configuracion!$A:$D, 4, FALSE), 0)*Tabla1027[[#This Row],[CANTIDAD]]</f>
        <v>0</v>
      </c>
      <c r="I182" t="str">
        <f t="shared" si="8"/>
        <v/>
      </c>
    </row>
    <row r="183" spans="2:9" x14ac:dyDescent="0.3">
      <c r="B183" t="e">
        <f>IFERROR(VLOOKUP(A183, viernes!$A:$I, 9, FALSE), IFERROR(VLOOKUP(A183, jueves!$A:$I, 9, FALSE), IFERROR(VLOOKUP(A183, miercoles!$A:$I, 9, FALSE), IFERROR(VLOOKUP(A183, martes!$A:$I, 9, FALSE), IFERROR(VLOOKUP(A183, lunes!$A:$I, 9, FALSE), VLOOKUP(A183, Configuracion!$A:$B, 2, FALSE))))))</f>
        <v>#N/A</v>
      </c>
      <c r="E183">
        <f>IF(C183="Venta", IFERROR(VLOOKUP(A183, Configuracion!$A:$D, 3, FALSE), 0), 0)</f>
        <v>0</v>
      </c>
      <c r="F183">
        <f t="shared" si="7"/>
        <v>0</v>
      </c>
      <c r="H183">
        <f>IF(AND(G183="Gestor", A183&lt;&gt;""), VLOOKUP(A183, Configuracion!$A:$D, 4, FALSE), 0)*Tabla1027[[#This Row],[CANTIDAD]]</f>
        <v>0</v>
      </c>
      <c r="I183" t="str">
        <f t="shared" si="8"/>
        <v/>
      </c>
    </row>
    <row r="184" spans="2:9" x14ac:dyDescent="0.3">
      <c r="B184" t="e">
        <f>IFERROR(VLOOKUP(A184, viernes!$A:$I, 9, FALSE), IFERROR(VLOOKUP(A184, jueves!$A:$I, 9, FALSE), IFERROR(VLOOKUP(A184, miercoles!$A:$I, 9, FALSE), IFERROR(VLOOKUP(A184, martes!$A:$I, 9, FALSE), IFERROR(VLOOKUP(A184, lunes!$A:$I, 9, FALSE), VLOOKUP(A184, Configuracion!$A:$B, 2, FALSE))))))</f>
        <v>#N/A</v>
      </c>
      <c r="E184">
        <f>IF(C184="Venta", IFERROR(VLOOKUP(A184, Configuracion!$A:$D, 3, FALSE), 0), 0)</f>
        <v>0</v>
      </c>
      <c r="F184">
        <f t="shared" si="7"/>
        <v>0</v>
      </c>
      <c r="H184">
        <f>IF(AND(G184="Gestor", A184&lt;&gt;""), VLOOKUP(A184, Configuracion!$A:$D, 4, FALSE), 0)*Tabla1027[[#This Row],[CANTIDAD]]</f>
        <v>0</v>
      </c>
      <c r="I184" t="str">
        <f t="shared" si="8"/>
        <v/>
      </c>
    </row>
    <row r="185" spans="2:9" x14ac:dyDescent="0.3">
      <c r="B185" t="e">
        <f>IFERROR(VLOOKUP(A185, viernes!$A:$I, 9, FALSE), IFERROR(VLOOKUP(A185, jueves!$A:$I, 9, FALSE), IFERROR(VLOOKUP(A185, miercoles!$A:$I, 9, FALSE), IFERROR(VLOOKUP(A185, martes!$A:$I, 9, FALSE), IFERROR(VLOOKUP(A185, lunes!$A:$I, 9, FALSE), VLOOKUP(A185, Configuracion!$A:$B, 2, FALSE))))))</f>
        <v>#N/A</v>
      </c>
      <c r="E185">
        <f>IF(C185="Venta", IFERROR(VLOOKUP(A185, Configuracion!$A:$D, 3, FALSE), 0), 0)</f>
        <v>0</v>
      </c>
      <c r="F185">
        <f t="shared" si="7"/>
        <v>0</v>
      </c>
      <c r="H185">
        <f>IF(AND(G185="Gestor", A185&lt;&gt;""), VLOOKUP(A185, Configuracion!$A:$D, 4, FALSE), 0)*Tabla1027[[#This Row],[CANTIDAD]]</f>
        <v>0</v>
      </c>
      <c r="I185" t="str">
        <f t="shared" si="8"/>
        <v/>
      </c>
    </row>
    <row r="186" spans="2:9" x14ac:dyDescent="0.3">
      <c r="B186" t="e">
        <f>IFERROR(VLOOKUP(A186, viernes!$A:$I, 9, FALSE), IFERROR(VLOOKUP(A186, jueves!$A:$I, 9, FALSE), IFERROR(VLOOKUP(A186, miercoles!$A:$I, 9, FALSE), IFERROR(VLOOKUP(A186, martes!$A:$I, 9, FALSE), IFERROR(VLOOKUP(A186, lunes!$A:$I, 9, FALSE), VLOOKUP(A186, Configuracion!$A:$B, 2, FALSE))))))</f>
        <v>#N/A</v>
      </c>
      <c r="E186">
        <f>IF(C186="Venta", IFERROR(VLOOKUP(A186, Configuracion!$A:$D, 3, FALSE), 0), 0)</f>
        <v>0</v>
      </c>
      <c r="F186">
        <f t="shared" si="7"/>
        <v>0</v>
      </c>
      <c r="H186">
        <f>IF(AND(G186="Gestor", A186&lt;&gt;""), VLOOKUP(A186, Configuracion!$A:$D, 4, FALSE), 0)*Tabla1027[[#This Row],[CANTIDAD]]</f>
        <v>0</v>
      </c>
      <c r="I186" t="str">
        <f t="shared" si="8"/>
        <v/>
      </c>
    </row>
    <row r="187" spans="2:9" x14ac:dyDescent="0.3">
      <c r="B187" t="e">
        <f>IFERROR(VLOOKUP(A187, viernes!$A:$I, 9, FALSE), IFERROR(VLOOKUP(A187, jueves!$A:$I, 9, FALSE), IFERROR(VLOOKUP(A187, miercoles!$A:$I, 9, FALSE), IFERROR(VLOOKUP(A187, martes!$A:$I, 9, FALSE), IFERROR(VLOOKUP(A187, lunes!$A:$I, 9, FALSE), VLOOKUP(A187, Configuracion!$A:$B, 2, FALSE))))))</f>
        <v>#N/A</v>
      </c>
      <c r="E187">
        <f>IF(C187="Venta", IFERROR(VLOOKUP(A187, Configuracion!$A:$D, 3, FALSE), 0), 0)</f>
        <v>0</v>
      </c>
      <c r="F187">
        <f t="shared" si="7"/>
        <v>0</v>
      </c>
      <c r="H187">
        <f>IF(AND(G187="Gestor", A187&lt;&gt;""), VLOOKUP(A187, Configuracion!$A:$D, 4, FALSE), 0)*Tabla1027[[#This Row],[CANTIDAD]]</f>
        <v>0</v>
      </c>
      <c r="I187" t="str">
        <f t="shared" si="8"/>
        <v/>
      </c>
    </row>
    <row r="188" spans="2:9" x14ac:dyDescent="0.3">
      <c r="B188" t="e">
        <f>IFERROR(VLOOKUP(A188, viernes!$A:$I, 9, FALSE), IFERROR(VLOOKUP(A188, jueves!$A:$I, 9, FALSE), IFERROR(VLOOKUP(A188, miercoles!$A:$I, 9, FALSE), IFERROR(VLOOKUP(A188, martes!$A:$I, 9, FALSE), IFERROR(VLOOKUP(A188, lunes!$A:$I, 9, FALSE), VLOOKUP(A188, Configuracion!$A:$B, 2, FALSE))))))</f>
        <v>#N/A</v>
      </c>
      <c r="E188">
        <f>IF(C188="Venta", IFERROR(VLOOKUP(A188, Configuracion!$A:$D, 3, FALSE), 0), 0)</f>
        <v>0</v>
      </c>
      <c r="F188">
        <f t="shared" si="7"/>
        <v>0</v>
      </c>
      <c r="H188">
        <f>IF(AND(G188="Gestor", A188&lt;&gt;""), VLOOKUP(A188, Configuracion!$A:$D, 4, FALSE), 0)*Tabla1027[[#This Row],[CANTIDAD]]</f>
        <v>0</v>
      </c>
      <c r="I188" t="str">
        <f t="shared" si="8"/>
        <v/>
      </c>
    </row>
    <row r="189" spans="2:9" x14ac:dyDescent="0.3">
      <c r="B189" t="e">
        <f>IFERROR(VLOOKUP(A189, viernes!$A:$I, 9, FALSE), IFERROR(VLOOKUP(A189, jueves!$A:$I, 9, FALSE), IFERROR(VLOOKUP(A189, miercoles!$A:$I, 9, FALSE), IFERROR(VLOOKUP(A189, martes!$A:$I, 9, FALSE), IFERROR(VLOOKUP(A189, lunes!$A:$I, 9, FALSE), VLOOKUP(A189, Configuracion!$A:$B, 2, FALSE))))))</f>
        <v>#N/A</v>
      </c>
      <c r="E189">
        <f>IF(C189="Venta", IFERROR(VLOOKUP(A189, Configuracion!$A:$D, 3, FALSE), 0), 0)</f>
        <v>0</v>
      </c>
      <c r="F189">
        <f t="shared" si="7"/>
        <v>0</v>
      </c>
      <c r="H189">
        <f>IF(AND(G189="Gestor", A189&lt;&gt;""), VLOOKUP(A189, Configuracion!$A:$D, 4, FALSE), 0)*Tabla1027[[#This Row],[CANTIDAD]]</f>
        <v>0</v>
      </c>
      <c r="I189" t="str">
        <f t="shared" si="8"/>
        <v/>
      </c>
    </row>
    <row r="190" spans="2:9" x14ac:dyDescent="0.3">
      <c r="B190" t="e">
        <f>IFERROR(VLOOKUP(A190, viernes!$A:$I, 9, FALSE), IFERROR(VLOOKUP(A190, jueves!$A:$I, 9, FALSE), IFERROR(VLOOKUP(A190, miercoles!$A:$I, 9, FALSE), IFERROR(VLOOKUP(A190, martes!$A:$I, 9, FALSE), IFERROR(VLOOKUP(A190, lunes!$A:$I, 9, FALSE), VLOOKUP(A190, Configuracion!$A:$B, 2, FALSE))))))</f>
        <v>#N/A</v>
      </c>
      <c r="E190">
        <f>IF(C190="Venta", IFERROR(VLOOKUP(A190, Configuracion!$A:$D, 3, FALSE), 0), 0)</f>
        <v>0</v>
      </c>
      <c r="F190">
        <f t="shared" si="7"/>
        <v>0</v>
      </c>
      <c r="H190">
        <f>IF(AND(G190="Gestor", A190&lt;&gt;""), VLOOKUP(A190, Configuracion!$A:$D, 4, FALSE), 0)*Tabla1027[[#This Row],[CANTIDAD]]</f>
        <v>0</v>
      </c>
    </row>
  </sheetData>
  <dataValidations count="3">
    <dataValidation type="list" allowBlank="1" showInputMessage="1" showErrorMessage="1" sqref="C2:C194" xr:uid="{00000000-0002-0000-0600-000000000000}">
      <formula1>"ENTRADA, SALIDA, VENTA"</formula1>
    </dataValidation>
    <dataValidation type="list" allowBlank="1" showInputMessage="1" showErrorMessage="1" sqref="A2:A194" xr:uid="{00000000-0002-0000-0600-000001000000}">
      <formula1>LISTA_PRODUCTOS</formula1>
    </dataValidation>
    <dataValidation type="list" allowBlank="1" showInputMessage="1" showErrorMessage="1" sqref="G2:G194" xr:uid="{00000000-0002-0000-0600-000002000000}">
      <formula1>"TIENDA, GESTOR, MOV"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91"/>
  <sheetViews>
    <sheetView topLeftCell="B1" zoomScale="90" zoomScaleNormal="90" workbookViewId="0">
      <pane ySplit="1" topLeftCell="A2" activePane="bottomLeft" state="frozen"/>
      <selection pane="bottomLeft" activeCell="K2" sqref="K2"/>
    </sheetView>
  </sheetViews>
  <sheetFormatPr baseColWidth="10" defaultRowHeight="14.4" x14ac:dyDescent="0.3"/>
  <cols>
    <col min="1" max="1" width="42.5546875" customWidth="1"/>
    <col min="2" max="2" width="16.44140625" customWidth="1"/>
    <col min="4" max="4" width="12.44140625" customWidth="1"/>
    <col min="5" max="5" width="10.33203125" customWidth="1"/>
    <col min="6" max="6" width="20.109375" customWidth="1"/>
    <col min="7" max="7" width="13.6640625" customWidth="1"/>
    <col min="8" max="8" width="15.33203125" customWidth="1"/>
    <col min="9" max="9" width="24.6640625" customWidth="1"/>
    <col min="10" max="10" width="16.88671875" customWidth="1"/>
    <col min="11" max="11" width="23.88671875" customWidth="1"/>
  </cols>
  <sheetData>
    <row r="1" spans="1:14" x14ac:dyDescent="0.3">
      <c r="A1" s="1" t="s">
        <v>0</v>
      </c>
      <c r="B1" s="1" t="s">
        <v>3</v>
      </c>
      <c r="C1" s="1" t="s">
        <v>4</v>
      </c>
      <c r="D1" s="1" t="s">
        <v>213</v>
      </c>
      <c r="E1" s="1" t="s">
        <v>5</v>
      </c>
      <c r="F1" s="1" t="s">
        <v>214</v>
      </c>
      <c r="G1" s="1" t="s">
        <v>6</v>
      </c>
      <c r="H1" s="1" t="s">
        <v>1</v>
      </c>
      <c r="I1" s="1" t="s">
        <v>217</v>
      </c>
      <c r="J1" s="1" t="s">
        <v>215</v>
      </c>
      <c r="K1" s="1" t="s">
        <v>216</v>
      </c>
    </row>
    <row r="2" spans="1:14" x14ac:dyDescent="0.3">
      <c r="A2" s="1" t="str">
        <f>Configuracion!A81</f>
        <v xml:space="preserve">LAVADORA 9 KG MILEXUS SEMI </v>
      </c>
      <c r="B2">
        <f>VLOOKUP(A2, Configuracion!A:B, 2, FALSE)</f>
        <v>6</v>
      </c>
      <c r="C2">
        <f>SUMIFS(lunes!D:D, lunes!A:A, A2, lunes!C:C, "VENTA") +
 SUMIFS(martes!D:D, martes!A:A, A2, martes!C:C, "VENTA") +
 SUMIFS(miercoles!D:D, miercoles!A:A, A2, miercoles!C:C, "VENTA") +
 SUMIFS(jueves!D:D, jueves!A:A, A2, jueves!C:C, "VENTA") +
 SUMIFS(viernes!D:D, viernes!A:A, A2, viernes!C:C, "VENTA") +
 SUMIFS(sabado!D:D, sabado!A:A, A2, sabado!C:C, "VENTA")</f>
        <v>0</v>
      </c>
      <c r="D2">
        <f>SUMIFS(lunes!$D:$D, lunes!$A:$A, $A2, lunes!$C:$C, "ENTRADA") +
 SUMIFS(martes!$D:$D, martes!$A:$A, $A2, martes!$C:$C, "ENTRADA") +
 SUMIFS(miercoles!$D:$D, miercoles!$A:$A, $A2, miercoles!$C:$C, "ENTRADA") +
 SUMIFS(jueves!$D:$D, jueves!$A:$A, $A2, jueves!$C:$C, "ENTRADA") +
 SUMIFS(viernes!$D:$D, viernes!$A:$A, $A2, viernes!$C:$C, "ENTRADA") +
 SUMIFS(sabado!$D:$D, sabado!$A:$A, $A2, sabado!$C:$C, "ENTRADA")</f>
        <v>0</v>
      </c>
      <c r="E2">
        <f>SUMIFS(lunes!$D:$D, lunes!$A:$A, $A2, lunes!$C:$C, "SALIDA") +
 SUMIFS(martes!$D:$D, martes!$A:$A, $A2, martes!$C:$C, "SALIDA") +
 SUMIFS(miercoles!$D:$D, miercoles!$A:$A, $A2, miercoles!$C:$C, "SALIDA") +
 SUMIFS(jueves!$D:$D, jueves!$A:$A, $A2, jueves!$C:$C, "SALIDA") +
 SUMIFS(viernes!$D:$D, viernes!$A:$A, $A2, viernes!$C:$C, "SALIDA") +
 SUMIFS(sabado!$D:$D, sabado!$A:$A, $A2, sabado!$C:$C, "SALIDA")</f>
        <v>0</v>
      </c>
      <c r="F2">
        <f t="shared" ref="F2:F33" si="0">B2-C2+D2-E2</f>
        <v>6</v>
      </c>
      <c r="G2">
        <f>IFERROR(VLOOKUP(A2, sabado!A:I, 9, 0),
 IFERROR(VLOOKUP(A2, viernes!A:I, 9, 0),
 IFERROR(VLOOKUP(A2, jueves!A:I, 9, 0),
 IFERROR(VLOOKUP(A2, miercoles!A:I, 9, 0),
 IFERROR(VLOOKUP(A2, martes!A:I, 9, 0),
 IFERROR(VLOOKUP(A2, lunes!A:I, 9, 0),
 B2))))))</f>
        <v>6</v>
      </c>
      <c r="H2">
        <f>VLOOKUP(A2, Configuracion!A:C, 3, FALSE)</f>
        <v>235</v>
      </c>
      <c r="I2">
        <f t="shared" ref="I2:I33" si="1">C2*H2</f>
        <v>0</v>
      </c>
      <c r="J2">
        <f>SUMIFS(lunes!$F:$F, lunes!$A:$A, $A2, lunes!$C:$C, "VENTA") +
 SUMIFS(martes!$F:$F, martes!$A:$A, $A2, martes!$C:$C, "VENTA") +
 SUMIFS(miercoles!$F:$F, miercoles!$A:$A, $A2, miercoles!$C:$C, "VENTA") +
 SUMIFS(jueves!$F:$F, jueves!$A:$A, $A2, jueves!$C:$C, "VENTA") +
 SUMIFS(viernes!$F:$F, viernes!$A:$A, $A2, viernes!$C:$C, "VENTA") +
 SUMIFS(sabado!$F:$F, sabado!$A:$A, $A2, sabado!$C:$C, "VENTA")</f>
        <v>0</v>
      </c>
      <c r="K2">
        <f t="shared" ref="K2:K33" si="2">I2-J2</f>
        <v>0</v>
      </c>
    </row>
    <row r="3" spans="1:14" x14ac:dyDescent="0.3">
      <c r="A3" s="1" t="str">
        <f>Configuracion!A17</f>
        <v xml:space="preserve">BOCINA MILEXUS 8  PULGADAS  </v>
      </c>
      <c r="B3">
        <f>VLOOKUP(A3, Configuracion!A:B, 2, FALSE)</f>
        <v>0</v>
      </c>
      <c r="C3">
        <f>SUMIFS(lunes!D:D, lunes!A:A, A3, lunes!C:C, "VENTA") +
 SUMIFS(martes!D:D, martes!A:A, A3, martes!C:C, "VENTA") +
 SUMIFS(miercoles!D:D, miercoles!A:A, A3, miercoles!C:C, "VENTA") +
 SUMIFS(jueves!D:D, jueves!A:A, A3, jueves!C:C, "VENTA") +
 SUMIFS(viernes!D:D, viernes!A:A, A3, viernes!C:C, "VENTA") +
 SUMIFS(sabado!D:D, sabado!A:A, A3, sabado!C:C, "VENTA")</f>
        <v>0</v>
      </c>
      <c r="D3">
        <f>SUMIFS(lunes!$D:$D, lunes!$A:$A, $A3, lunes!$C:$C, "ENTRADA") +
 SUMIFS(martes!$D:$D, martes!$A:$A, $A3, martes!$C:$C, "ENTRADA") +
 SUMIFS(miercoles!$D:$D, miercoles!$A:$A, $A3, miercoles!$C:$C, "ENTRADA") +
 SUMIFS(jueves!$D:$D, jueves!$A:$A, $A3, jueves!$C:$C, "ENTRADA") +
 SUMIFS(viernes!$D:$D, viernes!$A:$A, $A3, viernes!$C:$C, "ENTRADA") +
 SUMIFS(sabado!$D:$D, sabado!$A:$A, $A3, sabado!$C:$C, "ENTRADA")</f>
        <v>0</v>
      </c>
      <c r="E3">
        <f>SUMIFS(lunes!$D:$D, lunes!$A:$A, $A3, lunes!$C:$C, "SALIDA") +
 SUMIFS(martes!$D:$D, martes!$A:$A, $A3, martes!$C:$C, "SALIDA") +
 SUMIFS(miercoles!$D:$D, miercoles!$A:$A, $A3, miercoles!$C:$C, "SALIDA") +
 SUMIFS(jueves!$D:$D, jueves!$A:$A, $A3, jueves!$C:$C, "SALIDA") +
 SUMIFS(viernes!$D:$D, viernes!$A:$A, $A3, viernes!$C:$C, "SALIDA") +
 SUMIFS(sabado!$D:$D, sabado!$A:$A, $A3, sabado!$C:$C, "SALIDA")</f>
        <v>0</v>
      </c>
      <c r="F3">
        <f t="shared" si="0"/>
        <v>0</v>
      </c>
      <c r="G3">
        <f>IFERROR(VLOOKUP(A3, sabado!A:I, 9, 0),
 IFERROR(VLOOKUP(A3, viernes!A:I, 9, 0),
 IFERROR(VLOOKUP(A3, jueves!A:I, 9, 0),
 IFERROR(VLOOKUP(A3, miercoles!A:I, 9, 0),
 IFERROR(VLOOKUP(A3, martes!A:I, 9, 0),
 IFERROR(VLOOKUP(A3, lunes!A:I, 9, 0),
 B3))))))</f>
        <v>0</v>
      </c>
      <c r="H3">
        <f>VLOOKUP(A3, Configuracion!A:C, 3, FALSE)</f>
        <v>85</v>
      </c>
      <c r="I3">
        <f t="shared" si="1"/>
        <v>0</v>
      </c>
      <c r="J3">
        <f>SUMIFS(lunes!$F:$F, lunes!$A:$A, $A3, lunes!$C:$C, "VENTA") +
 SUMIFS(martes!$F:$F, martes!$A:$A, $A3, martes!$C:$C, "VENTA") +
 SUMIFS(miercoles!$F:$F, miercoles!$A:$A, $A3, miercoles!$C:$C, "VENTA") +
 SUMIFS(jueves!$F:$F, jueves!$A:$A, $A3, jueves!$C:$C, "VENTA") +
 SUMIFS(viernes!$F:$F, viernes!$A:$A, $A3, viernes!$C:$C, "VENTA") +
 SUMIFS(sabado!$F:$F, sabado!$A:$A, $A3, sabado!$C:$C, "VENTA")</f>
        <v>0</v>
      </c>
      <c r="K3">
        <f t="shared" si="2"/>
        <v>0</v>
      </c>
    </row>
    <row r="4" spans="1:14" ht="15.6" x14ac:dyDescent="0.3">
      <c r="A4" s="1" t="str">
        <f>Configuracion!A2</f>
        <v>BOLSA DE CEMENTO BLANCO</v>
      </c>
      <c r="B4">
        <f>VLOOKUP(A4, Configuracion!A:B, 2, FALSE)</f>
        <v>0</v>
      </c>
      <c r="C4">
        <f>SUMIFS(lunes!D:D, lunes!A:A, A4, lunes!C:C, "VENTA") +
 SUMIFS(martes!D:D, martes!A:A, A4, martes!C:C, "VENTA") +
 SUMIFS(miercoles!D:D, miercoles!A:A, A4, miercoles!C:C, "VENTA") +
 SUMIFS(jueves!D:D, jueves!A:A, A4, jueves!C:C, "VENTA") +
 SUMIFS(viernes!D:D, viernes!A:A, A4, viernes!C:C, "VENTA") +
 SUMIFS(sabado!D:D, sabado!A:A, A4, sabado!C:C, "VENTA")</f>
        <v>0</v>
      </c>
      <c r="D4">
        <f>SUMIFS(lunes!$D:$D, lunes!$A:$A, $A4, lunes!$C:$C, "ENTRADA") +
 SUMIFS(martes!$D:$D, martes!$A:$A, $A4, martes!$C:$C, "ENTRADA") +
 SUMIFS(miercoles!$D:$D, miercoles!$A:$A, $A4, miercoles!$C:$C, "ENTRADA") +
 SUMIFS(jueves!$D:$D, jueves!$A:$A, $A4, jueves!$C:$C, "ENTRADA") +
 SUMIFS(viernes!$D:$D, viernes!$A:$A, $A4, viernes!$C:$C, "ENTRADA") +
 SUMIFS(sabado!$D:$D, sabado!$A:$A, $A4, sabado!$C:$C, "ENTRADA")</f>
        <v>0</v>
      </c>
      <c r="E4">
        <f>SUMIFS(lunes!$D:$D, lunes!$A:$A, $A4, lunes!$C:$C, "SALIDA") +
 SUMIFS(martes!$D:$D, martes!$A:$A, $A4, martes!$C:$C, "SALIDA") +
 SUMIFS(miercoles!$D:$D, miercoles!$A:$A, $A4, miercoles!$C:$C, "SALIDA") +
 SUMIFS(jueves!$D:$D, jueves!$A:$A, $A4, jueves!$C:$C, "SALIDA") +
 SUMIFS(viernes!$D:$D, viernes!$A:$A, $A4, viernes!$C:$C, "SALIDA") +
 SUMIFS(sabado!$D:$D, sabado!$A:$A, $A4, sabado!$C:$C, "SALIDA")</f>
        <v>0</v>
      </c>
      <c r="F4">
        <f t="shared" si="0"/>
        <v>0</v>
      </c>
      <c r="G4">
        <f>IFERROR(VLOOKUP(A4, sabado!A:I, 9, 0),
 IFERROR(VLOOKUP(A4, viernes!A:I, 9, 0),
 IFERROR(VLOOKUP(A4, jueves!A:I, 9, 0),
 IFERROR(VLOOKUP(A4, miercoles!A:I, 9, 0),
 IFERROR(VLOOKUP(A4, martes!A:I, 9, 0),
 IFERROR(VLOOKUP(A4, lunes!A:I, 9, 0),
 B4))))))</f>
        <v>0</v>
      </c>
      <c r="H4">
        <f>VLOOKUP(A4, Configuracion!A:C, 3, FALSE)</f>
        <v>2.86</v>
      </c>
      <c r="I4">
        <f t="shared" si="1"/>
        <v>0</v>
      </c>
      <c r="J4">
        <f>SUMIFS(lunes!$F:$F, lunes!$A:$A, $A4, lunes!$C:$C, "VENTA") +
 SUMIFS(martes!$F:$F, martes!$A:$A, $A4, martes!$C:$C, "VENTA") +
 SUMIFS(miercoles!$F:$F, miercoles!$A:$A, $A4, miercoles!$C:$C, "VENTA") +
 SUMIFS(jueves!$F:$F, jueves!$A:$A, $A4, jueves!$C:$C, "VENTA") +
 SUMIFS(viernes!$F:$F, viernes!$A:$A, $A4, viernes!$C:$C, "VENTA") +
 SUMIFS(sabado!$F:$F, sabado!$A:$A, $A4, sabado!$C:$C, "VENTA")</f>
        <v>0</v>
      </c>
      <c r="K4">
        <f t="shared" si="2"/>
        <v>0</v>
      </c>
      <c r="M4" s="36" t="s">
        <v>222</v>
      </c>
      <c r="N4" s="36"/>
    </row>
    <row r="5" spans="1:14" x14ac:dyDescent="0.3">
      <c r="A5" s="1" t="str">
        <f>Configuracion!A3</f>
        <v>BATERIA 5120W SACO</v>
      </c>
      <c r="B5">
        <f>VLOOKUP(A5, Configuracion!A:B, 2, FALSE)</f>
        <v>3</v>
      </c>
      <c r="C5">
        <f>SUMIFS(lunes!D:D, lunes!A:A, A5, lunes!C:C, "VENTA") +
 SUMIFS(martes!D:D, martes!A:A, A5, martes!C:C, "VENTA") +
 SUMIFS(miercoles!D:D, miercoles!A:A, A5, miercoles!C:C, "VENTA") +
 SUMIFS(jueves!D:D, jueves!A:A, A5, jueves!C:C, "VENTA") +
 SUMIFS(viernes!D:D, viernes!A:A, A5, viernes!C:C, "VENTA") +
 SUMIFS(sabado!D:D, sabado!A:A, A5, sabado!C:C, "VENTA")</f>
        <v>0</v>
      </c>
      <c r="D5">
        <f>SUMIFS(lunes!$D:$D, lunes!$A:$A, $A5, lunes!$C:$C, "ENTRADA") +
 SUMIFS(martes!$D:$D, martes!$A:$A, $A5, martes!$C:$C, "ENTRADA") +
 SUMIFS(miercoles!$D:$D, miercoles!$A:$A, $A5, miercoles!$C:$C, "ENTRADA") +
 SUMIFS(jueves!$D:$D, jueves!$A:$A, $A5, jueves!$C:$C, "ENTRADA") +
 SUMIFS(viernes!$D:$D, viernes!$A:$A, $A5, viernes!$C:$C, "ENTRADA") +
 SUMIFS(sabado!$D:$D, sabado!$A:$A, $A5, sabado!$C:$C, "ENTRADA")</f>
        <v>0</v>
      </c>
      <c r="E5">
        <f>SUMIFS(lunes!$D:$D, lunes!$A:$A, $A5, lunes!$C:$C, "SALIDA") +
 SUMIFS(martes!$D:$D, martes!$A:$A, $A5, martes!$C:$C, "SALIDA") +
 SUMIFS(miercoles!$D:$D, miercoles!$A:$A, $A5, miercoles!$C:$C, "SALIDA") +
 SUMIFS(jueves!$D:$D, jueves!$A:$A, $A5, jueves!$C:$C, "SALIDA") +
 SUMIFS(viernes!$D:$D, viernes!$A:$A, $A5, viernes!$C:$C, "SALIDA") +
 SUMIFS(sabado!$D:$D, sabado!$A:$A, $A5, sabado!$C:$C, "SALIDA")</f>
        <v>0</v>
      </c>
      <c r="F5">
        <f t="shared" si="0"/>
        <v>3</v>
      </c>
      <c r="G5">
        <f>IFERROR(VLOOKUP(A5, sabado!A:I, 9, 0),
 IFERROR(VLOOKUP(A5, viernes!A:I, 9, 0),
 IFERROR(VLOOKUP(A5, jueves!A:I, 9, 0),
 IFERROR(VLOOKUP(A5, miercoles!A:I, 9, 0),
 IFERROR(VLOOKUP(A5, martes!A:I, 9, 0),
 IFERROR(VLOOKUP(A5, lunes!A:I, 9, 0),
 B5))))))</f>
        <v>3</v>
      </c>
      <c r="H5">
        <f>VLOOKUP(A5, Configuracion!A:C, 3, FALSE)</f>
        <v>1100</v>
      </c>
      <c r="I5">
        <f t="shared" si="1"/>
        <v>0</v>
      </c>
      <c r="J5">
        <f>SUMIFS(lunes!$F:$F, lunes!$A:$A, $A5, lunes!$C:$C, "VENTA") +
 SUMIFS(martes!$F:$F, martes!$A:$A, $A5, martes!$C:$C, "VENTA") +
 SUMIFS(miercoles!$F:$F, miercoles!$A:$A, $A5, miercoles!$C:$C, "VENTA") +
 SUMIFS(jueves!$F:$F, jueves!$A:$A, $A5, jueves!$C:$C, "VENTA") +
 SUMIFS(viernes!$F:$F, viernes!$A:$A, $A5, viernes!$C:$C, "VENTA") +
 SUMIFS(sabado!$F:$F, sabado!$A:$A, $A5, sabado!$C:$C, "VENTA")</f>
        <v>0</v>
      </c>
      <c r="K5">
        <f t="shared" si="2"/>
        <v>0</v>
      </c>
      <c r="M5" s="35">
        <f>lunes!P2+martes!P2+miercoles!P2+jueves!P2+viernes!P2+sabado!P2</f>
        <v>49275</v>
      </c>
      <c r="N5" s="35"/>
    </row>
    <row r="6" spans="1:14" x14ac:dyDescent="0.3">
      <c r="A6" s="1" t="str">
        <f>Configuracion!A4</f>
        <v>BATERIA SACO 7680W</v>
      </c>
      <c r="B6">
        <f>VLOOKUP(A6, Configuracion!A:B, 2, FALSE)</f>
        <v>3</v>
      </c>
      <c r="C6">
        <f>SUMIFS(lunes!D:D, lunes!A:A, A6, lunes!C:C, "VENTA") +
 SUMIFS(martes!D:D, martes!A:A, A6, martes!C:C, "VENTA") +
 SUMIFS(miercoles!D:D, miercoles!A:A, A6, miercoles!C:C, "VENTA") +
 SUMIFS(jueves!D:D, jueves!A:A, A6, jueves!C:C, "VENTA") +
 SUMIFS(viernes!D:D, viernes!A:A, A6, viernes!C:C, "VENTA") +
 SUMIFS(sabado!D:D, sabado!A:A, A6, sabado!C:C, "VENTA")</f>
        <v>0</v>
      </c>
      <c r="D6">
        <f>SUMIFS(lunes!$D:$D, lunes!$A:$A, $A6, lunes!$C:$C, "ENTRADA") +
 SUMIFS(martes!$D:$D, martes!$A:$A, $A6, martes!$C:$C, "ENTRADA") +
 SUMIFS(miercoles!$D:$D, miercoles!$A:$A, $A6, miercoles!$C:$C, "ENTRADA") +
 SUMIFS(jueves!$D:$D, jueves!$A:$A, $A6, jueves!$C:$C, "ENTRADA") +
 SUMIFS(viernes!$D:$D, viernes!$A:$A, $A6, viernes!$C:$C, "ENTRADA") +
 SUMIFS(sabado!$D:$D, sabado!$A:$A, $A6, sabado!$C:$C, "ENTRADA")</f>
        <v>0</v>
      </c>
      <c r="E6">
        <f>SUMIFS(lunes!$D:$D, lunes!$A:$A, $A6, lunes!$C:$C, "SALIDA") +
 SUMIFS(martes!$D:$D, martes!$A:$A, $A6, martes!$C:$C, "SALIDA") +
 SUMIFS(miercoles!$D:$D, miercoles!$A:$A, $A6, miercoles!$C:$C, "SALIDA") +
 SUMIFS(jueves!$D:$D, jueves!$A:$A, $A6, jueves!$C:$C, "SALIDA") +
 SUMIFS(viernes!$D:$D, viernes!$A:$A, $A6, viernes!$C:$C, "SALIDA") +
 SUMIFS(sabado!$D:$D, sabado!$A:$A, $A6, sabado!$C:$C, "SALIDA")</f>
        <v>1</v>
      </c>
      <c r="F6">
        <f t="shared" si="0"/>
        <v>2</v>
      </c>
      <c r="G6">
        <f>IFERROR(VLOOKUP(A6, sabado!A:I, 9, 0),
 IFERROR(VLOOKUP(A6, viernes!A:I, 9, 0),
 IFERROR(VLOOKUP(A6, jueves!A:I, 9, 0),
 IFERROR(VLOOKUP(A6, miercoles!A:I, 9, 0),
 IFERROR(VLOOKUP(A6, martes!A:I, 9, 0),
 IFERROR(VLOOKUP(A6, lunes!A:I, 9, 0),
 B6))))))</f>
        <v>2</v>
      </c>
      <c r="H6">
        <f>VLOOKUP(A6, Configuracion!A:C, 3, FALSE)</f>
        <v>1400</v>
      </c>
      <c r="I6">
        <f t="shared" si="1"/>
        <v>0</v>
      </c>
      <c r="J6">
        <f>SUMIFS(lunes!$F:$F, lunes!$A:$A, $A6, lunes!$C:$C, "VENTA") +
 SUMIFS(martes!$F:$F, martes!$A:$A, $A6, martes!$C:$C, "VENTA") +
 SUMIFS(miercoles!$F:$F, miercoles!$A:$A, $A6, miercoles!$C:$C, "VENTA") +
 SUMIFS(jueves!$F:$F, jueves!$A:$A, $A6, jueves!$C:$C, "VENTA") +
 SUMIFS(viernes!$F:$F, viernes!$A:$A, $A6, viernes!$C:$C, "VENTA") +
 SUMIFS(sabado!$F:$F, sabado!$A:$A, $A6, sabado!$C:$C, "VENTA")</f>
        <v>0</v>
      </c>
      <c r="K6">
        <f t="shared" si="2"/>
        <v>0</v>
      </c>
      <c r="M6" s="35"/>
      <c r="N6" s="35"/>
    </row>
    <row r="7" spans="1:14" ht="15.6" x14ac:dyDescent="0.3">
      <c r="A7" s="1" t="str">
        <f>Configuracion!A5</f>
        <v>BATERIA DE 15360W SACO</v>
      </c>
      <c r="B7">
        <f>VLOOKUP(A7, Configuracion!A:B, 2, FALSE)</f>
        <v>2</v>
      </c>
      <c r="C7">
        <f>SUMIFS(lunes!D:D, lunes!A:A, A7, lunes!C:C, "VENTA") +
 SUMIFS(martes!D:D, martes!A:A, A7, martes!C:C, "VENTA") +
 SUMIFS(miercoles!D:D, miercoles!A:A, A7, miercoles!C:C, "VENTA") +
 SUMIFS(jueves!D:D, jueves!A:A, A7, jueves!C:C, "VENTA") +
 SUMIFS(viernes!D:D, viernes!A:A, A7, viernes!C:C, "VENTA") +
 SUMIFS(sabado!D:D, sabado!A:A, A7, sabado!C:C, "VENTA")</f>
        <v>0</v>
      </c>
      <c r="D7">
        <f>SUMIFS(lunes!$D:$D, lunes!$A:$A, $A7, lunes!$C:$C, "ENTRADA") +
 SUMIFS(martes!$D:$D, martes!$A:$A, $A7, martes!$C:$C, "ENTRADA") +
 SUMIFS(miercoles!$D:$D, miercoles!$A:$A, $A7, miercoles!$C:$C, "ENTRADA") +
 SUMIFS(jueves!$D:$D, jueves!$A:$A, $A7, jueves!$C:$C, "ENTRADA") +
 SUMIFS(viernes!$D:$D, viernes!$A:$A, $A7, viernes!$C:$C, "ENTRADA") +
 SUMIFS(sabado!$D:$D, sabado!$A:$A, $A7, sabado!$C:$C, "ENTRADA")</f>
        <v>0</v>
      </c>
      <c r="E7">
        <f>SUMIFS(lunes!$D:$D, lunes!$A:$A, $A7, lunes!$C:$C, "SALIDA") +
 SUMIFS(martes!$D:$D, martes!$A:$A, $A7, martes!$C:$C, "SALIDA") +
 SUMIFS(miercoles!$D:$D, miercoles!$A:$A, $A7, miercoles!$C:$C, "SALIDA") +
 SUMIFS(jueves!$D:$D, jueves!$A:$A, $A7, jueves!$C:$C, "SALIDA") +
 SUMIFS(viernes!$D:$D, viernes!$A:$A, $A7, viernes!$C:$C, "SALIDA") +
 SUMIFS(sabado!$D:$D, sabado!$A:$A, $A7, sabado!$C:$C, "SALIDA")</f>
        <v>0</v>
      </c>
      <c r="F7">
        <f t="shared" si="0"/>
        <v>2</v>
      </c>
      <c r="G7">
        <f>IFERROR(VLOOKUP(A7, sabado!A:I, 9, 0),
 IFERROR(VLOOKUP(A7, viernes!A:I, 9, 0),
 IFERROR(VLOOKUP(A7, jueves!A:I, 9, 0),
 IFERROR(VLOOKUP(A7, miercoles!A:I, 9, 0),
 IFERROR(VLOOKUP(A7, martes!A:I, 9, 0),
 IFERROR(VLOOKUP(A7, lunes!A:I, 9, 0),
 B7))))))</f>
        <v>2</v>
      </c>
      <c r="H7">
        <f>VLOOKUP(A7, Configuracion!A:C, 3, FALSE)</f>
        <v>0</v>
      </c>
      <c r="I7">
        <f t="shared" si="1"/>
        <v>0</v>
      </c>
      <c r="J7">
        <f>SUMIFS(lunes!$F:$F, lunes!$A:$A, $A7, lunes!$C:$C, "VENTA") +
 SUMIFS(martes!$F:$F, martes!$A:$A, $A7, martes!$C:$C, "VENTA") +
 SUMIFS(miercoles!$F:$F, miercoles!$A:$A, $A7, miercoles!$C:$C, "VENTA") +
 SUMIFS(jueves!$F:$F, jueves!$A:$A, $A7, jueves!$C:$C, "VENTA") +
 SUMIFS(viernes!$F:$F, viernes!$A:$A, $A7, viernes!$C:$C, "VENTA") +
 SUMIFS(sabado!$F:$F, sabado!$A:$A, $A7, sabado!$C:$C, "VENTA")</f>
        <v>0</v>
      </c>
      <c r="K7">
        <f t="shared" si="2"/>
        <v>0</v>
      </c>
      <c r="M7" s="12"/>
      <c r="N7" s="12"/>
    </row>
    <row r="8" spans="1:14" ht="15.6" x14ac:dyDescent="0.3">
      <c r="A8" s="1" t="str">
        <f>Configuracion!A6</f>
        <v>BATERIA EXTRA 16K SACO</v>
      </c>
      <c r="B8">
        <f>VLOOKUP(A8, Configuracion!A:B, 2, FALSE)</f>
        <v>2</v>
      </c>
      <c r="C8">
        <f>SUMIFS(lunes!D:D, lunes!A:A, A8, lunes!C:C, "VENTA") +
 SUMIFS(martes!D:D, martes!A:A, A8, martes!C:C, "VENTA") +
 SUMIFS(miercoles!D:D, miercoles!A:A, A8, miercoles!C:C, "VENTA") +
 SUMIFS(jueves!D:D, jueves!A:A, A8, jueves!C:C, "VENTA") +
 SUMIFS(viernes!D:D, viernes!A:A, A8, viernes!C:C, "VENTA") +
 SUMIFS(sabado!D:D, sabado!A:A, A8, sabado!C:C, "VENTA")</f>
        <v>0</v>
      </c>
      <c r="D8">
        <f>SUMIFS(lunes!$D:$D, lunes!$A:$A, $A8, lunes!$C:$C, "ENTRADA") +
 SUMIFS(martes!$D:$D, martes!$A:$A, $A8, martes!$C:$C, "ENTRADA") +
 SUMIFS(miercoles!$D:$D, miercoles!$A:$A, $A8, miercoles!$C:$C, "ENTRADA") +
 SUMIFS(jueves!$D:$D, jueves!$A:$A, $A8, jueves!$C:$C, "ENTRADA") +
 SUMIFS(viernes!$D:$D, viernes!$A:$A, $A8, viernes!$C:$C, "ENTRADA") +
 SUMIFS(sabado!$D:$D, sabado!$A:$A, $A8, sabado!$C:$C, "ENTRADA")</f>
        <v>0</v>
      </c>
      <c r="E8">
        <f>SUMIFS(lunes!$D:$D, lunes!$A:$A, $A8, lunes!$C:$C, "SALIDA") +
 SUMIFS(martes!$D:$D, martes!$A:$A, $A8, martes!$C:$C, "SALIDA") +
 SUMIFS(miercoles!$D:$D, miercoles!$A:$A, $A8, miercoles!$C:$C, "SALIDA") +
 SUMIFS(jueves!$D:$D, jueves!$A:$A, $A8, jueves!$C:$C, "SALIDA") +
 SUMIFS(viernes!$D:$D, viernes!$A:$A, $A8, viernes!$C:$C, "SALIDA") +
 SUMIFS(sabado!$D:$D, sabado!$A:$A, $A8, sabado!$C:$C, "SALIDA")</f>
        <v>0</v>
      </c>
      <c r="F8">
        <f t="shared" si="0"/>
        <v>2</v>
      </c>
      <c r="G8">
        <f>IFERROR(VLOOKUP(A8, sabado!A:I, 9, 0),
 IFERROR(VLOOKUP(A8, viernes!A:I, 9, 0),
 IFERROR(VLOOKUP(A8, jueves!A:I, 9, 0),
 IFERROR(VLOOKUP(A8, miercoles!A:I, 9, 0),
 IFERROR(VLOOKUP(A8, martes!A:I, 9, 0),
 IFERROR(VLOOKUP(A8, lunes!A:I, 9, 0),
 B8))))))</f>
        <v>2</v>
      </c>
      <c r="H8">
        <f>VLOOKUP(A8, Configuracion!A:C, 3, FALSE)</f>
        <v>1300</v>
      </c>
      <c r="I8">
        <f t="shared" si="1"/>
        <v>0</v>
      </c>
      <c r="J8">
        <f>SUMIFS(lunes!$F:$F, lunes!$A:$A, $A8, lunes!$C:$C, "VENTA") +
 SUMIFS(martes!$F:$F, martes!$A:$A, $A8, martes!$C:$C, "VENTA") +
 SUMIFS(miercoles!$F:$F, miercoles!$A:$A, $A8, miercoles!$C:$C, "VENTA") +
 SUMIFS(jueves!$F:$F, jueves!$A:$A, $A8, jueves!$C:$C, "VENTA") +
 SUMIFS(viernes!$F:$F, viernes!$A:$A, $A8, viernes!$C:$C, "VENTA") +
 SUMIFS(sabado!$F:$F, sabado!$A:$A, $A8, sabado!$C:$C, "VENTA")</f>
        <v>0</v>
      </c>
      <c r="K8">
        <f t="shared" si="2"/>
        <v>0</v>
      </c>
      <c r="M8" s="36" t="s">
        <v>223</v>
      </c>
      <c r="N8" s="36"/>
    </row>
    <row r="9" spans="1:14" x14ac:dyDescent="0.3">
      <c r="A9" s="1" t="str">
        <f>Configuracion!A7</f>
        <v>BASE PARA PANELES GRANDES</v>
      </c>
      <c r="B9">
        <f>VLOOKUP(A9, Configuracion!A:B, 2, FALSE)</f>
        <v>10</v>
      </c>
      <c r="C9">
        <f>SUMIFS(lunes!D:D, lunes!A:A, A9, lunes!C:C, "VENTA") +
 SUMIFS(martes!D:D, martes!A:A, A9, martes!C:C, "VENTA") +
 SUMIFS(miercoles!D:D, miercoles!A:A, A9, miercoles!C:C, "VENTA") +
 SUMIFS(jueves!D:D, jueves!A:A, A9, jueves!C:C, "VENTA") +
 SUMIFS(viernes!D:D, viernes!A:A, A9, viernes!C:C, "VENTA") +
 SUMIFS(sabado!D:D, sabado!A:A, A9, sabado!C:C, "VENTA")</f>
        <v>1</v>
      </c>
      <c r="D9">
        <f>SUMIFS(lunes!$D:$D, lunes!$A:$A, $A9, lunes!$C:$C, "ENTRADA") +
 SUMIFS(martes!$D:$D, martes!$A:$A, $A9, martes!$C:$C, "ENTRADA") +
 SUMIFS(miercoles!$D:$D, miercoles!$A:$A, $A9, miercoles!$C:$C, "ENTRADA") +
 SUMIFS(jueves!$D:$D, jueves!$A:$A, $A9, jueves!$C:$C, "ENTRADA") +
 SUMIFS(viernes!$D:$D, viernes!$A:$A, $A9, viernes!$C:$C, "ENTRADA") +
 SUMIFS(sabado!$D:$D, sabado!$A:$A, $A9, sabado!$C:$C, "ENTRADA")</f>
        <v>0</v>
      </c>
      <c r="E9">
        <f>SUMIFS(lunes!$D:$D, lunes!$A:$A, $A9, lunes!$C:$C, "SALIDA") +
 SUMIFS(martes!$D:$D, martes!$A:$A, $A9, martes!$C:$C, "SALIDA") +
 SUMIFS(miercoles!$D:$D, miercoles!$A:$A, $A9, miercoles!$C:$C, "SALIDA") +
 SUMIFS(jueves!$D:$D, jueves!$A:$A, $A9, jueves!$C:$C, "SALIDA") +
 SUMIFS(viernes!$D:$D, viernes!$A:$A, $A9, viernes!$C:$C, "SALIDA") +
 SUMIFS(sabado!$D:$D, sabado!$A:$A, $A9, sabado!$C:$C, "SALIDA")</f>
        <v>0</v>
      </c>
      <c r="F9">
        <f t="shared" si="0"/>
        <v>9</v>
      </c>
      <c r="G9">
        <f>IFERROR(VLOOKUP(A9, sabado!A:I, 9, 0),
 IFERROR(VLOOKUP(A9, viernes!A:I, 9, 0),
 IFERROR(VLOOKUP(A9, jueves!A:I, 9, 0),
 IFERROR(VLOOKUP(A9, miercoles!A:I, 9, 0),
 IFERROR(VLOOKUP(A9, martes!A:I, 9, 0),
 IFERROR(VLOOKUP(A9, lunes!A:I, 9, 0),
 B9))))))</f>
        <v>9</v>
      </c>
      <c r="H9">
        <f>VLOOKUP(A9, Configuracion!A:C, 3, FALSE)</f>
        <v>100</v>
      </c>
      <c r="I9">
        <f t="shared" si="1"/>
        <v>100</v>
      </c>
      <c r="J9">
        <f>SUMIFS(lunes!$F:$F, lunes!$A:$A, $A9, lunes!$C:$C, "VENTA") +
 SUMIFS(martes!$F:$F, martes!$A:$A, $A9, martes!$C:$C, "VENTA") +
 SUMIFS(miercoles!$F:$F, miercoles!$A:$A, $A9, miercoles!$C:$C, "VENTA") +
 SUMIFS(jueves!$F:$F, jueves!$A:$A, $A9, jueves!$C:$C, "VENTA") +
 SUMIFS(viernes!$F:$F, viernes!$A:$A, $A9, viernes!$C:$C, "VENTA") +
 SUMIFS(sabado!$F:$F, sabado!$A:$A, $A9, sabado!$C:$C, "VENTA")</f>
        <v>100</v>
      </c>
      <c r="K9">
        <f t="shared" si="2"/>
        <v>0</v>
      </c>
      <c r="M9" s="35">
        <f>lunes!P22 + martes!P23 + miercoles!P22 + jueves!P22 + viernes!P22 + sabado!P22</f>
        <v>0</v>
      </c>
      <c r="N9" s="35"/>
    </row>
    <row r="10" spans="1:14" x14ac:dyDescent="0.3">
      <c r="A10" s="1" t="str">
        <f>Configuracion!A8</f>
        <v>BASE PARA PANELES</v>
      </c>
      <c r="B10">
        <f>VLOOKUP(A10, Configuracion!A:B, 2, FALSE)</f>
        <v>0</v>
      </c>
      <c r="C10">
        <f>SUMIFS(lunes!D:D, lunes!A:A, A10, lunes!C:C, "VENTA") +
 SUMIFS(martes!D:D, martes!A:A, A10, martes!C:C, "VENTA") +
 SUMIFS(miercoles!D:D, miercoles!A:A, A10, miercoles!C:C, "VENTA") +
 SUMIFS(jueves!D:D, jueves!A:A, A10, jueves!C:C, "VENTA") +
 SUMIFS(viernes!D:D, viernes!A:A, A10, viernes!C:C, "VENTA") +
 SUMIFS(sabado!D:D, sabado!A:A, A10, sabado!C:C, "VENTA")</f>
        <v>0</v>
      </c>
      <c r="D10">
        <f>SUMIFS(lunes!$D:$D, lunes!$A:$A, $A10, lunes!$C:$C, "ENTRADA") +
 SUMIFS(martes!$D:$D, martes!$A:$A, $A10, martes!$C:$C, "ENTRADA") +
 SUMIFS(miercoles!$D:$D, miercoles!$A:$A, $A10, miercoles!$C:$C, "ENTRADA") +
 SUMIFS(jueves!$D:$D, jueves!$A:$A, $A10, jueves!$C:$C, "ENTRADA") +
 SUMIFS(viernes!$D:$D, viernes!$A:$A, $A10, viernes!$C:$C, "ENTRADA") +
 SUMIFS(sabado!$D:$D, sabado!$A:$A, $A10, sabado!$C:$C, "ENTRADA")</f>
        <v>0</v>
      </c>
      <c r="E10">
        <f>SUMIFS(lunes!$D:$D, lunes!$A:$A, $A10, lunes!$C:$C, "SALIDA") +
 SUMIFS(martes!$D:$D, martes!$A:$A, $A10, martes!$C:$C, "SALIDA") +
 SUMIFS(miercoles!$D:$D, miercoles!$A:$A, $A10, miercoles!$C:$C, "SALIDA") +
 SUMIFS(jueves!$D:$D, jueves!$A:$A, $A10, jueves!$C:$C, "SALIDA") +
 SUMIFS(viernes!$D:$D, viernes!$A:$A, $A10, viernes!$C:$C, "SALIDA") +
 SUMIFS(sabado!$D:$D, sabado!$A:$A, $A10, sabado!$C:$C, "SALIDA")</f>
        <v>0</v>
      </c>
      <c r="F10">
        <f t="shared" si="0"/>
        <v>0</v>
      </c>
      <c r="G10">
        <f>IFERROR(VLOOKUP(A10, sabado!A:I, 9, 0),
 IFERROR(VLOOKUP(A10, viernes!A:I, 9, 0),
 IFERROR(VLOOKUP(A10, jueves!A:I, 9, 0),
 IFERROR(VLOOKUP(A10, miercoles!A:I, 9, 0),
 IFERROR(VLOOKUP(A10, martes!A:I, 9, 0),
 IFERROR(VLOOKUP(A10, lunes!A:I, 9, 0),
 B10))))))</f>
        <v>0</v>
      </c>
      <c r="H10">
        <f>VLOOKUP(A10, Configuracion!A:C, 3, FALSE)</f>
        <v>50</v>
      </c>
      <c r="I10">
        <f t="shared" si="1"/>
        <v>0</v>
      </c>
      <c r="J10">
        <f>SUMIFS(lunes!$F:$F, lunes!$A:$A, $A10, lunes!$C:$C, "VENTA") +
 SUMIFS(martes!$F:$F, martes!$A:$A, $A10, martes!$C:$C, "VENTA") +
 SUMIFS(miercoles!$F:$F, miercoles!$A:$A, $A10, miercoles!$C:$C, "VENTA") +
 SUMIFS(jueves!$F:$F, jueves!$A:$A, $A10, jueves!$C:$C, "VENTA") +
 SUMIFS(viernes!$F:$F, viernes!$A:$A, $A10, viernes!$C:$C, "VENTA") +
 SUMIFS(sabado!$F:$F, sabado!$A:$A, $A10, sabado!$C:$C, "VENTA")</f>
        <v>0</v>
      </c>
      <c r="K10">
        <f t="shared" si="2"/>
        <v>0</v>
      </c>
      <c r="M10" s="35"/>
      <c r="N10" s="35"/>
    </row>
    <row r="11" spans="1:14" ht="15.6" x14ac:dyDescent="0.3">
      <c r="A11" s="1" t="str">
        <f>Configuracion!A9</f>
        <v>BASE FIJA PARA TV 32'' - 86''</v>
      </c>
      <c r="B11">
        <f>VLOOKUP(A11, Configuracion!A:B, 2, FALSE)</f>
        <v>10</v>
      </c>
      <c r="C11">
        <f>SUMIFS(lunes!D:D, lunes!A:A, A11, lunes!C:C, "VENTA") +
 SUMIFS(martes!D:D, martes!A:A, A11, martes!C:C, "VENTA") +
 SUMIFS(miercoles!D:D, miercoles!A:A, A11, miercoles!C:C, "VENTA") +
 SUMIFS(jueves!D:D, jueves!A:A, A11, jueves!C:C, "VENTA") +
 SUMIFS(viernes!D:D, viernes!A:A, A11, viernes!C:C, "VENTA") +
 SUMIFS(sabado!D:D, sabado!A:A, A11, sabado!C:C, "VENTA")</f>
        <v>1</v>
      </c>
      <c r="D11">
        <f>SUMIFS(lunes!$D:$D, lunes!$A:$A, $A11, lunes!$C:$C, "ENTRADA") +
 SUMIFS(martes!$D:$D, martes!$A:$A, $A11, martes!$C:$C, "ENTRADA") +
 SUMIFS(miercoles!$D:$D, miercoles!$A:$A, $A11, miercoles!$C:$C, "ENTRADA") +
 SUMIFS(jueves!$D:$D, jueves!$A:$A, $A11, jueves!$C:$C, "ENTRADA") +
 SUMIFS(viernes!$D:$D, viernes!$A:$A, $A11, viernes!$C:$C, "ENTRADA") +
 SUMIFS(sabado!$D:$D, sabado!$A:$A, $A11, sabado!$C:$C, "ENTRADA")</f>
        <v>0</v>
      </c>
      <c r="E11">
        <f>SUMIFS(lunes!$D:$D, lunes!$A:$A, $A11, lunes!$C:$C, "SALIDA") +
 SUMIFS(martes!$D:$D, martes!$A:$A, $A11, martes!$C:$C, "SALIDA") +
 SUMIFS(miercoles!$D:$D, miercoles!$A:$A, $A11, miercoles!$C:$C, "SALIDA") +
 SUMIFS(jueves!$D:$D, jueves!$A:$A, $A11, jueves!$C:$C, "SALIDA") +
 SUMIFS(viernes!$D:$D, viernes!$A:$A, $A11, viernes!$C:$C, "SALIDA") +
 SUMIFS(sabado!$D:$D, sabado!$A:$A, $A11, sabado!$C:$C, "SALIDA")</f>
        <v>0</v>
      </c>
      <c r="F11">
        <f t="shared" si="0"/>
        <v>9</v>
      </c>
      <c r="G11">
        <f>IFERROR(VLOOKUP(A11, sabado!A:I, 9, 0),
 IFERROR(VLOOKUP(A11, viernes!A:I, 9, 0),
 IFERROR(VLOOKUP(A11, jueves!A:I, 9, 0),
 IFERROR(VLOOKUP(A11, miercoles!A:I, 9, 0),
 IFERROR(VLOOKUP(A11, martes!A:I, 9, 0),
 IFERROR(VLOOKUP(A11, lunes!A:I, 9, 0),
 B11))))))</f>
        <v>9</v>
      </c>
      <c r="H11">
        <f>VLOOKUP(A11, Configuracion!A:C, 3, FALSE)</f>
        <v>20</v>
      </c>
      <c r="I11">
        <f t="shared" si="1"/>
        <v>20</v>
      </c>
      <c r="J11">
        <f>SUMIFS(lunes!$F:$F, lunes!$A:$A, $A11, lunes!$C:$C, "VENTA") +
 SUMIFS(martes!$F:$F, martes!$A:$A, $A11, martes!$C:$C, "VENTA") +
 SUMIFS(miercoles!$F:$F, miercoles!$A:$A, $A11, miercoles!$C:$C, "VENTA") +
 SUMIFS(jueves!$F:$F, jueves!$A:$A, $A11, jueves!$C:$C, "VENTA") +
 SUMIFS(viernes!$F:$F, viernes!$A:$A, $A11, viernes!$C:$C, "VENTA") +
 SUMIFS(sabado!$F:$F, sabado!$A:$A, $A11, sabado!$C:$C, "VENTA")</f>
        <v>20</v>
      </c>
      <c r="K11">
        <f t="shared" si="2"/>
        <v>0</v>
      </c>
      <c r="M11" s="12"/>
      <c r="N11" s="12"/>
    </row>
    <row r="12" spans="1:14" ht="15.6" x14ac:dyDescent="0.3">
      <c r="A12" s="1" t="str">
        <f>Configuracion!A10</f>
        <v>BASE GIRATORIA</v>
      </c>
      <c r="B12">
        <f>VLOOKUP(A12, Configuracion!A:B, 2, FALSE)</f>
        <v>8</v>
      </c>
      <c r="C12">
        <f>SUMIFS(lunes!D:D, lunes!A:A, A12, lunes!C:C, "VENTA") +
 SUMIFS(martes!D:D, martes!A:A, A12, martes!C:C, "VENTA") +
 SUMIFS(miercoles!D:D, miercoles!A:A, A12, miercoles!C:C, "VENTA") +
 SUMIFS(jueves!D:D, jueves!A:A, A12, jueves!C:C, "VENTA") +
 SUMIFS(viernes!D:D, viernes!A:A, A12, viernes!C:C, "VENTA") +
 SUMIFS(sabado!D:D, sabado!A:A, A12, sabado!C:C, "VENTA")</f>
        <v>0</v>
      </c>
      <c r="D12">
        <f>SUMIFS(lunes!$D:$D, lunes!$A:$A, $A12, lunes!$C:$C, "ENTRADA") +
 SUMIFS(martes!$D:$D, martes!$A:$A, $A12, martes!$C:$C, "ENTRADA") +
 SUMIFS(miercoles!$D:$D, miercoles!$A:$A, $A12, miercoles!$C:$C, "ENTRADA") +
 SUMIFS(jueves!$D:$D, jueves!$A:$A, $A12, jueves!$C:$C, "ENTRADA") +
 SUMIFS(viernes!$D:$D, viernes!$A:$A, $A12, viernes!$C:$C, "ENTRADA") +
 SUMIFS(sabado!$D:$D, sabado!$A:$A, $A12, sabado!$C:$C, "ENTRADA")</f>
        <v>0</v>
      </c>
      <c r="E12">
        <f>SUMIFS(lunes!$D:$D, lunes!$A:$A, $A12, lunes!$C:$C, "SALIDA") +
 SUMIFS(martes!$D:$D, martes!$A:$A, $A12, martes!$C:$C, "SALIDA") +
 SUMIFS(miercoles!$D:$D, miercoles!$A:$A, $A12, miercoles!$C:$C, "SALIDA") +
 SUMIFS(jueves!$D:$D, jueves!$A:$A, $A12, jueves!$C:$C, "SALIDA") +
 SUMIFS(viernes!$D:$D, viernes!$A:$A, $A12, viernes!$C:$C, "SALIDA") +
 SUMIFS(sabado!$D:$D, sabado!$A:$A, $A12, sabado!$C:$C, "SALIDA")</f>
        <v>0</v>
      </c>
      <c r="F12">
        <f t="shared" si="0"/>
        <v>8</v>
      </c>
      <c r="G12">
        <f>IFERROR(VLOOKUP(A12, sabado!A:I, 9, 0),
 IFERROR(VLOOKUP(A12, viernes!A:I, 9, 0),
 IFERROR(VLOOKUP(A12, jueves!A:I, 9, 0),
 IFERROR(VLOOKUP(A12, miercoles!A:I, 9, 0),
 IFERROR(VLOOKUP(A12, martes!A:I, 9, 0),
 IFERROR(VLOOKUP(A12, lunes!A:I, 9, 0),
 B12))))))</f>
        <v>8</v>
      </c>
      <c r="H12">
        <f>VLOOKUP(A12, Configuracion!A:C, 3, FALSE)</f>
        <v>25</v>
      </c>
      <c r="I12">
        <f t="shared" si="1"/>
        <v>0</v>
      </c>
      <c r="J12">
        <f>SUMIFS(lunes!$F:$F, lunes!$A:$A, $A12, lunes!$C:$C, "VENTA") +
 SUMIFS(martes!$F:$F, martes!$A:$A, $A12, martes!$C:$C, "VENTA") +
 SUMIFS(miercoles!$F:$F, miercoles!$A:$A, $A12, miercoles!$C:$C, "VENTA") +
 SUMIFS(jueves!$F:$F, jueves!$A:$A, $A12, jueves!$C:$C, "VENTA") +
 SUMIFS(viernes!$F:$F, viernes!$A:$A, $A12, viernes!$C:$C, "VENTA") +
 SUMIFS(sabado!$F:$F, sabado!$A:$A, $A12, sabado!$C:$C, "VENTA")</f>
        <v>0</v>
      </c>
      <c r="K12">
        <f t="shared" si="2"/>
        <v>0</v>
      </c>
      <c r="M12" s="36" t="s">
        <v>224</v>
      </c>
      <c r="N12" s="36"/>
    </row>
    <row r="13" spans="1:14" x14ac:dyDescent="0.3">
      <c r="A13" s="1" t="str">
        <f>Configuracion!A11</f>
        <v>BATERIA 16K SACO</v>
      </c>
      <c r="B13">
        <f>VLOOKUP(A13, Configuracion!A:B, 2, FALSE)</f>
        <v>0</v>
      </c>
      <c r="C13">
        <f>SUMIFS(lunes!D:D, lunes!A:A, A13, lunes!C:C, "VENTA") +
 SUMIFS(martes!D:D, martes!A:A, A13, martes!C:C, "VENTA") +
 SUMIFS(miercoles!D:D, miercoles!A:A, A13, miercoles!C:C, "VENTA") +
 SUMIFS(jueves!D:D, jueves!A:A, A13, jueves!C:C, "VENTA") +
 SUMIFS(viernes!D:D, viernes!A:A, A13, viernes!C:C, "VENTA") +
 SUMIFS(sabado!D:D, sabado!A:A, A13, sabado!C:C, "VENTA")</f>
        <v>0</v>
      </c>
      <c r="D13">
        <f>SUMIFS(lunes!$D:$D, lunes!$A:$A, $A13, lunes!$C:$C, "ENTRADA") +
 SUMIFS(martes!$D:$D, martes!$A:$A, $A13, martes!$C:$C, "ENTRADA") +
 SUMIFS(miercoles!$D:$D, miercoles!$A:$A, $A13, miercoles!$C:$C, "ENTRADA") +
 SUMIFS(jueves!$D:$D, jueves!$A:$A, $A13, jueves!$C:$C, "ENTRADA") +
 SUMIFS(viernes!$D:$D, viernes!$A:$A, $A13, viernes!$C:$C, "ENTRADA") +
 SUMIFS(sabado!$D:$D, sabado!$A:$A, $A13, sabado!$C:$C, "ENTRADA")</f>
        <v>0</v>
      </c>
      <c r="E13">
        <f>SUMIFS(lunes!$D:$D, lunes!$A:$A, $A13, lunes!$C:$C, "SALIDA") +
 SUMIFS(martes!$D:$D, martes!$A:$A, $A13, martes!$C:$C, "SALIDA") +
 SUMIFS(miercoles!$D:$D, miercoles!$A:$A, $A13, miercoles!$C:$C, "SALIDA") +
 SUMIFS(jueves!$D:$D, jueves!$A:$A, $A13, jueves!$C:$C, "SALIDA") +
 SUMIFS(viernes!$D:$D, viernes!$A:$A, $A13, viernes!$C:$C, "SALIDA") +
 SUMIFS(sabado!$D:$D, sabado!$A:$A, $A13, sabado!$C:$C, "SALIDA")</f>
        <v>0</v>
      </c>
      <c r="F13">
        <f t="shared" si="0"/>
        <v>0</v>
      </c>
      <c r="G13">
        <f>IFERROR(VLOOKUP(A13, sabado!A:I, 9, 0),
 IFERROR(VLOOKUP(A13, viernes!A:I, 9, 0),
 IFERROR(VLOOKUP(A13, jueves!A:I, 9, 0),
 IFERROR(VLOOKUP(A13, miercoles!A:I, 9, 0),
 IFERROR(VLOOKUP(A13, martes!A:I, 9, 0),
 IFERROR(VLOOKUP(A13, lunes!A:I, 9, 0),
 B13))))))</f>
        <v>0</v>
      </c>
      <c r="H13">
        <f>VLOOKUP(A13, Configuracion!A:C, 3, FALSE)</f>
        <v>2500</v>
      </c>
      <c r="I13">
        <f t="shared" si="1"/>
        <v>0</v>
      </c>
      <c r="J13">
        <f>SUMIFS(lunes!$F:$F, lunes!$A:$A, $A13, lunes!$C:$C, "VENTA") +
 SUMIFS(martes!$F:$F, martes!$A:$A, $A13, martes!$C:$C, "VENTA") +
 SUMIFS(miercoles!$F:$F, miercoles!$A:$A, $A13, miercoles!$C:$C, "VENTA") +
 SUMIFS(jueves!$F:$F, jueves!$A:$A, $A13, jueves!$C:$C, "VENTA") +
 SUMIFS(viernes!$F:$F, viernes!$A:$A, $A13, viernes!$C:$C, "VENTA") +
 SUMIFS(sabado!$F:$F, sabado!$A:$A, $A13, sabado!$C:$C, "VENTA")</f>
        <v>0</v>
      </c>
      <c r="K13">
        <f t="shared" si="2"/>
        <v>0</v>
      </c>
      <c r="M13" s="35">
        <f>lunes!O23 + martes!O24 + miercoles!O23 + jueves!O23 + viernes!O23 + sabado!O23</f>
        <v>43000</v>
      </c>
      <c r="N13" s="35"/>
    </row>
    <row r="14" spans="1:14" x14ac:dyDescent="0.3">
      <c r="A14" s="1" t="str">
        <f>Configuracion!A12</f>
        <v>BREKE 63A SENCILLO</v>
      </c>
      <c r="B14">
        <f>VLOOKUP(A14, Configuracion!A:B, 2, FALSE)</f>
        <v>1</v>
      </c>
      <c r="C14">
        <f>SUMIFS(lunes!D:D, lunes!A:A, A14, lunes!C:C, "VENTA") +
 SUMIFS(martes!D:D, martes!A:A, A14, martes!C:C, "VENTA") +
 SUMIFS(miercoles!D:D, miercoles!A:A, A14, miercoles!C:C, "VENTA") +
 SUMIFS(jueves!D:D, jueves!A:A, A14, jueves!C:C, "VENTA") +
 SUMIFS(viernes!D:D, viernes!A:A, A14, viernes!C:C, "VENTA") +
 SUMIFS(sabado!D:D, sabado!A:A, A14, sabado!C:C, "VENTA")</f>
        <v>0</v>
      </c>
      <c r="D14">
        <f>SUMIFS(lunes!$D:$D, lunes!$A:$A, $A14, lunes!$C:$C, "ENTRADA") +
 SUMIFS(martes!$D:$D, martes!$A:$A, $A14, martes!$C:$C, "ENTRADA") +
 SUMIFS(miercoles!$D:$D, miercoles!$A:$A, $A14, miercoles!$C:$C, "ENTRADA") +
 SUMIFS(jueves!$D:$D, jueves!$A:$A, $A14, jueves!$C:$C, "ENTRADA") +
 SUMIFS(viernes!$D:$D, viernes!$A:$A, $A14, viernes!$C:$C, "ENTRADA") +
 SUMIFS(sabado!$D:$D, sabado!$A:$A, $A14, sabado!$C:$C, "ENTRADA")</f>
        <v>0</v>
      </c>
      <c r="E14">
        <f>SUMIFS(lunes!$D:$D, lunes!$A:$A, $A14, lunes!$C:$C, "SALIDA") +
 SUMIFS(martes!$D:$D, martes!$A:$A, $A14, martes!$C:$C, "SALIDA") +
 SUMIFS(miercoles!$D:$D, miercoles!$A:$A, $A14, miercoles!$C:$C, "SALIDA") +
 SUMIFS(jueves!$D:$D, jueves!$A:$A, $A14, jueves!$C:$C, "SALIDA") +
 SUMIFS(viernes!$D:$D, viernes!$A:$A, $A14, viernes!$C:$C, "SALIDA") +
 SUMIFS(sabado!$D:$D, sabado!$A:$A, $A14, sabado!$C:$C, "SALIDA")</f>
        <v>0</v>
      </c>
      <c r="F14">
        <f t="shared" si="0"/>
        <v>1</v>
      </c>
      <c r="G14">
        <f>IFERROR(VLOOKUP(A14, sabado!A:I, 9, 0),
 IFERROR(VLOOKUP(A14, viernes!A:I, 9, 0),
 IFERROR(VLOOKUP(A14, jueves!A:I, 9, 0),
 IFERROR(VLOOKUP(A14, miercoles!A:I, 9, 0),
 IFERROR(VLOOKUP(A14, martes!A:I, 9, 0),
 IFERROR(VLOOKUP(A14, lunes!A:I, 9, 0),
 B14))))))</f>
        <v>1</v>
      </c>
      <c r="H14">
        <f>VLOOKUP(A14, Configuracion!A:C, 3, FALSE)</f>
        <v>20</v>
      </c>
      <c r="I14">
        <f t="shared" si="1"/>
        <v>0</v>
      </c>
      <c r="J14">
        <f>SUMIFS(lunes!$F:$F, lunes!$A:$A, $A14, lunes!$C:$C, "VENTA") +
 SUMIFS(martes!$F:$F, martes!$A:$A, $A14, martes!$C:$C, "VENTA") +
 SUMIFS(miercoles!$F:$F, miercoles!$A:$A, $A14, miercoles!$C:$C, "VENTA") +
 SUMIFS(jueves!$F:$F, jueves!$A:$A, $A14, jueves!$C:$C, "VENTA") +
 SUMIFS(viernes!$F:$F, viernes!$A:$A, $A14, viernes!$C:$C, "VENTA") +
 SUMIFS(sabado!$F:$F, sabado!$A:$A, $A14, sabado!$C:$C, "VENTA")</f>
        <v>0</v>
      </c>
      <c r="K14">
        <f t="shared" si="2"/>
        <v>0</v>
      </c>
      <c r="M14" s="35"/>
      <c r="N14" s="35"/>
    </row>
    <row r="15" spans="1:14" ht="15.6" x14ac:dyDescent="0.3">
      <c r="A15" s="1" t="str">
        <f>Configuracion!A13</f>
        <v>BATERIA MUST 10.25 KW</v>
      </c>
      <c r="B15">
        <f>VLOOKUP(A15, Configuracion!A:B, 2, FALSE)</f>
        <v>1</v>
      </c>
      <c r="C15">
        <f>SUMIFS(lunes!D:D, lunes!A:A, A15, lunes!C:C, "VENTA") +
 SUMIFS(martes!D:D, martes!A:A, A15, martes!C:C, "VENTA") +
 SUMIFS(miercoles!D:D, miercoles!A:A, A15, miercoles!C:C, "VENTA") +
 SUMIFS(jueves!D:D, jueves!A:A, A15, jueves!C:C, "VENTA") +
 SUMIFS(viernes!D:D, viernes!A:A, A15, viernes!C:C, "VENTA") +
 SUMIFS(sabado!D:D, sabado!A:A, A15, sabado!C:C, "VENTA")</f>
        <v>1</v>
      </c>
      <c r="D15">
        <f>SUMIFS(lunes!$D:$D, lunes!$A:$A, $A15, lunes!$C:$C, "ENTRADA") +
 SUMIFS(martes!$D:$D, martes!$A:$A, $A15, martes!$C:$C, "ENTRADA") +
 SUMIFS(miercoles!$D:$D, miercoles!$A:$A, $A15, miercoles!$C:$C, "ENTRADA") +
 SUMIFS(jueves!$D:$D, jueves!$A:$A, $A15, jueves!$C:$C, "ENTRADA") +
 SUMIFS(viernes!$D:$D, viernes!$A:$A, $A15, viernes!$C:$C, "ENTRADA") +
 SUMIFS(sabado!$D:$D, sabado!$A:$A, $A15, sabado!$C:$C, "ENTRADA")</f>
        <v>1</v>
      </c>
      <c r="E15">
        <f>SUMIFS(lunes!$D:$D, lunes!$A:$A, $A15, lunes!$C:$C, "SALIDA") +
 SUMIFS(martes!$D:$D, martes!$A:$A, $A15, martes!$C:$C, "SALIDA") +
 SUMIFS(miercoles!$D:$D, miercoles!$A:$A, $A15, miercoles!$C:$C, "SALIDA") +
 SUMIFS(jueves!$D:$D, jueves!$A:$A, $A15, jueves!$C:$C, "SALIDA") +
 SUMIFS(viernes!$D:$D, viernes!$A:$A, $A15, viernes!$C:$C, "SALIDA") +
 SUMIFS(sabado!$D:$D, sabado!$A:$A, $A15, sabado!$C:$C, "SALIDA")</f>
        <v>0</v>
      </c>
      <c r="F15">
        <f t="shared" si="0"/>
        <v>1</v>
      </c>
      <c r="G15">
        <f>IFERROR(VLOOKUP(A15, sabado!A:I, 9, 0),
 IFERROR(VLOOKUP(A15, viernes!A:I, 9, 0),
 IFERROR(VLOOKUP(A15, jueves!A:I, 9, 0),
 IFERROR(VLOOKUP(A15, miercoles!A:I, 9, 0),
 IFERROR(VLOOKUP(A15, martes!A:I, 9, 0),
 IFERROR(VLOOKUP(A15, lunes!A:I, 9, 0),
 B15))))))</f>
        <v>1</v>
      </c>
      <c r="H15">
        <f>VLOOKUP(A15, Configuracion!A:C, 3, FALSE)</f>
        <v>2050</v>
      </c>
      <c r="I15">
        <f t="shared" si="1"/>
        <v>2050</v>
      </c>
      <c r="J15">
        <f>SUMIFS(lunes!$F:$F, lunes!$A:$A, $A15, lunes!$C:$C, "VENTA") +
 SUMIFS(martes!$F:$F, martes!$A:$A, $A15, martes!$C:$C, "VENTA") +
 SUMIFS(miercoles!$F:$F, miercoles!$A:$A, $A15, miercoles!$C:$C, "VENTA") +
 SUMIFS(jueves!$F:$F, jueves!$A:$A, $A15, jueves!$C:$C, "VENTA") +
 SUMIFS(viernes!$F:$F, viernes!$A:$A, $A15, viernes!$C:$C, "VENTA") +
 SUMIFS(sabado!$F:$F, sabado!$A:$A, $A15, sabado!$C:$C, "VENTA")</f>
        <v>2050</v>
      </c>
      <c r="K15">
        <f t="shared" si="2"/>
        <v>0</v>
      </c>
      <c r="M15" s="12"/>
      <c r="N15" s="12"/>
    </row>
    <row r="16" spans="1:14" ht="15.6" x14ac:dyDescent="0.3">
      <c r="A16" s="1" t="str">
        <f>Configuracion!A14</f>
        <v>BREKE 63A DOBLE TIR</v>
      </c>
      <c r="B16">
        <f>VLOOKUP(A16, Configuracion!A:B, 2, FALSE)</f>
        <v>0</v>
      </c>
      <c r="C16">
        <f>SUMIFS(lunes!D:D, lunes!A:A, A16, lunes!C:C, "VENTA") +
 SUMIFS(martes!D:D, martes!A:A, A16, martes!C:C, "VENTA") +
 SUMIFS(miercoles!D:D, miercoles!A:A, A16, miercoles!C:C, "VENTA") +
 SUMIFS(jueves!D:D, jueves!A:A, A16, jueves!C:C, "VENTA") +
 SUMIFS(viernes!D:D, viernes!A:A, A16, viernes!C:C, "VENTA") +
 SUMIFS(sabado!D:D, sabado!A:A, A16, sabado!C:C, "VENTA")</f>
        <v>0</v>
      </c>
      <c r="D16">
        <f>SUMIFS(lunes!$D:$D, lunes!$A:$A, $A16, lunes!$C:$C, "ENTRADA") +
 SUMIFS(martes!$D:$D, martes!$A:$A, $A16, martes!$C:$C, "ENTRADA") +
 SUMIFS(miercoles!$D:$D, miercoles!$A:$A, $A16, miercoles!$C:$C, "ENTRADA") +
 SUMIFS(jueves!$D:$D, jueves!$A:$A, $A16, jueves!$C:$C, "ENTRADA") +
 SUMIFS(viernes!$D:$D, viernes!$A:$A, $A16, viernes!$C:$C, "ENTRADA") +
 SUMIFS(sabado!$D:$D, sabado!$A:$A, $A16, sabado!$C:$C, "ENTRADA")</f>
        <v>0</v>
      </c>
      <c r="E16">
        <f>SUMIFS(lunes!$D:$D, lunes!$A:$A, $A16, lunes!$C:$C, "SALIDA") +
 SUMIFS(martes!$D:$D, martes!$A:$A, $A16, martes!$C:$C, "SALIDA") +
 SUMIFS(miercoles!$D:$D, miercoles!$A:$A, $A16, miercoles!$C:$C, "SALIDA") +
 SUMIFS(jueves!$D:$D, jueves!$A:$A, $A16, jueves!$C:$C, "SALIDA") +
 SUMIFS(viernes!$D:$D, viernes!$A:$A, $A16, viernes!$C:$C, "SALIDA") +
 SUMIFS(sabado!$D:$D, sabado!$A:$A, $A16, sabado!$C:$C, "SALIDA")</f>
        <v>0</v>
      </c>
      <c r="F16">
        <f t="shared" si="0"/>
        <v>0</v>
      </c>
      <c r="G16">
        <f>IFERROR(VLOOKUP(A16, sabado!A:I, 9, 0),
 IFERROR(VLOOKUP(A16, viernes!A:I, 9, 0),
 IFERROR(VLOOKUP(A16, jueves!A:I, 9, 0),
 IFERROR(VLOOKUP(A16, miercoles!A:I, 9, 0),
 IFERROR(VLOOKUP(A16, martes!A:I, 9, 0),
 IFERROR(VLOOKUP(A16, lunes!A:I, 9, 0),
 B16))))))</f>
        <v>0</v>
      </c>
      <c r="H16">
        <f>VLOOKUP(A16, Configuracion!A:C, 3, FALSE)</f>
        <v>0</v>
      </c>
      <c r="I16">
        <f t="shared" si="1"/>
        <v>0</v>
      </c>
      <c r="J16">
        <f>SUMIFS(lunes!$F:$F, lunes!$A:$A, $A16, lunes!$C:$C, "VENTA") +
 SUMIFS(martes!$F:$F, martes!$A:$A, $A16, martes!$C:$C, "VENTA") +
 SUMIFS(miercoles!$F:$F, miercoles!$A:$A, $A16, miercoles!$C:$C, "VENTA") +
 SUMIFS(jueves!$F:$F, jueves!$A:$A, $A16, jueves!$C:$C, "VENTA") +
 SUMIFS(viernes!$F:$F, viernes!$A:$A, $A16, viernes!$C:$C, "VENTA") +
 SUMIFS(sabado!$F:$F, sabado!$A:$A, $A16, sabado!$C:$C, "VENTA")</f>
        <v>0</v>
      </c>
      <c r="K16">
        <f t="shared" si="2"/>
        <v>0</v>
      </c>
      <c r="M16" s="36" t="s">
        <v>225</v>
      </c>
      <c r="N16" s="36"/>
    </row>
    <row r="17" spans="1:14" x14ac:dyDescent="0.3">
      <c r="A17" s="1" t="str">
        <f>Configuracion!A15</f>
        <v xml:space="preserve">BREKE 32A DOBLE </v>
      </c>
      <c r="B17">
        <f>VLOOKUP(A17, Configuracion!A:B, 2, FALSE)</f>
        <v>0</v>
      </c>
      <c r="C17">
        <f>SUMIFS(lunes!D:D, lunes!A:A, A17, lunes!C:C, "VENTA") +
 SUMIFS(martes!D:D, martes!A:A, A17, martes!C:C, "VENTA") +
 SUMIFS(miercoles!D:D, miercoles!A:A, A17, miercoles!C:C, "VENTA") +
 SUMIFS(jueves!D:D, jueves!A:A, A17, jueves!C:C, "VENTA") +
 SUMIFS(viernes!D:D, viernes!A:A, A17, viernes!C:C, "VENTA") +
 SUMIFS(sabado!D:D, sabado!A:A, A17, sabado!C:C, "VENTA")</f>
        <v>0</v>
      </c>
      <c r="D17">
        <f>SUMIFS(lunes!$D:$D, lunes!$A:$A, $A17, lunes!$C:$C, "ENTRADA") +
 SUMIFS(martes!$D:$D, martes!$A:$A, $A17, martes!$C:$C, "ENTRADA") +
 SUMIFS(miercoles!$D:$D, miercoles!$A:$A, $A17, miercoles!$C:$C, "ENTRADA") +
 SUMIFS(jueves!$D:$D, jueves!$A:$A, $A17, jueves!$C:$C, "ENTRADA") +
 SUMIFS(viernes!$D:$D, viernes!$A:$A, $A17, viernes!$C:$C, "ENTRADA") +
 SUMIFS(sabado!$D:$D, sabado!$A:$A, $A17, sabado!$C:$C, "ENTRADA")</f>
        <v>0</v>
      </c>
      <c r="E17">
        <f>SUMIFS(lunes!$D:$D, lunes!$A:$A, $A17, lunes!$C:$C, "SALIDA") +
 SUMIFS(martes!$D:$D, martes!$A:$A, $A17, martes!$C:$C, "SALIDA") +
 SUMIFS(miercoles!$D:$D, miercoles!$A:$A, $A17, miercoles!$C:$C, "SALIDA") +
 SUMIFS(jueves!$D:$D, jueves!$A:$A, $A17, jueves!$C:$C, "SALIDA") +
 SUMIFS(viernes!$D:$D, viernes!$A:$A, $A17, viernes!$C:$C, "SALIDA") +
 SUMIFS(sabado!$D:$D, sabado!$A:$A, $A17, sabado!$C:$C, "SALIDA")</f>
        <v>0</v>
      </c>
      <c r="F17">
        <f t="shared" si="0"/>
        <v>0</v>
      </c>
      <c r="G17">
        <f>IFERROR(VLOOKUP(A17, sabado!A:I, 9, 0),
 IFERROR(VLOOKUP(A17, viernes!A:I, 9, 0),
 IFERROR(VLOOKUP(A17, jueves!A:I, 9, 0),
 IFERROR(VLOOKUP(A17, miercoles!A:I, 9, 0),
 IFERROR(VLOOKUP(A17, martes!A:I, 9, 0),
 IFERROR(VLOOKUP(A17, lunes!A:I, 9, 0),
 B17))))))</f>
        <v>0</v>
      </c>
      <c r="H17">
        <f>VLOOKUP(A17, Configuracion!A:C, 3, FALSE)</f>
        <v>0</v>
      </c>
      <c r="I17">
        <f t="shared" si="1"/>
        <v>0</v>
      </c>
      <c r="J17">
        <f>SUMIFS(lunes!$F:$F, lunes!$A:$A, $A17, lunes!$C:$C, "VENTA") +
 SUMIFS(martes!$F:$F, martes!$A:$A, $A17, martes!$C:$C, "VENTA") +
 SUMIFS(miercoles!$F:$F, miercoles!$A:$A, $A17, miercoles!$C:$C, "VENTA") +
 SUMIFS(jueves!$F:$F, jueves!$A:$A, $A17, jueves!$C:$C, "VENTA") +
 SUMIFS(viernes!$F:$F, viernes!$A:$A, $A17, viernes!$C:$C, "VENTA") +
 SUMIFS(sabado!$F:$F, sabado!$A:$A, $A17, sabado!$C:$C, "VENTA")</f>
        <v>0</v>
      </c>
      <c r="K17">
        <f t="shared" si="2"/>
        <v>0</v>
      </c>
      <c r="M17" s="35">
        <f>lunes!O21 + martes!O22 + miercoles!O21 + jueves!O21 + viernes!O21 + sabado!PO21</f>
        <v>11000</v>
      </c>
      <c r="N17" s="35"/>
    </row>
    <row r="18" spans="1:14" x14ac:dyDescent="0.3">
      <c r="A18" s="1" t="str">
        <f>Configuracion!A16</f>
        <v xml:space="preserve">BOCINA BOOM 8  PULGADAS   </v>
      </c>
      <c r="B18">
        <f>VLOOKUP(A18, Configuracion!A:B, 2, FALSE)</f>
        <v>0</v>
      </c>
      <c r="C18">
        <f>SUMIFS(lunes!D:D, lunes!A:A, A18, lunes!C:C, "VENTA") +
 SUMIFS(martes!D:D, martes!A:A, A18, martes!C:C, "VENTA") +
 SUMIFS(miercoles!D:D, miercoles!A:A, A18, miercoles!C:C, "VENTA") +
 SUMIFS(jueves!D:D, jueves!A:A, A18, jueves!C:C, "VENTA") +
 SUMIFS(viernes!D:D, viernes!A:A, A18, viernes!C:C, "VENTA") +
 SUMIFS(sabado!D:D, sabado!A:A, A18, sabado!C:C, "VENTA")</f>
        <v>0</v>
      </c>
      <c r="D18">
        <f>SUMIFS(lunes!$D:$D, lunes!$A:$A, $A18, lunes!$C:$C, "ENTRADA") +
 SUMIFS(martes!$D:$D, martes!$A:$A, $A18, martes!$C:$C, "ENTRADA") +
 SUMIFS(miercoles!$D:$D, miercoles!$A:$A, $A18, miercoles!$C:$C, "ENTRADA") +
 SUMIFS(jueves!$D:$D, jueves!$A:$A, $A18, jueves!$C:$C, "ENTRADA") +
 SUMIFS(viernes!$D:$D, viernes!$A:$A, $A18, viernes!$C:$C, "ENTRADA") +
 SUMIFS(sabado!$D:$D, sabado!$A:$A, $A18, sabado!$C:$C, "ENTRADA")</f>
        <v>0</v>
      </c>
      <c r="E18">
        <f>SUMIFS(lunes!$D:$D, lunes!$A:$A, $A18, lunes!$C:$C, "SALIDA") +
 SUMIFS(martes!$D:$D, martes!$A:$A, $A18, martes!$C:$C, "SALIDA") +
 SUMIFS(miercoles!$D:$D, miercoles!$A:$A, $A18, miercoles!$C:$C, "SALIDA") +
 SUMIFS(jueves!$D:$D, jueves!$A:$A, $A18, jueves!$C:$C, "SALIDA") +
 SUMIFS(viernes!$D:$D, viernes!$A:$A, $A18, viernes!$C:$C, "SALIDA") +
 SUMIFS(sabado!$D:$D, sabado!$A:$A, $A18, sabado!$C:$C, "SALIDA")</f>
        <v>0</v>
      </c>
      <c r="F18">
        <f t="shared" si="0"/>
        <v>0</v>
      </c>
      <c r="G18">
        <f>IFERROR(VLOOKUP(A18, sabado!A:I, 9, 0),
 IFERROR(VLOOKUP(A18, viernes!A:I, 9, 0),
 IFERROR(VLOOKUP(A18, jueves!A:I, 9, 0),
 IFERROR(VLOOKUP(A18, miercoles!A:I, 9, 0),
 IFERROR(VLOOKUP(A18, martes!A:I, 9, 0),
 IFERROR(VLOOKUP(A18, lunes!A:I, 9, 0),
 B18))))))</f>
        <v>0</v>
      </c>
      <c r="H18">
        <f>VLOOKUP(A18, Configuracion!A:C, 3, FALSE)</f>
        <v>35</v>
      </c>
      <c r="I18">
        <f t="shared" si="1"/>
        <v>0</v>
      </c>
      <c r="J18">
        <f>SUMIFS(lunes!$F:$F, lunes!$A:$A, $A18, lunes!$C:$C, "VENTA") +
 SUMIFS(martes!$F:$F, martes!$A:$A, $A18, martes!$C:$C, "VENTA") +
 SUMIFS(miercoles!$F:$F, miercoles!$A:$A, $A18, miercoles!$C:$C, "VENTA") +
 SUMIFS(jueves!$F:$F, jueves!$A:$A, $A18, jueves!$C:$C, "VENTA") +
 SUMIFS(viernes!$F:$F, viernes!$A:$A, $A18, viernes!$C:$C, "VENTA") +
 SUMIFS(sabado!$F:$F, sabado!$A:$A, $A18, sabado!$C:$C, "VENTA")</f>
        <v>0</v>
      </c>
      <c r="K18">
        <f t="shared" si="2"/>
        <v>0</v>
      </c>
      <c r="M18" s="35"/>
      <c r="N18" s="35"/>
    </row>
    <row r="19" spans="1:14" x14ac:dyDescent="0.3">
      <c r="A19" s="1" t="str">
        <f>Configuracion!A18</f>
        <v>BOCINA MILEXUS 8 DUAL</v>
      </c>
      <c r="B19">
        <f>VLOOKUP(A19, Configuracion!A:B, 2, FALSE)</f>
        <v>0</v>
      </c>
      <c r="C19">
        <f>SUMIFS(lunes!D:D, lunes!A:A, A19, lunes!C:C, "VENTA") +
 SUMIFS(martes!D:D, martes!A:A, A19, martes!C:C, "VENTA") +
 SUMIFS(miercoles!D:D, miercoles!A:A, A19, miercoles!C:C, "VENTA") +
 SUMIFS(jueves!D:D, jueves!A:A, A19, jueves!C:C, "VENTA") +
 SUMIFS(viernes!D:D, viernes!A:A, A19, viernes!C:C, "VENTA") +
 SUMIFS(sabado!D:D, sabado!A:A, A19, sabado!C:C, "VENTA")</f>
        <v>0</v>
      </c>
      <c r="D19">
        <f>SUMIFS(lunes!$D:$D, lunes!$A:$A, $A19, lunes!$C:$C, "ENTRADA") +
 SUMIFS(martes!$D:$D, martes!$A:$A, $A19, martes!$C:$C, "ENTRADA") +
 SUMIFS(miercoles!$D:$D, miercoles!$A:$A, $A19, miercoles!$C:$C, "ENTRADA") +
 SUMIFS(jueves!$D:$D, jueves!$A:$A, $A19, jueves!$C:$C, "ENTRADA") +
 SUMIFS(viernes!$D:$D, viernes!$A:$A, $A19, viernes!$C:$C, "ENTRADA") +
 SUMIFS(sabado!$D:$D, sabado!$A:$A, $A19, sabado!$C:$C, "ENTRADA")</f>
        <v>0</v>
      </c>
      <c r="E19">
        <f>SUMIFS(lunes!$D:$D, lunes!$A:$A, $A19, lunes!$C:$C, "SALIDA") +
 SUMIFS(martes!$D:$D, martes!$A:$A, $A19, martes!$C:$C, "SALIDA") +
 SUMIFS(miercoles!$D:$D, miercoles!$A:$A, $A19, miercoles!$C:$C, "SALIDA") +
 SUMIFS(jueves!$D:$D, jueves!$A:$A, $A19, jueves!$C:$C, "SALIDA") +
 SUMIFS(viernes!$D:$D, viernes!$A:$A, $A19, viernes!$C:$C, "SALIDA") +
 SUMIFS(sabado!$D:$D, sabado!$A:$A, $A19, sabado!$C:$C, "SALIDA")</f>
        <v>0</v>
      </c>
      <c r="F19">
        <f t="shared" si="0"/>
        <v>0</v>
      </c>
      <c r="G19">
        <f>IFERROR(VLOOKUP(A19, sabado!A:I, 9, 0),
 IFERROR(VLOOKUP(A19, viernes!A:I, 9, 0),
 IFERROR(VLOOKUP(A19, jueves!A:I, 9, 0),
 IFERROR(VLOOKUP(A19, miercoles!A:I, 9, 0),
 IFERROR(VLOOKUP(A19, martes!A:I, 9, 0),
 IFERROR(VLOOKUP(A19, lunes!A:I, 9, 0),
 B19))))))</f>
        <v>0</v>
      </c>
      <c r="H19">
        <f>VLOOKUP(A19, Configuracion!A:C, 3, FALSE)</f>
        <v>190</v>
      </c>
      <c r="I19">
        <f t="shared" si="1"/>
        <v>0</v>
      </c>
      <c r="J19">
        <f>SUMIFS(lunes!$F:$F, lunes!$A:$A, $A19, lunes!$C:$C, "VENTA") +
 SUMIFS(martes!$F:$F, martes!$A:$A, $A19, martes!$C:$C, "VENTA") +
 SUMIFS(miercoles!$F:$F, miercoles!$A:$A, $A19, miercoles!$C:$C, "VENTA") +
 SUMIFS(jueves!$F:$F, jueves!$A:$A, $A19, jueves!$C:$C, "VENTA") +
 SUMIFS(viernes!$F:$F, viernes!$A:$A, $A19, viernes!$C:$C, "VENTA") +
 SUMIFS(sabado!$F:$F, sabado!$A:$A, $A19, sabado!$C:$C, "VENTA")</f>
        <v>0</v>
      </c>
      <c r="K19">
        <f t="shared" si="2"/>
        <v>0</v>
      </c>
    </row>
    <row r="20" spans="1:14" x14ac:dyDescent="0.3">
      <c r="A20" s="1" t="str">
        <f>Configuracion!A19</f>
        <v>BOMBA DE AGUA SILVER POINT  1 HP</v>
      </c>
      <c r="B20">
        <f>VLOOKUP(A20, Configuracion!A:B, 2, FALSE)</f>
        <v>2</v>
      </c>
      <c r="C20">
        <f>SUMIFS(lunes!D:D, lunes!A:A, A20, lunes!C:C, "VENTA") +
 SUMIFS(martes!D:D, martes!A:A, A20, martes!C:C, "VENTA") +
 SUMIFS(miercoles!D:D, miercoles!A:A, A20, miercoles!C:C, "VENTA") +
 SUMIFS(jueves!D:D, jueves!A:A, A20, jueves!C:C, "VENTA") +
 SUMIFS(viernes!D:D, viernes!A:A, A20, viernes!C:C, "VENTA") +
 SUMIFS(sabado!D:D, sabado!A:A, A20, sabado!C:C, "VENTA")</f>
        <v>0</v>
      </c>
      <c r="D20">
        <f>SUMIFS(lunes!$D:$D, lunes!$A:$A, $A20, lunes!$C:$C, "ENTRADA") +
 SUMIFS(martes!$D:$D, martes!$A:$A, $A20, martes!$C:$C, "ENTRADA") +
 SUMIFS(miercoles!$D:$D, miercoles!$A:$A, $A20, miercoles!$C:$C, "ENTRADA") +
 SUMIFS(jueves!$D:$D, jueves!$A:$A, $A20, jueves!$C:$C, "ENTRADA") +
 SUMIFS(viernes!$D:$D, viernes!$A:$A, $A20, viernes!$C:$C, "ENTRADA") +
 SUMIFS(sabado!$D:$D, sabado!$A:$A, $A20, sabado!$C:$C, "ENTRADA")</f>
        <v>0</v>
      </c>
      <c r="E20">
        <f>SUMIFS(lunes!$D:$D, lunes!$A:$A, $A20, lunes!$C:$C, "SALIDA") +
 SUMIFS(martes!$D:$D, martes!$A:$A, $A20, martes!$C:$C, "SALIDA") +
 SUMIFS(miercoles!$D:$D, miercoles!$A:$A, $A20, miercoles!$C:$C, "SALIDA") +
 SUMIFS(jueves!$D:$D, jueves!$A:$A, $A20, jueves!$C:$C, "SALIDA") +
 SUMIFS(viernes!$D:$D, viernes!$A:$A, $A20, viernes!$C:$C, "SALIDA") +
 SUMIFS(sabado!$D:$D, sabado!$A:$A, $A20, sabado!$C:$C, "SALIDA")</f>
        <v>0</v>
      </c>
      <c r="F20">
        <f t="shared" si="0"/>
        <v>2</v>
      </c>
      <c r="G20">
        <f>IFERROR(VLOOKUP(A20, sabado!A:I, 9, 0),
 IFERROR(VLOOKUP(A20, viernes!A:I, 9, 0),
 IFERROR(VLOOKUP(A20, jueves!A:I, 9, 0),
 IFERROR(VLOOKUP(A20, miercoles!A:I, 9, 0),
 IFERROR(VLOOKUP(A20, martes!A:I, 9, 0),
 IFERROR(VLOOKUP(A20, lunes!A:I, 9, 0),
 B20))))))</f>
        <v>2</v>
      </c>
      <c r="H20">
        <f>VLOOKUP(A20, Configuracion!A:C, 3, FALSE)</f>
        <v>60</v>
      </c>
      <c r="I20">
        <f t="shared" si="1"/>
        <v>0</v>
      </c>
      <c r="J20">
        <f>SUMIFS(lunes!$F:$F, lunes!$A:$A, $A20, lunes!$C:$C, "VENTA") +
 SUMIFS(martes!$F:$F, martes!$A:$A, $A20, martes!$C:$C, "VENTA") +
 SUMIFS(miercoles!$F:$F, miercoles!$A:$A, $A20, miercoles!$C:$C, "VENTA") +
 SUMIFS(jueves!$F:$F, jueves!$A:$A, $A20, jueves!$C:$C, "VENTA") +
 SUMIFS(viernes!$F:$F, viernes!$A:$A, $A20, viernes!$C:$C, "VENTA") +
 SUMIFS(sabado!$F:$F, sabado!$A:$A, $A20, sabado!$C:$C, "VENTA")</f>
        <v>0</v>
      </c>
      <c r="K20">
        <f t="shared" si="2"/>
        <v>0</v>
      </c>
    </row>
    <row r="21" spans="1:14" x14ac:dyDescent="0.3">
      <c r="A21" s="1" t="str">
        <f>Configuracion!A20</f>
        <v>BOMBA DE AGUA SILVER POINT  1X1/2</v>
      </c>
      <c r="B21">
        <f>VLOOKUP(A21, Configuracion!A:B, 2, FALSE)</f>
        <v>0</v>
      </c>
      <c r="C21">
        <f>SUMIFS(lunes!D:D, lunes!A:A, A21, lunes!C:C, "VENTA") +
 SUMIFS(martes!D:D, martes!A:A, A21, martes!C:C, "VENTA") +
 SUMIFS(miercoles!D:D, miercoles!A:A, A21, miercoles!C:C, "VENTA") +
 SUMIFS(jueves!D:D, jueves!A:A, A21, jueves!C:C, "VENTA") +
 SUMIFS(viernes!D:D, viernes!A:A, A21, viernes!C:C, "VENTA") +
 SUMIFS(sabado!D:D, sabado!A:A, A21, sabado!C:C, "VENTA")</f>
        <v>0</v>
      </c>
      <c r="D21">
        <f>SUMIFS(lunes!$D:$D, lunes!$A:$A, $A21, lunes!$C:$C, "ENTRADA") +
 SUMIFS(martes!$D:$D, martes!$A:$A, $A21, martes!$C:$C, "ENTRADA") +
 SUMIFS(miercoles!$D:$D, miercoles!$A:$A, $A21, miercoles!$C:$C, "ENTRADA") +
 SUMIFS(jueves!$D:$D, jueves!$A:$A, $A21, jueves!$C:$C, "ENTRADA") +
 SUMIFS(viernes!$D:$D, viernes!$A:$A, $A21, viernes!$C:$C, "ENTRADA") +
 SUMIFS(sabado!$D:$D, sabado!$A:$A, $A21, sabado!$C:$C, "ENTRADA")</f>
        <v>0</v>
      </c>
      <c r="E21">
        <f>SUMIFS(lunes!$D:$D, lunes!$A:$A, $A21, lunes!$C:$C, "SALIDA") +
 SUMIFS(martes!$D:$D, martes!$A:$A, $A21, martes!$C:$C, "SALIDA") +
 SUMIFS(miercoles!$D:$D, miercoles!$A:$A, $A21, miercoles!$C:$C, "SALIDA") +
 SUMIFS(jueves!$D:$D, jueves!$A:$A, $A21, jueves!$C:$C, "SALIDA") +
 SUMIFS(viernes!$D:$D, viernes!$A:$A, $A21, viernes!$C:$C, "SALIDA") +
 SUMIFS(sabado!$D:$D, sabado!$A:$A, $A21, sabado!$C:$C, "SALIDA")</f>
        <v>0</v>
      </c>
      <c r="F21">
        <f t="shared" si="0"/>
        <v>0</v>
      </c>
      <c r="G21">
        <f>IFERROR(VLOOKUP(A21, sabado!A:I, 9, 0),
 IFERROR(VLOOKUP(A21, viernes!A:I, 9, 0),
 IFERROR(VLOOKUP(A21, jueves!A:I, 9, 0),
 IFERROR(VLOOKUP(A21, miercoles!A:I, 9, 0),
 IFERROR(VLOOKUP(A21, martes!A:I, 9, 0),
 IFERROR(VLOOKUP(A21, lunes!A:I, 9, 0),
 B21))))))</f>
        <v>0</v>
      </c>
      <c r="H21">
        <f>VLOOKUP(A21, Configuracion!A:C, 3, FALSE)</f>
        <v>40</v>
      </c>
      <c r="I21">
        <f t="shared" si="1"/>
        <v>0</v>
      </c>
      <c r="J21">
        <f>SUMIFS(lunes!$F:$F, lunes!$A:$A, $A21, lunes!$C:$C, "VENTA") +
 SUMIFS(martes!$F:$F, martes!$A:$A, $A21, martes!$C:$C, "VENTA") +
 SUMIFS(miercoles!$F:$F, miercoles!$A:$A, $A21, miercoles!$C:$C, "VENTA") +
 SUMIFS(jueves!$F:$F, jueves!$A:$A, $A21, jueves!$C:$C, "VENTA") +
 SUMIFS(viernes!$F:$F, viernes!$A:$A, $A21, viernes!$C:$C, "VENTA") +
 SUMIFS(sabado!$F:$F, sabado!$A:$A, $A21, sabado!$C:$C, "VENTA")</f>
        <v>0</v>
      </c>
      <c r="K21">
        <f t="shared" si="2"/>
        <v>0</v>
      </c>
    </row>
    <row r="22" spans="1:14" x14ac:dyDescent="0.3">
      <c r="A22" s="1" t="str">
        <f>Configuracion!A21</f>
        <v>BICICLETA INFANTIL</v>
      </c>
      <c r="B22">
        <f>VLOOKUP(A22, Configuracion!A:B, 2, FALSE)</f>
        <v>0</v>
      </c>
      <c r="C22">
        <f>SUMIFS(lunes!D:D, lunes!A:A, A22, lunes!C:C, "VENTA") +
 SUMIFS(martes!D:D, martes!A:A, A22, martes!C:C, "VENTA") +
 SUMIFS(miercoles!D:D, miercoles!A:A, A22, miercoles!C:C, "VENTA") +
 SUMIFS(jueves!D:D, jueves!A:A, A22, jueves!C:C, "VENTA") +
 SUMIFS(viernes!D:D, viernes!A:A, A22, viernes!C:C, "VENTA") +
 SUMIFS(sabado!D:D, sabado!A:A, A22, sabado!C:C, "VENTA")</f>
        <v>0</v>
      </c>
      <c r="D22">
        <f>SUMIFS(lunes!$D:$D, lunes!$A:$A, $A22, lunes!$C:$C, "ENTRADA") +
 SUMIFS(martes!$D:$D, martes!$A:$A, $A22, martes!$C:$C, "ENTRADA") +
 SUMIFS(miercoles!$D:$D, miercoles!$A:$A, $A22, miercoles!$C:$C, "ENTRADA") +
 SUMIFS(jueves!$D:$D, jueves!$A:$A, $A22, jueves!$C:$C, "ENTRADA") +
 SUMIFS(viernes!$D:$D, viernes!$A:$A, $A22, viernes!$C:$C, "ENTRADA") +
 SUMIFS(sabado!$D:$D, sabado!$A:$A, $A22, sabado!$C:$C, "ENTRADA")</f>
        <v>0</v>
      </c>
      <c r="E22">
        <f>SUMIFS(lunes!$D:$D, lunes!$A:$A, $A22, lunes!$C:$C, "SALIDA") +
 SUMIFS(martes!$D:$D, martes!$A:$A, $A22, martes!$C:$C, "SALIDA") +
 SUMIFS(miercoles!$D:$D, miercoles!$A:$A, $A22, miercoles!$C:$C, "SALIDA") +
 SUMIFS(jueves!$D:$D, jueves!$A:$A, $A22, jueves!$C:$C, "SALIDA") +
 SUMIFS(viernes!$D:$D, viernes!$A:$A, $A22, viernes!$C:$C, "SALIDA") +
 SUMIFS(sabado!$D:$D, sabado!$A:$A, $A22, sabado!$C:$C, "SALIDA")</f>
        <v>0</v>
      </c>
      <c r="F22">
        <f t="shared" si="0"/>
        <v>0</v>
      </c>
      <c r="G22">
        <f>IFERROR(VLOOKUP(A22, sabado!A:I, 9, 0),
 IFERROR(VLOOKUP(A22, viernes!A:I, 9, 0),
 IFERROR(VLOOKUP(A22, jueves!A:I, 9, 0),
 IFERROR(VLOOKUP(A22, miercoles!A:I, 9, 0),
 IFERROR(VLOOKUP(A22, martes!A:I, 9, 0),
 IFERROR(VLOOKUP(A22, lunes!A:I, 9, 0),
 B22))))))</f>
        <v>0</v>
      </c>
      <c r="H22">
        <f>VLOOKUP(A22, Configuracion!A:C, 3, FALSE)</f>
        <v>130</v>
      </c>
      <c r="I22">
        <f t="shared" si="1"/>
        <v>0</v>
      </c>
      <c r="J22">
        <f>SUMIFS(lunes!$F:$F, lunes!$A:$A, $A22, lunes!$C:$C, "VENTA") +
 SUMIFS(martes!$F:$F, martes!$A:$A, $A22, martes!$C:$C, "VENTA") +
 SUMIFS(miercoles!$F:$F, miercoles!$A:$A, $A22, miercoles!$C:$C, "VENTA") +
 SUMIFS(jueves!$F:$F, jueves!$A:$A, $A22, jueves!$C:$C, "VENTA") +
 SUMIFS(viernes!$F:$F, viernes!$A:$A, $A22, viernes!$C:$C, "VENTA") +
 SUMIFS(sabado!$F:$F, sabado!$A:$A, $A22, sabado!$C:$C, "VENTA")</f>
        <v>0</v>
      </c>
      <c r="K22">
        <f t="shared" si="2"/>
        <v>0</v>
      </c>
    </row>
    <row r="23" spans="1:14" x14ac:dyDescent="0.3">
      <c r="A23" s="1" t="str">
        <f>Configuracion!A22</f>
        <v>BICICLETA</v>
      </c>
      <c r="B23">
        <f>VLOOKUP(A23, Configuracion!A:B, 2, FALSE)</f>
        <v>0</v>
      </c>
      <c r="C23">
        <f>SUMIFS(lunes!D:D, lunes!A:A, A23, lunes!C:C, "VENTA") +
 SUMIFS(martes!D:D, martes!A:A, A23, martes!C:C, "VENTA") +
 SUMIFS(miercoles!D:D, miercoles!A:A, A23, miercoles!C:C, "VENTA") +
 SUMIFS(jueves!D:D, jueves!A:A, A23, jueves!C:C, "VENTA") +
 SUMIFS(viernes!D:D, viernes!A:A, A23, viernes!C:C, "VENTA") +
 SUMIFS(sabado!D:D, sabado!A:A, A23, sabado!C:C, "VENTA")</f>
        <v>0</v>
      </c>
      <c r="D23">
        <f>SUMIFS(lunes!$D:$D, lunes!$A:$A, $A23, lunes!$C:$C, "ENTRADA") +
 SUMIFS(martes!$D:$D, martes!$A:$A, $A23, martes!$C:$C, "ENTRADA") +
 SUMIFS(miercoles!$D:$D, miercoles!$A:$A, $A23, miercoles!$C:$C, "ENTRADA") +
 SUMIFS(jueves!$D:$D, jueves!$A:$A, $A23, jueves!$C:$C, "ENTRADA") +
 SUMIFS(viernes!$D:$D, viernes!$A:$A, $A23, viernes!$C:$C, "ENTRADA") +
 SUMIFS(sabado!$D:$D, sabado!$A:$A, $A23, sabado!$C:$C, "ENTRADA")</f>
        <v>0</v>
      </c>
      <c r="E23">
        <f>SUMIFS(lunes!$D:$D, lunes!$A:$A, $A23, lunes!$C:$C, "SALIDA") +
 SUMIFS(martes!$D:$D, martes!$A:$A, $A23, martes!$C:$C, "SALIDA") +
 SUMIFS(miercoles!$D:$D, miercoles!$A:$A, $A23, miercoles!$C:$C, "SALIDA") +
 SUMIFS(jueves!$D:$D, jueves!$A:$A, $A23, jueves!$C:$C, "SALIDA") +
 SUMIFS(viernes!$D:$D, viernes!$A:$A, $A23, viernes!$C:$C, "SALIDA") +
 SUMIFS(sabado!$D:$D, sabado!$A:$A, $A23, sabado!$C:$C, "SALIDA")</f>
        <v>0</v>
      </c>
      <c r="F23">
        <f t="shared" si="0"/>
        <v>0</v>
      </c>
      <c r="G23">
        <f>IFERROR(VLOOKUP(A23, sabado!A:I, 9, 0),
 IFERROR(VLOOKUP(A23, viernes!A:I, 9, 0),
 IFERROR(VLOOKUP(A23, jueves!A:I, 9, 0),
 IFERROR(VLOOKUP(A23, miercoles!A:I, 9, 0),
 IFERROR(VLOOKUP(A23, martes!A:I, 9, 0),
 IFERROR(VLOOKUP(A23, lunes!A:I, 9, 0),
 B23))))))</f>
        <v>0</v>
      </c>
      <c r="H23">
        <f>VLOOKUP(A23, Configuracion!A:C, 3, FALSE)</f>
        <v>180</v>
      </c>
      <c r="I23">
        <f t="shared" si="1"/>
        <v>0</v>
      </c>
      <c r="J23">
        <f>SUMIFS(lunes!$F:$F, lunes!$A:$A, $A23, lunes!$C:$C, "VENTA") +
 SUMIFS(martes!$F:$F, martes!$A:$A, $A23, martes!$C:$C, "VENTA") +
 SUMIFS(miercoles!$F:$F, miercoles!$A:$A, $A23, miercoles!$C:$C, "VENTA") +
 SUMIFS(jueves!$F:$F, jueves!$A:$A, $A23, jueves!$C:$C, "VENTA") +
 SUMIFS(viernes!$F:$F, viernes!$A:$A, $A23, viernes!$C:$C, "VENTA") +
 SUMIFS(sabado!$F:$F, sabado!$A:$A, $A23, sabado!$C:$C, "VENTA")</f>
        <v>0</v>
      </c>
      <c r="K23">
        <f t="shared" si="2"/>
        <v>0</v>
      </c>
    </row>
    <row r="24" spans="1:14" x14ac:dyDescent="0.3">
      <c r="A24" s="1" t="str">
        <f>Configuracion!A23</f>
        <v>CONECTORES MC4</v>
      </c>
      <c r="B24">
        <f>VLOOKUP(A24, Configuracion!A:B, 2, FALSE)</f>
        <v>4</v>
      </c>
      <c r="C24">
        <f>SUMIFS(lunes!D:D, lunes!A:A, A24, lunes!C:C, "VENTA") +
 SUMIFS(martes!D:D, martes!A:A, A24, martes!C:C, "VENTA") +
 SUMIFS(miercoles!D:D, miercoles!A:A, A24, miercoles!C:C, "VENTA") +
 SUMIFS(jueves!D:D, jueves!A:A, A24, jueves!C:C, "VENTA") +
 SUMIFS(viernes!D:D, viernes!A:A, A24, viernes!C:C, "VENTA") +
 SUMIFS(sabado!D:D, sabado!A:A, A24, sabado!C:C, "VENTA")</f>
        <v>0</v>
      </c>
      <c r="D24">
        <f>SUMIFS(lunes!$D:$D, lunes!$A:$A, $A24, lunes!$C:$C, "ENTRADA") +
 SUMIFS(martes!$D:$D, martes!$A:$A, $A24, martes!$C:$C, "ENTRADA") +
 SUMIFS(miercoles!$D:$D, miercoles!$A:$A, $A24, miercoles!$C:$C, "ENTRADA") +
 SUMIFS(jueves!$D:$D, jueves!$A:$A, $A24, jueves!$C:$C, "ENTRADA") +
 SUMIFS(viernes!$D:$D, viernes!$A:$A, $A24, viernes!$C:$C, "ENTRADA") +
 SUMIFS(sabado!$D:$D, sabado!$A:$A, $A24, sabado!$C:$C, "ENTRADA")</f>
        <v>0</v>
      </c>
      <c r="E24">
        <f>SUMIFS(lunes!$D:$D, lunes!$A:$A, $A24, lunes!$C:$C, "SALIDA") +
 SUMIFS(martes!$D:$D, martes!$A:$A, $A24, martes!$C:$C, "SALIDA") +
 SUMIFS(miercoles!$D:$D, miercoles!$A:$A, $A24, miercoles!$C:$C, "SALIDA") +
 SUMIFS(jueves!$D:$D, jueves!$A:$A, $A24, jueves!$C:$C, "SALIDA") +
 SUMIFS(viernes!$D:$D, viernes!$A:$A, $A24, viernes!$C:$C, "SALIDA") +
 SUMIFS(sabado!$D:$D, sabado!$A:$A, $A24, sabado!$C:$C, "SALIDA")</f>
        <v>0</v>
      </c>
      <c r="F24">
        <f t="shared" si="0"/>
        <v>4</v>
      </c>
      <c r="G24">
        <f>IFERROR(VLOOKUP(A24, sabado!A:I, 9, 0),
 IFERROR(VLOOKUP(A24, viernes!A:I, 9, 0),
 IFERROR(VLOOKUP(A24, jueves!A:I, 9, 0),
 IFERROR(VLOOKUP(A24, miercoles!A:I, 9, 0),
 IFERROR(VLOOKUP(A24, martes!A:I, 9, 0),
 IFERROR(VLOOKUP(A24, lunes!A:I, 9, 0),
 B24))))))</f>
        <v>4</v>
      </c>
      <c r="H24">
        <f>VLOOKUP(A24, Configuracion!A:C, 3, FALSE)</f>
        <v>0</v>
      </c>
      <c r="I24">
        <f t="shared" si="1"/>
        <v>0</v>
      </c>
      <c r="J24">
        <f>SUMIFS(lunes!$F:$F, lunes!$A:$A, $A24, lunes!$C:$C, "VENTA") +
 SUMIFS(martes!$F:$F, martes!$A:$A, $A24, martes!$C:$C, "VENTA") +
 SUMIFS(miercoles!$F:$F, miercoles!$A:$A, $A24, miercoles!$C:$C, "VENTA") +
 SUMIFS(jueves!$F:$F, jueves!$A:$A, $A24, jueves!$C:$C, "VENTA") +
 SUMIFS(viernes!$F:$F, viernes!$A:$A, $A24, viernes!$C:$C, "VENTA") +
 SUMIFS(sabado!$F:$F, sabado!$A:$A, $A24, sabado!$C:$C, "VENTA")</f>
        <v>0</v>
      </c>
      <c r="K24">
        <f t="shared" si="2"/>
        <v>0</v>
      </c>
    </row>
    <row r="25" spans="1:14" x14ac:dyDescent="0.3">
      <c r="A25" s="1" t="str">
        <f>Configuracion!A24</f>
        <v>CAJITA DECODIFICADORA VIVAMAX</v>
      </c>
      <c r="B25">
        <f>VLOOKUP(A25, Configuracion!A:B, 2, FALSE)</f>
        <v>5</v>
      </c>
      <c r="C25">
        <f>SUMIFS(lunes!D:D, lunes!A:A, A25, lunes!C:C, "VENTA") +
 SUMIFS(martes!D:D, martes!A:A, A25, martes!C:C, "VENTA") +
 SUMIFS(miercoles!D:D, miercoles!A:A, A25, miercoles!C:C, "VENTA") +
 SUMIFS(jueves!D:D, jueves!A:A, A25, jueves!C:C, "VENTA") +
 SUMIFS(viernes!D:D, viernes!A:A, A25, viernes!C:C, "VENTA") +
 SUMIFS(sabado!D:D, sabado!A:A, A25, sabado!C:C, "VENTA")</f>
        <v>1</v>
      </c>
      <c r="D25">
        <f>SUMIFS(lunes!$D:$D, lunes!$A:$A, $A25, lunes!$C:$C, "ENTRADA") +
 SUMIFS(martes!$D:$D, martes!$A:$A, $A25, martes!$C:$C, "ENTRADA") +
 SUMIFS(miercoles!$D:$D, miercoles!$A:$A, $A25, miercoles!$C:$C, "ENTRADA") +
 SUMIFS(jueves!$D:$D, jueves!$A:$A, $A25, jueves!$C:$C, "ENTRADA") +
 SUMIFS(viernes!$D:$D, viernes!$A:$A, $A25, viernes!$C:$C, "ENTRADA") +
 SUMIFS(sabado!$D:$D, sabado!$A:$A, $A25, sabado!$C:$C, "ENTRADA")</f>
        <v>0</v>
      </c>
      <c r="E25">
        <f>SUMIFS(lunes!$D:$D, lunes!$A:$A, $A25, lunes!$C:$C, "SALIDA") +
 SUMIFS(martes!$D:$D, martes!$A:$A, $A25, martes!$C:$C, "SALIDA") +
 SUMIFS(miercoles!$D:$D, miercoles!$A:$A, $A25, miercoles!$C:$C, "SALIDA") +
 SUMIFS(jueves!$D:$D, jueves!$A:$A, $A25, jueves!$C:$C, "SALIDA") +
 SUMIFS(viernes!$D:$D, viernes!$A:$A, $A25, viernes!$C:$C, "SALIDA") +
 SUMIFS(sabado!$D:$D, sabado!$A:$A, $A25, sabado!$C:$C, "SALIDA")</f>
        <v>0</v>
      </c>
      <c r="F25">
        <f t="shared" si="0"/>
        <v>4</v>
      </c>
      <c r="G25">
        <f>IFERROR(VLOOKUP(A25, sabado!A:I, 9, 0),
 IFERROR(VLOOKUP(A25, viernes!A:I, 9, 0),
 IFERROR(VLOOKUP(A25, jueves!A:I, 9, 0),
 IFERROR(VLOOKUP(A25, miercoles!A:I, 9, 0),
 IFERROR(VLOOKUP(A25, martes!A:I, 9, 0),
 IFERROR(VLOOKUP(A25, lunes!A:I, 9, 0),
 B25))))))</f>
        <v>4</v>
      </c>
      <c r="H25">
        <f>VLOOKUP(A25, Configuracion!A:C, 3, FALSE)</f>
        <v>40</v>
      </c>
      <c r="I25">
        <f t="shared" si="1"/>
        <v>40</v>
      </c>
      <c r="J25">
        <f>SUMIFS(lunes!$F:$F, lunes!$A:$A, $A25, lunes!$C:$C, "VENTA") +
 SUMIFS(martes!$F:$F, martes!$A:$A, $A25, martes!$C:$C, "VENTA") +
 SUMIFS(miercoles!$F:$F, miercoles!$A:$A, $A25, miercoles!$C:$C, "VENTA") +
 SUMIFS(jueves!$F:$F, jueves!$A:$A, $A25, jueves!$C:$C, "VENTA") +
 SUMIFS(viernes!$F:$F, viernes!$A:$A, $A25, viernes!$C:$C, "VENTA") +
 SUMIFS(sabado!$F:$F, sabado!$A:$A, $A25, sabado!$C:$C, "VENTA")</f>
        <v>40</v>
      </c>
      <c r="K25">
        <f t="shared" si="2"/>
        <v>0</v>
      </c>
    </row>
    <row r="26" spans="1:14" x14ac:dyDescent="0.3">
      <c r="A26" s="1" t="str">
        <f>Configuracion!A25</f>
        <v>CAJA DE DISTRIBUCION DE VIAS 12 VIAS</v>
      </c>
      <c r="B26">
        <f>VLOOKUP(A26, Configuracion!A:B, 2, FALSE)</f>
        <v>3</v>
      </c>
      <c r="C26">
        <f>SUMIFS(lunes!D:D, lunes!A:A, A26, lunes!C:C, "VENTA") +
 SUMIFS(martes!D:D, martes!A:A, A26, martes!C:C, "VENTA") +
 SUMIFS(miercoles!D:D, miercoles!A:A, A26, miercoles!C:C, "VENTA") +
 SUMIFS(jueves!D:D, jueves!A:A, A26, jueves!C:C, "VENTA") +
 SUMIFS(viernes!D:D, viernes!A:A, A26, viernes!C:C, "VENTA") +
 SUMIFS(sabado!D:D, sabado!A:A, A26, sabado!C:C, "VENTA")</f>
        <v>0</v>
      </c>
      <c r="D26">
        <f>SUMIFS(lunes!$D:$D, lunes!$A:$A, $A26, lunes!$C:$C, "ENTRADA") +
 SUMIFS(martes!$D:$D, martes!$A:$A, $A26, martes!$C:$C, "ENTRADA") +
 SUMIFS(miercoles!$D:$D, miercoles!$A:$A, $A26, miercoles!$C:$C, "ENTRADA") +
 SUMIFS(jueves!$D:$D, jueves!$A:$A, $A26, jueves!$C:$C, "ENTRADA") +
 SUMIFS(viernes!$D:$D, viernes!$A:$A, $A26, viernes!$C:$C, "ENTRADA") +
 SUMIFS(sabado!$D:$D, sabado!$A:$A, $A26, sabado!$C:$C, "ENTRADA")</f>
        <v>0</v>
      </c>
      <c r="E26">
        <f>SUMIFS(lunes!$D:$D, lunes!$A:$A, $A26, lunes!$C:$C, "SALIDA") +
 SUMIFS(martes!$D:$D, martes!$A:$A, $A26, martes!$C:$C, "SALIDA") +
 SUMIFS(miercoles!$D:$D, miercoles!$A:$A, $A26, miercoles!$C:$C, "SALIDA") +
 SUMIFS(jueves!$D:$D, jueves!$A:$A, $A26, jueves!$C:$C, "SALIDA") +
 SUMIFS(viernes!$D:$D, viernes!$A:$A, $A26, viernes!$C:$C, "SALIDA") +
 SUMIFS(sabado!$D:$D, sabado!$A:$A, $A26, sabado!$C:$C, "SALIDA")</f>
        <v>0</v>
      </c>
      <c r="F26">
        <f t="shared" si="0"/>
        <v>3</v>
      </c>
      <c r="G26">
        <f>IFERROR(VLOOKUP(A26, sabado!A:I, 9, 0),
 IFERROR(VLOOKUP(A26, viernes!A:I, 9, 0),
 IFERROR(VLOOKUP(A26, jueves!A:I, 9, 0),
 IFERROR(VLOOKUP(A26, miercoles!A:I, 9, 0),
 IFERROR(VLOOKUP(A26, martes!A:I, 9, 0),
 IFERROR(VLOOKUP(A26, lunes!A:I, 9, 0),
 B26))))))</f>
        <v>3</v>
      </c>
      <c r="H26">
        <f>VLOOKUP(A26, Configuracion!A:C, 3, FALSE)</f>
        <v>0</v>
      </c>
      <c r="I26">
        <f t="shared" si="1"/>
        <v>0</v>
      </c>
      <c r="J26">
        <f>SUMIFS(lunes!$F:$F, lunes!$A:$A, $A26, lunes!$C:$C, "VENTA") +
 SUMIFS(martes!$F:$F, martes!$A:$A, $A26, martes!$C:$C, "VENTA") +
 SUMIFS(miercoles!$F:$F, miercoles!$A:$A, $A26, miercoles!$C:$C, "VENTA") +
 SUMIFS(jueves!$F:$F, jueves!$A:$A, $A26, jueves!$C:$C, "VENTA") +
 SUMIFS(viernes!$F:$F, viernes!$A:$A, $A26, viernes!$C:$C, "VENTA") +
 SUMIFS(sabado!$F:$F, sabado!$A:$A, $A26, sabado!$C:$C, "VENTA")</f>
        <v>0</v>
      </c>
      <c r="K26">
        <f t="shared" si="2"/>
        <v>0</v>
      </c>
    </row>
    <row r="27" spans="1:14" x14ac:dyDescent="0.3">
      <c r="A27" s="1" t="str">
        <f>Configuracion!A26</f>
        <v>COLCHON PERSONAL</v>
      </c>
      <c r="B27">
        <f>VLOOKUP(A27, Configuracion!A:B, 2, FALSE)</f>
        <v>3</v>
      </c>
      <c r="C27">
        <f>SUMIFS(lunes!D:D, lunes!A:A, A27, lunes!C:C, "VENTA") +
 SUMIFS(martes!D:D, martes!A:A, A27, martes!C:C, "VENTA") +
 SUMIFS(miercoles!D:D, miercoles!A:A, A27, miercoles!C:C, "VENTA") +
 SUMIFS(jueves!D:D, jueves!A:A, A27, jueves!C:C, "VENTA") +
 SUMIFS(viernes!D:D, viernes!A:A, A27, viernes!C:C, "VENTA") +
 SUMIFS(sabado!D:D, sabado!A:A, A27, sabado!C:C, "VENTA")</f>
        <v>0</v>
      </c>
      <c r="D27">
        <f>SUMIFS(lunes!$D:$D, lunes!$A:$A, $A27, lunes!$C:$C, "ENTRADA") +
 SUMIFS(martes!$D:$D, martes!$A:$A, $A27, martes!$C:$C, "ENTRADA") +
 SUMIFS(miercoles!$D:$D, miercoles!$A:$A, $A27, miercoles!$C:$C, "ENTRADA") +
 SUMIFS(jueves!$D:$D, jueves!$A:$A, $A27, jueves!$C:$C, "ENTRADA") +
 SUMIFS(viernes!$D:$D, viernes!$A:$A, $A27, viernes!$C:$C, "ENTRADA") +
 SUMIFS(sabado!$D:$D, sabado!$A:$A, $A27, sabado!$C:$C, "ENTRADA")</f>
        <v>0</v>
      </c>
      <c r="E27">
        <f>SUMIFS(lunes!$D:$D, lunes!$A:$A, $A27, lunes!$C:$C, "SALIDA") +
 SUMIFS(martes!$D:$D, martes!$A:$A, $A27, martes!$C:$C, "SALIDA") +
 SUMIFS(miercoles!$D:$D, miercoles!$A:$A, $A27, miercoles!$C:$C, "SALIDA") +
 SUMIFS(jueves!$D:$D, jueves!$A:$A, $A27, jueves!$C:$C, "SALIDA") +
 SUMIFS(viernes!$D:$D, viernes!$A:$A, $A27, viernes!$C:$C, "SALIDA") +
 SUMIFS(sabado!$D:$D, sabado!$A:$A, $A27, sabado!$C:$C, "SALIDA")</f>
        <v>0</v>
      </c>
      <c r="F27">
        <f t="shared" si="0"/>
        <v>3</v>
      </c>
      <c r="G27">
        <f>IFERROR(VLOOKUP(A27, sabado!A:I, 9, 0),
 IFERROR(VLOOKUP(A27, viernes!A:I, 9, 0),
 IFERROR(VLOOKUP(A27, jueves!A:I, 9, 0),
 IFERROR(VLOOKUP(A27, miercoles!A:I, 9, 0),
 IFERROR(VLOOKUP(A27, martes!A:I, 9, 0),
 IFERROR(VLOOKUP(A27, lunes!A:I, 9, 0),
 B27))))))</f>
        <v>3</v>
      </c>
      <c r="H27">
        <f>VLOOKUP(A27, Configuracion!A:C, 3, FALSE)</f>
        <v>160</v>
      </c>
      <c r="I27">
        <f t="shared" si="1"/>
        <v>0</v>
      </c>
      <c r="J27">
        <f>SUMIFS(lunes!$F:$F, lunes!$A:$A, $A27, lunes!$C:$C, "VENTA") +
 SUMIFS(martes!$F:$F, martes!$A:$A, $A27, martes!$C:$C, "VENTA") +
 SUMIFS(miercoles!$F:$F, miercoles!$A:$A, $A27, miercoles!$C:$C, "VENTA") +
 SUMIFS(jueves!$F:$F, jueves!$A:$A, $A27, jueves!$C:$C, "VENTA") +
 SUMIFS(viernes!$F:$F, viernes!$A:$A, $A27, viernes!$C:$C, "VENTA") +
 SUMIFS(sabado!$F:$F, sabado!$A:$A, $A27, sabado!$C:$C, "VENTA")</f>
        <v>0</v>
      </c>
      <c r="K27">
        <f t="shared" si="2"/>
        <v>0</v>
      </c>
    </row>
    <row r="28" spans="1:14" x14ac:dyDescent="0.3">
      <c r="A28" s="1" t="str">
        <f>Configuracion!A27</f>
        <v>COLCHON EKO</v>
      </c>
      <c r="B28">
        <f>VLOOKUP(A28, Configuracion!A:B, 2, FALSE)</f>
        <v>4</v>
      </c>
      <c r="C28">
        <f>SUMIFS(lunes!D:D, lunes!A:A, A28, lunes!C:C, "VENTA") +
 SUMIFS(martes!D:D, martes!A:A, A28, martes!C:C, "VENTA") +
 SUMIFS(miercoles!D:D, miercoles!A:A, A28, miercoles!C:C, "VENTA") +
 SUMIFS(jueves!D:D, jueves!A:A, A28, jueves!C:C, "VENTA") +
 SUMIFS(viernes!D:D, viernes!A:A, A28, viernes!C:C, "VENTA") +
 SUMIFS(sabado!D:D, sabado!A:A, A28, sabado!C:C, "VENTA")</f>
        <v>0</v>
      </c>
      <c r="D28">
        <f>SUMIFS(lunes!$D:$D, lunes!$A:$A, $A28, lunes!$C:$C, "ENTRADA") +
 SUMIFS(martes!$D:$D, martes!$A:$A, $A28, martes!$C:$C, "ENTRADA") +
 SUMIFS(miercoles!$D:$D, miercoles!$A:$A, $A28, miercoles!$C:$C, "ENTRADA") +
 SUMIFS(jueves!$D:$D, jueves!$A:$A, $A28, jueves!$C:$C, "ENTRADA") +
 SUMIFS(viernes!$D:$D, viernes!$A:$A, $A28, viernes!$C:$C, "ENTRADA") +
 SUMIFS(sabado!$D:$D, sabado!$A:$A, $A28, sabado!$C:$C, "ENTRADA")</f>
        <v>0</v>
      </c>
      <c r="E28">
        <f>SUMIFS(lunes!$D:$D, lunes!$A:$A, $A28, lunes!$C:$C, "SALIDA") +
 SUMIFS(martes!$D:$D, martes!$A:$A, $A28, martes!$C:$C, "SALIDA") +
 SUMIFS(miercoles!$D:$D, miercoles!$A:$A, $A28, miercoles!$C:$C, "SALIDA") +
 SUMIFS(jueves!$D:$D, jueves!$A:$A, $A28, jueves!$C:$C, "SALIDA") +
 SUMIFS(viernes!$D:$D, viernes!$A:$A, $A28, viernes!$C:$C, "SALIDA") +
 SUMIFS(sabado!$D:$D, sabado!$A:$A, $A28, sabado!$C:$C, "SALIDA")</f>
        <v>0</v>
      </c>
      <c r="F28">
        <f t="shared" si="0"/>
        <v>4</v>
      </c>
      <c r="G28">
        <f>IFERROR(VLOOKUP(A28, sabado!A:I, 9, 0),
 IFERROR(VLOOKUP(A28, viernes!A:I, 9, 0),
 IFERROR(VLOOKUP(A28, jueves!A:I, 9, 0),
 IFERROR(VLOOKUP(A28, miercoles!A:I, 9, 0),
 IFERROR(VLOOKUP(A28, martes!A:I, 9, 0),
 IFERROR(VLOOKUP(A28, lunes!A:I, 9, 0),
 B28))))))</f>
        <v>4</v>
      </c>
      <c r="H28">
        <f>VLOOKUP(A28, Configuracion!A:C, 3, FALSE)</f>
        <v>180</v>
      </c>
      <c r="I28">
        <f t="shared" si="1"/>
        <v>0</v>
      </c>
      <c r="J28">
        <f>SUMIFS(lunes!$F:$F, lunes!$A:$A, $A28, lunes!$C:$C, "VENTA") +
 SUMIFS(martes!$F:$F, martes!$A:$A, $A28, martes!$C:$C, "VENTA") +
 SUMIFS(miercoles!$F:$F, miercoles!$A:$A, $A28, miercoles!$C:$C, "VENTA") +
 SUMIFS(jueves!$F:$F, jueves!$A:$A, $A28, jueves!$C:$C, "VENTA") +
 SUMIFS(viernes!$F:$F, viernes!$A:$A, $A28, viernes!$C:$C, "VENTA") +
 SUMIFS(sabado!$F:$F, sabado!$A:$A, $A28, sabado!$C:$C, "VENTA")</f>
        <v>0</v>
      </c>
      <c r="K28">
        <f t="shared" si="2"/>
        <v>0</v>
      </c>
    </row>
    <row r="29" spans="1:14" x14ac:dyDescent="0.3">
      <c r="A29" s="1" t="str">
        <f>Configuracion!A28</f>
        <v>CAJAS DE AZULEJOS 44X44 2.5 M</v>
      </c>
      <c r="B29">
        <f>VLOOKUP(A29, Configuracion!A:B, 2, FALSE)</f>
        <v>2</v>
      </c>
      <c r="C29">
        <f>SUMIFS(lunes!D:D, lunes!A:A, A29, lunes!C:C, "VENTA") +
 SUMIFS(martes!D:D, martes!A:A, A29, martes!C:C, "VENTA") +
 SUMIFS(miercoles!D:D, miercoles!A:A, A29, miercoles!C:C, "VENTA") +
 SUMIFS(jueves!D:D, jueves!A:A, A29, jueves!C:C, "VENTA") +
 SUMIFS(viernes!D:D, viernes!A:A, A29, viernes!C:C, "VENTA") +
 SUMIFS(sabado!D:D, sabado!A:A, A29, sabado!C:C, "VENTA")</f>
        <v>0</v>
      </c>
      <c r="D29">
        <f>SUMIFS(lunes!$D:$D, lunes!$A:$A, $A29, lunes!$C:$C, "ENTRADA") +
 SUMIFS(martes!$D:$D, martes!$A:$A, $A29, martes!$C:$C, "ENTRADA") +
 SUMIFS(miercoles!$D:$D, miercoles!$A:$A, $A29, miercoles!$C:$C, "ENTRADA") +
 SUMIFS(jueves!$D:$D, jueves!$A:$A, $A29, jueves!$C:$C, "ENTRADA") +
 SUMIFS(viernes!$D:$D, viernes!$A:$A, $A29, viernes!$C:$C, "ENTRADA") +
 SUMIFS(sabado!$D:$D, sabado!$A:$A, $A29, sabado!$C:$C, "ENTRADA")</f>
        <v>0</v>
      </c>
      <c r="E29">
        <f>SUMIFS(lunes!$D:$D, lunes!$A:$A, $A29, lunes!$C:$C, "SALIDA") +
 SUMIFS(martes!$D:$D, martes!$A:$A, $A29, martes!$C:$C, "SALIDA") +
 SUMIFS(miercoles!$D:$D, miercoles!$A:$A, $A29, miercoles!$C:$C, "SALIDA") +
 SUMIFS(jueves!$D:$D, jueves!$A:$A, $A29, jueves!$C:$C, "SALIDA") +
 SUMIFS(viernes!$D:$D, viernes!$A:$A, $A29, viernes!$C:$C, "SALIDA") +
 SUMIFS(sabado!$D:$D, sabado!$A:$A, $A29, sabado!$C:$C, "SALIDA")</f>
        <v>0</v>
      </c>
      <c r="F29">
        <f t="shared" si="0"/>
        <v>2</v>
      </c>
      <c r="G29">
        <f>IFERROR(VLOOKUP(A29, sabado!A:I, 9, 0),
 IFERROR(VLOOKUP(A29, viernes!A:I, 9, 0),
 IFERROR(VLOOKUP(A29, jueves!A:I, 9, 0),
 IFERROR(VLOOKUP(A29, miercoles!A:I, 9, 0),
 IFERROR(VLOOKUP(A29, martes!A:I, 9, 0),
 IFERROR(VLOOKUP(A29, lunes!A:I, 9, 0),
 B29))))))</f>
        <v>2</v>
      </c>
      <c r="H29">
        <f>VLOOKUP(A29, Configuracion!A:C, 3, FALSE)</f>
        <v>36.409999999999997</v>
      </c>
      <c r="I29">
        <f t="shared" si="1"/>
        <v>0</v>
      </c>
      <c r="J29">
        <f>SUMIFS(lunes!$F:$F, lunes!$A:$A, $A29, lunes!$C:$C, "VENTA") +
 SUMIFS(martes!$F:$F, martes!$A:$A, $A29, martes!$C:$C, "VENTA") +
 SUMIFS(miercoles!$F:$F, miercoles!$A:$A, $A29, miercoles!$C:$C, "VENTA") +
 SUMIFS(jueves!$F:$F, jueves!$A:$A, $A29, jueves!$C:$C, "VENTA") +
 SUMIFS(viernes!$F:$F, viernes!$A:$A, $A29, viernes!$C:$C, "VENTA") +
 SUMIFS(sabado!$F:$F, sabado!$A:$A, $A29, sabado!$C:$C, "VENTA")</f>
        <v>0</v>
      </c>
      <c r="K29">
        <f t="shared" si="2"/>
        <v>0</v>
      </c>
    </row>
    <row r="30" spans="1:14" x14ac:dyDescent="0.3">
      <c r="A30" s="1" t="str">
        <f>Configuracion!A29</f>
        <v>CAFETERA  3 TASAS</v>
      </c>
      <c r="B30">
        <f>VLOOKUP(A30, Configuracion!A:B, 2, FALSE)</f>
        <v>2</v>
      </c>
      <c r="C30">
        <f>SUMIFS(lunes!D:D, lunes!A:A, A30, lunes!C:C, "VENTA") +
 SUMIFS(martes!D:D, martes!A:A, A30, martes!C:C, "VENTA") +
 SUMIFS(miercoles!D:D, miercoles!A:A, A30, miercoles!C:C, "VENTA") +
 SUMIFS(jueves!D:D, jueves!A:A, A30, jueves!C:C, "VENTA") +
 SUMIFS(viernes!D:D, viernes!A:A, A30, viernes!C:C, "VENTA") +
 SUMIFS(sabado!D:D, sabado!A:A, A30, sabado!C:C, "VENTA")</f>
        <v>0</v>
      </c>
      <c r="D30">
        <f>SUMIFS(lunes!$D:$D, lunes!$A:$A, $A30, lunes!$C:$C, "ENTRADA") +
 SUMIFS(martes!$D:$D, martes!$A:$A, $A30, martes!$C:$C, "ENTRADA") +
 SUMIFS(miercoles!$D:$D, miercoles!$A:$A, $A30, miercoles!$C:$C, "ENTRADA") +
 SUMIFS(jueves!$D:$D, jueves!$A:$A, $A30, jueves!$C:$C, "ENTRADA") +
 SUMIFS(viernes!$D:$D, viernes!$A:$A, $A30, viernes!$C:$C, "ENTRADA") +
 SUMIFS(sabado!$D:$D, sabado!$A:$A, $A30, sabado!$C:$C, "ENTRADA")</f>
        <v>0</v>
      </c>
      <c r="E30">
        <f>SUMIFS(lunes!$D:$D, lunes!$A:$A, $A30, lunes!$C:$C, "SALIDA") +
 SUMIFS(martes!$D:$D, martes!$A:$A, $A30, martes!$C:$C, "SALIDA") +
 SUMIFS(miercoles!$D:$D, miercoles!$A:$A, $A30, miercoles!$C:$C, "SALIDA") +
 SUMIFS(jueves!$D:$D, jueves!$A:$A, $A30, jueves!$C:$C, "SALIDA") +
 SUMIFS(viernes!$D:$D, viernes!$A:$A, $A30, viernes!$C:$C, "SALIDA") +
 SUMIFS(sabado!$D:$D, sabado!$A:$A, $A30, sabado!$C:$C, "SALIDA")</f>
        <v>0</v>
      </c>
      <c r="F30">
        <f t="shared" si="0"/>
        <v>2</v>
      </c>
      <c r="G30">
        <f>IFERROR(VLOOKUP(A30, sabado!A:I, 9, 0),
 IFERROR(VLOOKUP(A30, viernes!A:I, 9, 0),
 IFERROR(VLOOKUP(A30, jueves!A:I, 9, 0),
 IFERROR(VLOOKUP(A30, miercoles!A:I, 9, 0),
 IFERROR(VLOOKUP(A30, martes!A:I, 9, 0),
 IFERROR(VLOOKUP(A30, lunes!A:I, 9, 0),
 B30))))))</f>
        <v>2</v>
      </c>
      <c r="H30">
        <f>VLOOKUP(A30, Configuracion!A:C, 3, FALSE)</f>
        <v>12</v>
      </c>
      <c r="I30">
        <f t="shared" si="1"/>
        <v>0</v>
      </c>
      <c r="J30">
        <f>SUMIFS(lunes!$F:$F, lunes!$A:$A, $A30, lunes!$C:$C, "VENTA") +
 SUMIFS(martes!$F:$F, martes!$A:$A, $A30, martes!$C:$C, "VENTA") +
 SUMIFS(miercoles!$F:$F, miercoles!$A:$A, $A30, miercoles!$C:$C, "VENTA") +
 SUMIFS(jueves!$F:$F, jueves!$A:$A, $A30, jueves!$C:$C, "VENTA") +
 SUMIFS(viernes!$F:$F, viernes!$A:$A, $A30, viernes!$C:$C, "VENTA") +
 SUMIFS(sabado!$F:$F, sabado!$A:$A, $A30, sabado!$C:$C, "VENTA")</f>
        <v>0</v>
      </c>
      <c r="K30">
        <f t="shared" si="2"/>
        <v>0</v>
      </c>
    </row>
    <row r="31" spans="1:14" x14ac:dyDescent="0.3">
      <c r="A31" s="1" t="str">
        <f>Configuracion!A30</f>
        <v>CAFETERA DE INDUCCION 6 TASAS</v>
      </c>
      <c r="B31">
        <f>VLOOKUP(A31, Configuracion!A:B, 2, FALSE)</f>
        <v>0</v>
      </c>
      <c r="C31">
        <f>SUMIFS(lunes!D:D, lunes!A:A, A31, lunes!C:C, "VENTA") +
 SUMIFS(martes!D:D, martes!A:A, A31, martes!C:C, "VENTA") +
 SUMIFS(miercoles!D:D, miercoles!A:A, A31, miercoles!C:C, "VENTA") +
 SUMIFS(jueves!D:D, jueves!A:A, A31, jueves!C:C, "VENTA") +
 SUMIFS(viernes!D:D, viernes!A:A, A31, viernes!C:C, "VENTA") +
 SUMIFS(sabado!D:D, sabado!A:A, A31, sabado!C:C, "VENTA")</f>
        <v>0</v>
      </c>
      <c r="D31">
        <f>SUMIFS(lunes!$D:$D, lunes!$A:$A, $A31, lunes!$C:$C, "ENTRADA") +
 SUMIFS(martes!$D:$D, martes!$A:$A, $A31, martes!$C:$C, "ENTRADA") +
 SUMIFS(miercoles!$D:$D, miercoles!$A:$A, $A31, miercoles!$C:$C, "ENTRADA") +
 SUMIFS(jueves!$D:$D, jueves!$A:$A, $A31, jueves!$C:$C, "ENTRADA") +
 SUMIFS(viernes!$D:$D, viernes!$A:$A, $A31, viernes!$C:$C, "ENTRADA") +
 SUMIFS(sabado!$D:$D, sabado!$A:$A, $A31, sabado!$C:$C, "ENTRADA")</f>
        <v>0</v>
      </c>
      <c r="E31">
        <f>SUMIFS(lunes!$D:$D, lunes!$A:$A, $A31, lunes!$C:$C, "SALIDA") +
 SUMIFS(martes!$D:$D, martes!$A:$A, $A31, martes!$C:$C, "SALIDA") +
 SUMIFS(miercoles!$D:$D, miercoles!$A:$A, $A31, miercoles!$C:$C, "SALIDA") +
 SUMIFS(jueves!$D:$D, jueves!$A:$A, $A31, jueves!$C:$C, "SALIDA") +
 SUMIFS(viernes!$D:$D, viernes!$A:$A, $A31, viernes!$C:$C, "SALIDA") +
 SUMIFS(sabado!$D:$D, sabado!$A:$A, $A31, sabado!$C:$C, "SALIDA")</f>
        <v>0</v>
      </c>
      <c r="F31">
        <f t="shared" si="0"/>
        <v>0</v>
      </c>
      <c r="G31">
        <f>IFERROR(VLOOKUP(A31, sabado!A:I, 9, 0),
 IFERROR(VLOOKUP(A31, viernes!A:I, 9, 0),
 IFERROR(VLOOKUP(A31, jueves!A:I, 9, 0),
 IFERROR(VLOOKUP(A31, miercoles!A:I, 9, 0),
 IFERROR(VLOOKUP(A31, martes!A:I, 9, 0),
 IFERROR(VLOOKUP(A31, lunes!A:I, 9, 0),
 B31))))))</f>
        <v>0</v>
      </c>
      <c r="H31">
        <f>VLOOKUP(A31, Configuracion!A:C, 3, FALSE)</f>
        <v>15</v>
      </c>
      <c r="I31">
        <f t="shared" si="1"/>
        <v>0</v>
      </c>
      <c r="J31">
        <f>SUMIFS(lunes!$F:$F, lunes!$A:$A, $A31, lunes!$C:$C, "VENTA") +
 SUMIFS(martes!$F:$F, martes!$A:$A, $A31, martes!$C:$C, "VENTA") +
 SUMIFS(miercoles!$F:$F, miercoles!$A:$A, $A31, miercoles!$C:$C, "VENTA") +
 SUMIFS(jueves!$F:$F, jueves!$A:$A, $A31, jueves!$C:$C, "VENTA") +
 SUMIFS(viernes!$F:$F, viernes!$A:$A, $A31, viernes!$C:$C, "VENTA") +
 SUMIFS(sabado!$F:$F, sabado!$A:$A, $A31, sabado!$C:$C, "VENTA")</f>
        <v>0</v>
      </c>
      <c r="K31">
        <f t="shared" si="2"/>
        <v>0</v>
      </c>
    </row>
    <row r="32" spans="1:14" x14ac:dyDescent="0.3">
      <c r="A32" s="1" t="str">
        <f>Configuracion!A31</f>
        <v>CAFETERA ELECTRICA RUDENKOV</v>
      </c>
      <c r="B32">
        <f>VLOOKUP(A32, Configuracion!A:B, 2, FALSE)</f>
        <v>0</v>
      </c>
      <c r="C32">
        <f>SUMIFS(lunes!D:D, lunes!A:A, A32, lunes!C:C, "VENTA") +
 SUMIFS(martes!D:D, martes!A:A, A32, martes!C:C, "VENTA") +
 SUMIFS(miercoles!D:D, miercoles!A:A, A32, miercoles!C:C, "VENTA") +
 SUMIFS(jueves!D:D, jueves!A:A, A32, jueves!C:C, "VENTA") +
 SUMIFS(viernes!D:D, viernes!A:A, A32, viernes!C:C, "VENTA") +
 SUMIFS(sabado!D:D, sabado!A:A, A32, sabado!C:C, "VENTA")</f>
        <v>0</v>
      </c>
      <c r="D32">
        <f>SUMIFS(lunes!$D:$D, lunes!$A:$A, $A32, lunes!$C:$C, "ENTRADA") +
 SUMIFS(martes!$D:$D, martes!$A:$A, $A32, martes!$C:$C, "ENTRADA") +
 SUMIFS(miercoles!$D:$D, miercoles!$A:$A, $A32, miercoles!$C:$C, "ENTRADA") +
 SUMIFS(jueves!$D:$D, jueves!$A:$A, $A32, jueves!$C:$C, "ENTRADA") +
 SUMIFS(viernes!$D:$D, viernes!$A:$A, $A32, viernes!$C:$C, "ENTRADA") +
 SUMIFS(sabado!$D:$D, sabado!$A:$A, $A32, sabado!$C:$C, "ENTRADA")</f>
        <v>0</v>
      </c>
      <c r="E32">
        <f>SUMIFS(lunes!$D:$D, lunes!$A:$A, $A32, lunes!$C:$C, "SALIDA") +
 SUMIFS(martes!$D:$D, martes!$A:$A, $A32, martes!$C:$C, "SALIDA") +
 SUMIFS(miercoles!$D:$D, miercoles!$A:$A, $A32, miercoles!$C:$C, "SALIDA") +
 SUMIFS(jueves!$D:$D, jueves!$A:$A, $A32, jueves!$C:$C, "SALIDA") +
 SUMIFS(viernes!$D:$D, viernes!$A:$A, $A32, viernes!$C:$C, "SALIDA") +
 SUMIFS(sabado!$D:$D, sabado!$A:$A, $A32, sabado!$C:$C, "SALIDA")</f>
        <v>0</v>
      </c>
      <c r="F32">
        <f t="shared" si="0"/>
        <v>0</v>
      </c>
      <c r="G32">
        <f>IFERROR(VLOOKUP(A32, sabado!A:I, 9, 0),
 IFERROR(VLOOKUP(A32, viernes!A:I, 9, 0),
 IFERROR(VLOOKUP(A32, jueves!A:I, 9, 0),
 IFERROR(VLOOKUP(A32, miercoles!A:I, 9, 0),
 IFERROR(VLOOKUP(A32, martes!A:I, 9, 0),
 IFERROR(VLOOKUP(A32, lunes!A:I, 9, 0),
 B32))))))</f>
        <v>0</v>
      </c>
      <c r="H32">
        <f>VLOOKUP(A32, Configuracion!A:C, 3, FALSE)</f>
        <v>40</v>
      </c>
      <c r="I32">
        <f t="shared" si="1"/>
        <v>0</v>
      </c>
      <c r="J32">
        <f>SUMIFS(lunes!$F:$F, lunes!$A:$A, $A32, lunes!$C:$C, "VENTA") +
 SUMIFS(martes!$F:$F, martes!$A:$A, $A32, martes!$C:$C, "VENTA") +
 SUMIFS(miercoles!$F:$F, miercoles!$A:$A, $A32, miercoles!$C:$C, "VENTA") +
 SUMIFS(jueves!$F:$F, jueves!$A:$A, $A32, jueves!$C:$C, "VENTA") +
 SUMIFS(viernes!$F:$F, viernes!$A:$A, $A32, viernes!$C:$C, "VENTA") +
 SUMIFS(sabado!$F:$F, sabado!$A:$A, $A32, sabado!$C:$C, "VENTA")</f>
        <v>0</v>
      </c>
      <c r="K32">
        <f t="shared" si="2"/>
        <v>0</v>
      </c>
    </row>
    <row r="33" spans="1:11" x14ac:dyDescent="0.3">
      <c r="A33" s="1" t="str">
        <f>Configuracion!A32</f>
        <v>CALENTADOR 80 L</v>
      </c>
      <c r="B33">
        <f>VLOOKUP(A33, Configuracion!A:B, 2, FALSE)</f>
        <v>0</v>
      </c>
      <c r="C33">
        <f>SUMIFS(lunes!D:D, lunes!A:A, A33, lunes!C:C, "VENTA") +
 SUMIFS(martes!D:D, martes!A:A, A33, martes!C:C, "VENTA") +
 SUMIFS(miercoles!D:D, miercoles!A:A, A33, miercoles!C:C, "VENTA") +
 SUMIFS(jueves!D:D, jueves!A:A, A33, jueves!C:C, "VENTA") +
 SUMIFS(viernes!D:D, viernes!A:A, A33, viernes!C:C, "VENTA") +
 SUMIFS(sabado!D:D, sabado!A:A, A33, sabado!C:C, "VENTA")</f>
        <v>0</v>
      </c>
      <c r="D33">
        <f>SUMIFS(lunes!$D:$D, lunes!$A:$A, $A33, lunes!$C:$C, "ENTRADA") +
 SUMIFS(martes!$D:$D, martes!$A:$A, $A33, martes!$C:$C, "ENTRADA") +
 SUMIFS(miercoles!$D:$D, miercoles!$A:$A, $A33, miercoles!$C:$C, "ENTRADA") +
 SUMIFS(jueves!$D:$D, jueves!$A:$A, $A33, jueves!$C:$C, "ENTRADA") +
 SUMIFS(viernes!$D:$D, viernes!$A:$A, $A33, viernes!$C:$C, "ENTRADA") +
 SUMIFS(sabado!$D:$D, sabado!$A:$A, $A33, sabado!$C:$C, "ENTRADA")</f>
        <v>0</v>
      </c>
      <c r="E33">
        <f>SUMIFS(lunes!$D:$D, lunes!$A:$A, $A33, lunes!$C:$C, "SALIDA") +
 SUMIFS(martes!$D:$D, martes!$A:$A, $A33, martes!$C:$C, "SALIDA") +
 SUMIFS(miercoles!$D:$D, miercoles!$A:$A, $A33, miercoles!$C:$C, "SALIDA") +
 SUMIFS(jueves!$D:$D, jueves!$A:$A, $A33, jueves!$C:$C, "SALIDA") +
 SUMIFS(viernes!$D:$D, viernes!$A:$A, $A33, viernes!$C:$C, "SALIDA") +
 SUMIFS(sabado!$D:$D, sabado!$A:$A, $A33, sabado!$C:$C, "SALIDA")</f>
        <v>0</v>
      </c>
      <c r="F33">
        <f t="shared" si="0"/>
        <v>0</v>
      </c>
      <c r="G33">
        <f>IFERROR(VLOOKUP(A33, sabado!A:I, 9, 0),
 IFERROR(VLOOKUP(A33, viernes!A:I, 9, 0),
 IFERROR(VLOOKUP(A33, jueves!A:I, 9, 0),
 IFERROR(VLOOKUP(A33, miercoles!A:I, 9, 0),
 IFERROR(VLOOKUP(A33, martes!A:I, 9, 0),
 IFERROR(VLOOKUP(A33, lunes!A:I, 9, 0),
 B33))))))</f>
        <v>0</v>
      </c>
      <c r="H33">
        <f>VLOOKUP(A33, Configuracion!A:C, 3, FALSE)</f>
        <v>210</v>
      </c>
      <c r="I33">
        <f t="shared" si="1"/>
        <v>0</v>
      </c>
      <c r="J33">
        <f>SUMIFS(lunes!$F:$F, lunes!$A:$A, $A33, lunes!$C:$C, "VENTA") +
 SUMIFS(martes!$F:$F, martes!$A:$A, $A33, martes!$C:$C, "VENTA") +
 SUMIFS(miercoles!$F:$F, miercoles!$A:$A, $A33, miercoles!$C:$C, "VENTA") +
 SUMIFS(jueves!$F:$F, jueves!$A:$A, $A33, jueves!$C:$C, "VENTA") +
 SUMIFS(viernes!$F:$F, viernes!$A:$A, $A33, viernes!$C:$C, "VENTA") +
 SUMIFS(sabado!$F:$F, sabado!$A:$A, $A33, sabado!$C:$C, "VENTA")</f>
        <v>0</v>
      </c>
      <c r="K33">
        <f t="shared" si="2"/>
        <v>0</v>
      </c>
    </row>
    <row r="34" spans="1:11" x14ac:dyDescent="0.3">
      <c r="A34" s="1" t="str">
        <f>Configuracion!A33</f>
        <v>CALENTADOR 50 L</v>
      </c>
      <c r="B34">
        <f>VLOOKUP(A34, Configuracion!A:B, 2, FALSE)</f>
        <v>6</v>
      </c>
      <c r="C34">
        <f>SUMIFS(lunes!D:D, lunes!A:A, A34, lunes!C:C, "VENTA") +
 SUMIFS(martes!D:D, martes!A:A, A34, martes!C:C, "VENTA") +
 SUMIFS(miercoles!D:D, miercoles!A:A, A34, miercoles!C:C, "VENTA") +
 SUMIFS(jueves!D:D, jueves!A:A, A34, jueves!C:C, "VENTA") +
 SUMIFS(viernes!D:D, viernes!A:A, A34, viernes!C:C, "VENTA") +
 SUMIFS(sabado!D:D, sabado!A:A, A34, sabado!C:C, "VENTA")</f>
        <v>0</v>
      </c>
      <c r="D34">
        <f>SUMIFS(lunes!$D:$D, lunes!$A:$A, $A34, lunes!$C:$C, "ENTRADA") +
 SUMIFS(martes!$D:$D, martes!$A:$A, $A34, martes!$C:$C, "ENTRADA") +
 SUMIFS(miercoles!$D:$D, miercoles!$A:$A, $A34, miercoles!$C:$C, "ENTRADA") +
 SUMIFS(jueves!$D:$D, jueves!$A:$A, $A34, jueves!$C:$C, "ENTRADA") +
 SUMIFS(viernes!$D:$D, viernes!$A:$A, $A34, viernes!$C:$C, "ENTRADA") +
 SUMIFS(sabado!$D:$D, sabado!$A:$A, $A34, sabado!$C:$C, "ENTRADA")</f>
        <v>0</v>
      </c>
      <c r="E34">
        <f>SUMIFS(lunes!$D:$D, lunes!$A:$A, $A34, lunes!$C:$C, "SALIDA") +
 SUMIFS(martes!$D:$D, martes!$A:$A, $A34, martes!$C:$C, "SALIDA") +
 SUMIFS(miercoles!$D:$D, miercoles!$A:$A, $A34, miercoles!$C:$C, "SALIDA") +
 SUMIFS(jueves!$D:$D, jueves!$A:$A, $A34, jueves!$C:$C, "SALIDA") +
 SUMIFS(viernes!$D:$D, viernes!$A:$A, $A34, viernes!$C:$C, "SALIDA") +
 SUMIFS(sabado!$D:$D, sabado!$A:$A, $A34, sabado!$C:$C, "SALIDA")</f>
        <v>0</v>
      </c>
      <c r="F34">
        <f t="shared" ref="F34:F65" si="3">B34-C34+D34-E34</f>
        <v>6</v>
      </c>
      <c r="G34">
        <f>IFERROR(VLOOKUP(A34, sabado!A:I, 9, 0),
 IFERROR(VLOOKUP(A34, viernes!A:I, 9, 0),
 IFERROR(VLOOKUP(A34, jueves!A:I, 9, 0),
 IFERROR(VLOOKUP(A34, miercoles!A:I, 9, 0),
 IFERROR(VLOOKUP(A34, martes!A:I, 9, 0),
 IFERROR(VLOOKUP(A34, lunes!A:I, 9, 0),
 B34))))))</f>
        <v>6</v>
      </c>
      <c r="H34">
        <f>VLOOKUP(A34, Configuracion!A:C, 3, FALSE)</f>
        <v>180</v>
      </c>
      <c r="I34">
        <f t="shared" ref="I34:I65" si="4">C34*H34</f>
        <v>0</v>
      </c>
      <c r="J34">
        <f>SUMIFS(lunes!$F:$F, lunes!$A:$A, $A34, lunes!$C:$C, "VENTA") +
 SUMIFS(martes!$F:$F, martes!$A:$A, $A34, martes!$C:$C, "VENTA") +
 SUMIFS(miercoles!$F:$F, miercoles!$A:$A, $A34, miercoles!$C:$C, "VENTA") +
 SUMIFS(jueves!$F:$F, jueves!$A:$A, $A34, jueves!$C:$C, "VENTA") +
 SUMIFS(viernes!$F:$F, viernes!$A:$A, $A34, viernes!$C:$C, "VENTA") +
 SUMIFS(sabado!$F:$F, sabado!$A:$A, $A34, sabado!$C:$C, "VENTA")</f>
        <v>0</v>
      </c>
      <c r="K34">
        <f t="shared" ref="K34:K65" si="5">I34-J34</f>
        <v>0</v>
      </c>
    </row>
    <row r="35" spans="1:11" x14ac:dyDescent="0.3">
      <c r="A35" s="1" t="str">
        <f>Configuracion!A34</f>
        <v xml:space="preserve">DISPENSSDOR DE AGUA ROYAL </v>
      </c>
      <c r="B35">
        <f>VLOOKUP(A35, Configuracion!A:B, 2, FALSE)</f>
        <v>0</v>
      </c>
      <c r="C35">
        <f>SUMIFS(lunes!D:D, lunes!A:A, A35, lunes!C:C, "VENTA") +
 SUMIFS(martes!D:D, martes!A:A, A35, martes!C:C, "VENTA") +
 SUMIFS(miercoles!D:D, miercoles!A:A, A35, miercoles!C:C, "VENTA") +
 SUMIFS(jueves!D:D, jueves!A:A, A35, jueves!C:C, "VENTA") +
 SUMIFS(viernes!D:D, viernes!A:A, A35, viernes!C:C, "VENTA") +
 SUMIFS(sabado!D:D, sabado!A:A, A35, sabado!C:C, "VENTA")</f>
        <v>0</v>
      </c>
      <c r="D35">
        <f>SUMIFS(lunes!$D:$D, lunes!$A:$A, $A35, lunes!$C:$C, "ENTRADA") +
 SUMIFS(martes!$D:$D, martes!$A:$A, $A35, martes!$C:$C, "ENTRADA") +
 SUMIFS(miercoles!$D:$D, miercoles!$A:$A, $A35, miercoles!$C:$C, "ENTRADA") +
 SUMIFS(jueves!$D:$D, jueves!$A:$A, $A35, jueves!$C:$C, "ENTRADA") +
 SUMIFS(viernes!$D:$D, viernes!$A:$A, $A35, viernes!$C:$C, "ENTRADA") +
 SUMIFS(sabado!$D:$D, sabado!$A:$A, $A35, sabado!$C:$C, "ENTRADA")</f>
        <v>0</v>
      </c>
      <c r="E35">
        <f>SUMIFS(lunes!$D:$D, lunes!$A:$A, $A35, lunes!$C:$C, "SALIDA") +
 SUMIFS(martes!$D:$D, martes!$A:$A, $A35, martes!$C:$C, "SALIDA") +
 SUMIFS(miercoles!$D:$D, miercoles!$A:$A, $A35, miercoles!$C:$C, "SALIDA") +
 SUMIFS(jueves!$D:$D, jueves!$A:$A, $A35, jueves!$C:$C, "SALIDA") +
 SUMIFS(viernes!$D:$D, viernes!$A:$A, $A35, viernes!$C:$C, "SALIDA") +
 SUMIFS(sabado!$D:$D, sabado!$A:$A, $A35, sabado!$C:$C, "SALIDA")</f>
        <v>0</v>
      </c>
      <c r="F35">
        <f t="shared" si="3"/>
        <v>0</v>
      </c>
      <c r="G35">
        <f>IFERROR(VLOOKUP(A35, sabado!A:I, 9, 0),
 IFERROR(VLOOKUP(A35, viernes!A:I, 9, 0),
 IFERROR(VLOOKUP(A35, jueves!A:I, 9, 0),
 IFERROR(VLOOKUP(A35, miercoles!A:I, 9, 0),
 IFERROR(VLOOKUP(A35, martes!A:I, 9, 0),
 IFERROR(VLOOKUP(A35, lunes!A:I, 9, 0),
 B35))))))</f>
        <v>0</v>
      </c>
      <c r="H35">
        <f>VLOOKUP(A35, Configuracion!A:C, 3, FALSE)</f>
        <v>160</v>
      </c>
      <c r="I35">
        <f t="shared" si="4"/>
        <v>0</v>
      </c>
      <c r="J35">
        <f>SUMIFS(lunes!$F:$F, lunes!$A:$A, $A35, lunes!$C:$C, "VENTA") +
 SUMIFS(martes!$F:$F, martes!$A:$A, $A35, martes!$C:$C, "VENTA") +
 SUMIFS(miercoles!$F:$F, miercoles!$A:$A, $A35, miercoles!$C:$C, "VENTA") +
 SUMIFS(jueves!$F:$F, jueves!$A:$A, $A35, jueves!$C:$C, "VENTA") +
 SUMIFS(viernes!$F:$F, viernes!$A:$A, $A35, viernes!$C:$C, "VENTA") +
 SUMIFS(sabado!$F:$F, sabado!$A:$A, $A35, sabado!$C:$C, "VENTA")</f>
        <v>0</v>
      </c>
      <c r="K35">
        <f t="shared" si="5"/>
        <v>0</v>
      </c>
    </row>
    <row r="36" spans="1:11" x14ac:dyDescent="0.3">
      <c r="A36" s="1" t="str">
        <f>Configuracion!A35</f>
        <v>ESTACION ENERGIA 6000 W</v>
      </c>
      <c r="B36">
        <f>VLOOKUP(A36, Configuracion!A:B, 2, FALSE)</f>
        <v>0</v>
      </c>
      <c r="C36">
        <f>SUMIFS(lunes!D:D, lunes!A:A, A36, lunes!C:C, "VENTA") +
 SUMIFS(martes!D:D, martes!A:A, A36, martes!C:C, "VENTA") +
 SUMIFS(miercoles!D:D, miercoles!A:A, A36, miercoles!C:C, "VENTA") +
 SUMIFS(jueves!D:D, jueves!A:A, A36, jueves!C:C, "VENTA") +
 SUMIFS(viernes!D:D, viernes!A:A, A36, viernes!C:C, "VENTA") +
 SUMIFS(sabado!D:D, sabado!A:A, A36, sabado!C:C, "VENTA")</f>
        <v>0</v>
      </c>
      <c r="D36">
        <f>SUMIFS(lunes!$D:$D, lunes!$A:$A, $A36, lunes!$C:$C, "ENTRADA") +
 SUMIFS(martes!$D:$D, martes!$A:$A, $A36, martes!$C:$C, "ENTRADA") +
 SUMIFS(miercoles!$D:$D, miercoles!$A:$A, $A36, miercoles!$C:$C, "ENTRADA") +
 SUMIFS(jueves!$D:$D, jueves!$A:$A, $A36, jueves!$C:$C, "ENTRADA") +
 SUMIFS(viernes!$D:$D, viernes!$A:$A, $A36, viernes!$C:$C, "ENTRADA") +
 SUMIFS(sabado!$D:$D, sabado!$A:$A, $A36, sabado!$C:$C, "ENTRADA")</f>
        <v>0</v>
      </c>
      <c r="E36">
        <f>SUMIFS(lunes!$D:$D, lunes!$A:$A, $A36, lunes!$C:$C, "SALIDA") +
 SUMIFS(martes!$D:$D, martes!$A:$A, $A36, martes!$C:$C, "SALIDA") +
 SUMIFS(miercoles!$D:$D, miercoles!$A:$A, $A36, miercoles!$C:$C, "SALIDA") +
 SUMIFS(jueves!$D:$D, jueves!$A:$A, $A36, jueves!$C:$C, "SALIDA") +
 SUMIFS(viernes!$D:$D, viernes!$A:$A, $A36, viernes!$C:$C, "SALIDA") +
 SUMIFS(sabado!$D:$D, sabado!$A:$A, $A36, sabado!$C:$C, "SALIDA")</f>
        <v>0</v>
      </c>
      <c r="F36">
        <f t="shared" si="3"/>
        <v>0</v>
      </c>
      <c r="G36">
        <f>IFERROR(VLOOKUP(A36, sabado!A:I, 9, 0),
 IFERROR(VLOOKUP(A36, viernes!A:I, 9, 0),
 IFERROR(VLOOKUP(A36, jueves!A:I, 9, 0),
 IFERROR(VLOOKUP(A36, miercoles!A:I, 9, 0),
 IFERROR(VLOOKUP(A36, martes!A:I, 9, 0),
 IFERROR(VLOOKUP(A36, lunes!A:I, 9, 0),
 B36))))))</f>
        <v>0</v>
      </c>
      <c r="H36">
        <f>VLOOKUP(A36, Configuracion!A:C, 3, FALSE)</f>
        <v>760</v>
      </c>
      <c r="I36">
        <f t="shared" si="4"/>
        <v>0</v>
      </c>
      <c r="J36">
        <f>SUMIFS(lunes!$F:$F, lunes!$A:$A, $A36, lunes!$C:$C, "VENTA") +
 SUMIFS(martes!$F:$F, martes!$A:$A, $A36, martes!$C:$C, "VENTA") +
 SUMIFS(miercoles!$F:$F, miercoles!$A:$A, $A36, miercoles!$C:$C, "VENTA") +
 SUMIFS(jueves!$F:$F, jueves!$A:$A, $A36, jueves!$C:$C, "VENTA") +
 SUMIFS(viernes!$F:$F, viernes!$A:$A, $A36, viernes!$C:$C, "VENTA") +
 SUMIFS(sabado!$F:$F, sabado!$A:$A, $A36, sabado!$C:$C, "VENTA")</f>
        <v>0</v>
      </c>
      <c r="K36">
        <f t="shared" si="5"/>
        <v>0</v>
      </c>
    </row>
    <row r="37" spans="1:11" x14ac:dyDescent="0.3">
      <c r="A37" s="1" t="str">
        <f>Configuracion!A36</f>
        <v>ESTACION ENERGIA PECRON</v>
      </c>
      <c r="B37">
        <f>VLOOKUP(A37, Configuracion!A:B, 2, FALSE)</f>
        <v>0</v>
      </c>
      <c r="C37">
        <f>SUMIFS(lunes!D:D, lunes!A:A, A37, lunes!C:C, "VENTA") +
 SUMIFS(martes!D:D, martes!A:A, A37, martes!C:C, "VENTA") +
 SUMIFS(miercoles!D:D, miercoles!A:A, A37, miercoles!C:C, "VENTA") +
 SUMIFS(jueves!D:D, jueves!A:A, A37, jueves!C:C, "VENTA") +
 SUMIFS(viernes!D:D, viernes!A:A, A37, viernes!C:C, "VENTA") +
 SUMIFS(sabado!D:D, sabado!A:A, A37, sabado!C:C, "VENTA")</f>
        <v>0</v>
      </c>
      <c r="D37">
        <f>SUMIFS(lunes!$D:$D, lunes!$A:$A, $A37, lunes!$C:$C, "ENTRADA") +
 SUMIFS(martes!$D:$D, martes!$A:$A, $A37, martes!$C:$C, "ENTRADA") +
 SUMIFS(miercoles!$D:$D, miercoles!$A:$A, $A37, miercoles!$C:$C, "ENTRADA") +
 SUMIFS(jueves!$D:$D, jueves!$A:$A, $A37, jueves!$C:$C, "ENTRADA") +
 SUMIFS(viernes!$D:$D, viernes!$A:$A, $A37, viernes!$C:$C, "ENTRADA") +
 SUMIFS(sabado!$D:$D, sabado!$A:$A, $A37, sabado!$C:$C, "ENTRADA")</f>
        <v>0</v>
      </c>
      <c r="E37">
        <f>SUMIFS(lunes!$D:$D, lunes!$A:$A, $A37, lunes!$C:$C, "SALIDA") +
 SUMIFS(martes!$D:$D, martes!$A:$A, $A37, martes!$C:$C, "SALIDA") +
 SUMIFS(miercoles!$D:$D, miercoles!$A:$A, $A37, miercoles!$C:$C, "SALIDA") +
 SUMIFS(jueves!$D:$D, jueves!$A:$A, $A37, jueves!$C:$C, "SALIDA") +
 SUMIFS(viernes!$D:$D, viernes!$A:$A, $A37, viernes!$C:$C, "SALIDA") +
 SUMIFS(sabado!$D:$D, sabado!$A:$A, $A37, sabado!$C:$C, "SALIDA")</f>
        <v>0</v>
      </c>
      <c r="F37">
        <f t="shared" si="3"/>
        <v>0</v>
      </c>
      <c r="G37">
        <f>IFERROR(VLOOKUP(A37, sabado!A:I, 9, 0),
 IFERROR(VLOOKUP(A37, viernes!A:I, 9, 0),
 IFERROR(VLOOKUP(A37, jueves!A:I, 9, 0),
 IFERROR(VLOOKUP(A37, miercoles!A:I, 9, 0),
 IFERROR(VLOOKUP(A37, martes!A:I, 9, 0),
 IFERROR(VLOOKUP(A37, lunes!A:I, 9, 0),
 B37))))))</f>
        <v>0</v>
      </c>
      <c r="H37">
        <f>VLOOKUP(A37, Configuracion!A:C, 3, FALSE)</f>
        <v>1100</v>
      </c>
      <c r="I37">
        <f t="shared" si="4"/>
        <v>0</v>
      </c>
      <c r="J37">
        <f>SUMIFS(lunes!$F:$F, lunes!$A:$A, $A37, lunes!$C:$C, "VENTA") +
 SUMIFS(martes!$F:$F, martes!$A:$A, $A37, martes!$C:$C, "VENTA") +
 SUMIFS(miercoles!$F:$F, miercoles!$A:$A, $A37, miercoles!$C:$C, "VENTA") +
 SUMIFS(jueves!$F:$F, jueves!$A:$A, $A37, jueves!$C:$C, "VENTA") +
 SUMIFS(viernes!$F:$F, viernes!$A:$A, $A37, viernes!$C:$C, "VENTA") +
 SUMIFS(sabado!$F:$F, sabado!$A:$A, $A37, sabado!$C:$C, "VENTA")</f>
        <v>0</v>
      </c>
      <c r="K37">
        <f t="shared" si="5"/>
        <v>0</v>
      </c>
    </row>
    <row r="38" spans="1:11" x14ac:dyDescent="0.3">
      <c r="A38" s="1" t="str">
        <f>Configuracion!A37</f>
        <v>ESTACION ENERGIA ECOFLOW DELTA 2</v>
      </c>
      <c r="B38">
        <f>VLOOKUP(A38, Configuracion!A:B, 2, FALSE)</f>
        <v>1</v>
      </c>
      <c r="C38">
        <f>SUMIFS(lunes!D:D, lunes!A:A, A38, lunes!C:C, "VENTA") +
 SUMIFS(martes!D:D, martes!A:A, A38, martes!C:C, "VENTA") +
 SUMIFS(miercoles!D:D, miercoles!A:A, A38, miercoles!C:C, "VENTA") +
 SUMIFS(jueves!D:D, jueves!A:A, A38, jueves!C:C, "VENTA") +
 SUMIFS(viernes!D:D, viernes!A:A, A38, viernes!C:C, "VENTA") +
 SUMIFS(sabado!D:D, sabado!A:A, A38, sabado!C:C, "VENTA")</f>
        <v>0</v>
      </c>
      <c r="D38">
        <f>SUMIFS(lunes!$D:$D, lunes!$A:$A, $A38, lunes!$C:$C, "ENTRADA") +
 SUMIFS(martes!$D:$D, martes!$A:$A, $A38, martes!$C:$C, "ENTRADA") +
 SUMIFS(miercoles!$D:$D, miercoles!$A:$A, $A38, miercoles!$C:$C, "ENTRADA") +
 SUMIFS(jueves!$D:$D, jueves!$A:$A, $A38, jueves!$C:$C, "ENTRADA") +
 SUMIFS(viernes!$D:$D, viernes!$A:$A, $A38, viernes!$C:$C, "ENTRADA") +
 SUMIFS(sabado!$D:$D, sabado!$A:$A, $A38, sabado!$C:$C, "ENTRADA")</f>
        <v>0</v>
      </c>
      <c r="E38">
        <f>SUMIFS(lunes!$D:$D, lunes!$A:$A, $A38, lunes!$C:$C, "SALIDA") +
 SUMIFS(martes!$D:$D, martes!$A:$A, $A38, martes!$C:$C, "SALIDA") +
 SUMIFS(miercoles!$D:$D, miercoles!$A:$A, $A38, miercoles!$C:$C, "SALIDA") +
 SUMIFS(jueves!$D:$D, jueves!$A:$A, $A38, jueves!$C:$C, "SALIDA") +
 SUMIFS(viernes!$D:$D, viernes!$A:$A, $A38, viernes!$C:$C, "SALIDA") +
 SUMIFS(sabado!$D:$D, sabado!$A:$A, $A38, sabado!$C:$C, "SALIDA")</f>
        <v>0</v>
      </c>
      <c r="F38">
        <f t="shared" si="3"/>
        <v>1</v>
      </c>
      <c r="G38">
        <f>IFERROR(VLOOKUP(A38, sabado!A:I, 9, 0),
 IFERROR(VLOOKUP(A38, viernes!A:I, 9, 0),
 IFERROR(VLOOKUP(A38, jueves!A:I, 9, 0),
 IFERROR(VLOOKUP(A38, miercoles!A:I, 9, 0),
 IFERROR(VLOOKUP(A38, martes!A:I, 9, 0),
 IFERROR(VLOOKUP(A38, lunes!A:I, 9, 0),
 B38))))))</f>
        <v>1</v>
      </c>
      <c r="H38">
        <f>VLOOKUP(A38, Configuracion!A:C, 3, FALSE)</f>
        <v>800</v>
      </c>
      <c r="I38">
        <f t="shared" si="4"/>
        <v>0</v>
      </c>
      <c r="J38">
        <f>SUMIFS(lunes!$F:$F, lunes!$A:$A, $A38, lunes!$C:$C, "VENTA") +
 SUMIFS(martes!$F:$F, martes!$A:$A, $A38, martes!$C:$C, "VENTA") +
 SUMIFS(miercoles!$F:$F, miercoles!$A:$A, $A38, miercoles!$C:$C, "VENTA") +
 SUMIFS(jueves!$F:$F, jueves!$A:$A, $A38, jueves!$C:$C, "VENTA") +
 SUMIFS(viernes!$F:$F, viernes!$A:$A, $A38, viernes!$C:$C, "VENTA") +
 SUMIFS(sabado!$F:$F, sabado!$A:$A, $A38, sabado!$C:$C, "VENTA")</f>
        <v>0</v>
      </c>
      <c r="K38">
        <f t="shared" si="5"/>
        <v>0</v>
      </c>
    </row>
    <row r="39" spans="1:11" x14ac:dyDescent="0.3">
      <c r="A39" s="1" t="str">
        <f>Configuracion!A38</f>
        <v>ESTACION ENERGIA ECOFLOW DELTA 3</v>
      </c>
      <c r="B39">
        <f>VLOOKUP(A39, Configuracion!A:B, 2, FALSE)</f>
        <v>2</v>
      </c>
      <c r="C39">
        <f>SUMIFS(lunes!D:D, lunes!A:A, A39, lunes!C:C, "VENTA") +
 SUMIFS(martes!D:D, martes!A:A, A39, martes!C:C, "VENTA") +
 SUMIFS(miercoles!D:D, miercoles!A:A, A39, miercoles!C:C, "VENTA") +
 SUMIFS(jueves!D:D, jueves!A:A, A39, jueves!C:C, "VENTA") +
 SUMIFS(viernes!D:D, viernes!A:A, A39, viernes!C:C, "VENTA") +
 SUMIFS(sabado!D:D, sabado!A:A, A39, sabado!C:C, "VENTA")</f>
        <v>0</v>
      </c>
      <c r="D39">
        <f>SUMIFS(lunes!$D:$D, lunes!$A:$A, $A39, lunes!$C:$C, "ENTRADA") +
 SUMIFS(martes!$D:$D, martes!$A:$A, $A39, martes!$C:$C, "ENTRADA") +
 SUMIFS(miercoles!$D:$D, miercoles!$A:$A, $A39, miercoles!$C:$C, "ENTRADA") +
 SUMIFS(jueves!$D:$D, jueves!$A:$A, $A39, jueves!$C:$C, "ENTRADA") +
 SUMIFS(viernes!$D:$D, viernes!$A:$A, $A39, viernes!$C:$C, "ENTRADA") +
 SUMIFS(sabado!$D:$D, sabado!$A:$A, $A39, sabado!$C:$C, "ENTRADA")</f>
        <v>0</v>
      </c>
      <c r="E39">
        <f>SUMIFS(lunes!$D:$D, lunes!$A:$A, $A39, lunes!$C:$C, "SALIDA") +
 SUMIFS(martes!$D:$D, martes!$A:$A, $A39, martes!$C:$C, "SALIDA") +
 SUMIFS(miercoles!$D:$D, miercoles!$A:$A, $A39, miercoles!$C:$C, "SALIDA") +
 SUMIFS(jueves!$D:$D, jueves!$A:$A, $A39, jueves!$C:$C, "SALIDA") +
 SUMIFS(viernes!$D:$D, viernes!$A:$A, $A39, viernes!$C:$C, "SALIDA") +
 SUMIFS(sabado!$D:$D, sabado!$A:$A, $A39, sabado!$C:$C, "SALIDA")</f>
        <v>0</v>
      </c>
      <c r="F39">
        <f t="shared" si="3"/>
        <v>2</v>
      </c>
      <c r="G39">
        <f>IFERROR(VLOOKUP(A39, sabado!A:I, 9, 0),
 IFERROR(VLOOKUP(A39, viernes!A:I, 9, 0),
 IFERROR(VLOOKUP(A39, jueves!A:I, 9, 0),
 IFERROR(VLOOKUP(A39, miercoles!A:I, 9, 0),
 IFERROR(VLOOKUP(A39, martes!A:I, 9, 0),
 IFERROR(VLOOKUP(A39, lunes!A:I, 9, 0),
 B39))))))</f>
        <v>2</v>
      </c>
      <c r="H39">
        <f>VLOOKUP(A39, Configuracion!A:C, 3, FALSE)</f>
        <v>820</v>
      </c>
      <c r="I39">
        <f t="shared" si="4"/>
        <v>0</v>
      </c>
      <c r="J39">
        <f>SUMIFS(lunes!$F:$F, lunes!$A:$A, $A39, lunes!$C:$C, "VENTA") +
 SUMIFS(martes!$F:$F, martes!$A:$A, $A39, martes!$C:$C, "VENTA") +
 SUMIFS(miercoles!$F:$F, miercoles!$A:$A, $A39, miercoles!$C:$C, "VENTA") +
 SUMIFS(jueves!$F:$F, jueves!$A:$A, $A39, jueves!$C:$C, "VENTA") +
 SUMIFS(viernes!$F:$F, viernes!$A:$A, $A39, viernes!$C:$C, "VENTA") +
 SUMIFS(sabado!$F:$F, sabado!$A:$A, $A39, sabado!$C:$C, "VENTA")</f>
        <v>0</v>
      </c>
      <c r="K39">
        <f t="shared" si="5"/>
        <v>0</v>
      </c>
    </row>
    <row r="40" spans="1:11" x14ac:dyDescent="0.3">
      <c r="A40" s="1" t="str">
        <f>Configuracion!A39</f>
        <v>ESTACION MUST 6000 W</v>
      </c>
      <c r="B40">
        <f>VLOOKUP(A40, Configuracion!A:B, 2, FALSE)</f>
        <v>0</v>
      </c>
      <c r="C40">
        <f>SUMIFS(lunes!D:D, lunes!A:A, A40, lunes!C:C, "VENTA") +
 SUMIFS(martes!D:D, martes!A:A, A40, martes!C:C, "VENTA") +
 SUMIFS(miercoles!D:D, miercoles!A:A, A40, miercoles!C:C, "VENTA") +
 SUMIFS(jueves!D:D, jueves!A:A, A40, jueves!C:C, "VENTA") +
 SUMIFS(viernes!D:D, viernes!A:A, A40, viernes!C:C, "VENTA") +
 SUMIFS(sabado!D:D, sabado!A:A, A40, sabado!C:C, "VENTA")</f>
        <v>0</v>
      </c>
      <c r="D40">
        <f>SUMIFS(lunes!$D:$D, lunes!$A:$A, $A40, lunes!$C:$C, "ENTRADA") +
 SUMIFS(martes!$D:$D, martes!$A:$A, $A40, martes!$C:$C, "ENTRADA") +
 SUMIFS(miercoles!$D:$D, miercoles!$A:$A, $A40, miercoles!$C:$C, "ENTRADA") +
 SUMIFS(jueves!$D:$D, jueves!$A:$A, $A40, jueves!$C:$C, "ENTRADA") +
 SUMIFS(viernes!$D:$D, viernes!$A:$A, $A40, viernes!$C:$C, "ENTRADA") +
 SUMIFS(sabado!$D:$D, sabado!$A:$A, $A40, sabado!$C:$C, "ENTRADA")</f>
        <v>0</v>
      </c>
      <c r="E40">
        <f>SUMIFS(lunes!$D:$D, lunes!$A:$A, $A40, lunes!$C:$C, "SALIDA") +
 SUMIFS(martes!$D:$D, martes!$A:$A, $A40, martes!$C:$C, "SALIDA") +
 SUMIFS(miercoles!$D:$D, miercoles!$A:$A, $A40, miercoles!$C:$C, "SALIDA") +
 SUMIFS(jueves!$D:$D, jueves!$A:$A, $A40, jueves!$C:$C, "SALIDA") +
 SUMIFS(viernes!$D:$D, viernes!$A:$A, $A40, viernes!$C:$C, "SALIDA") +
 SUMIFS(sabado!$D:$D, sabado!$A:$A, $A40, sabado!$C:$C, "SALIDA")</f>
        <v>0</v>
      </c>
      <c r="F40">
        <f t="shared" si="3"/>
        <v>0</v>
      </c>
      <c r="G40">
        <f>IFERROR(VLOOKUP(A40, sabado!A:I, 9, 0),
 IFERROR(VLOOKUP(A40, viernes!A:I, 9, 0),
 IFERROR(VLOOKUP(A40, jueves!A:I, 9, 0),
 IFERROR(VLOOKUP(A40, miercoles!A:I, 9, 0),
 IFERROR(VLOOKUP(A40, martes!A:I, 9, 0),
 IFERROR(VLOOKUP(A40, lunes!A:I, 9, 0),
 B40))))))</f>
        <v>0</v>
      </c>
      <c r="H40">
        <f>VLOOKUP(A40, Configuracion!A:C, 3, FALSE)</f>
        <v>0</v>
      </c>
      <c r="I40">
        <f t="shared" si="4"/>
        <v>0</v>
      </c>
      <c r="J40">
        <f>SUMIFS(lunes!$F:$F, lunes!$A:$A, $A40, lunes!$C:$C, "VENTA") +
 SUMIFS(martes!$F:$F, martes!$A:$A, $A40, martes!$C:$C, "VENTA") +
 SUMIFS(miercoles!$F:$F, miercoles!$A:$A, $A40, miercoles!$C:$C, "VENTA") +
 SUMIFS(jueves!$F:$F, jueves!$A:$A, $A40, jueves!$C:$C, "VENTA") +
 SUMIFS(viernes!$F:$F, viernes!$A:$A, $A40, viernes!$C:$C, "VENTA") +
 SUMIFS(sabado!$F:$F, sabado!$A:$A, $A40, sabado!$C:$C, "VENTA")</f>
        <v>0</v>
      </c>
      <c r="K40">
        <f t="shared" si="5"/>
        <v>0</v>
      </c>
    </row>
    <row r="41" spans="1:11" x14ac:dyDescent="0.3">
      <c r="A41" s="1" t="str">
        <f>Configuracion!A40</f>
        <v>ESTACION MUST 2K CON 2.7K</v>
      </c>
      <c r="B41">
        <f>VLOOKUP(A41, Configuracion!A:B, 2, FALSE)</f>
        <v>5</v>
      </c>
      <c r="C41">
        <f>SUMIFS(lunes!D:D, lunes!A:A, A41, lunes!C:C, "VENTA") +
 SUMIFS(martes!D:D, martes!A:A, A41, martes!C:C, "VENTA") +
 SUMIFS(miercoles!D:D, miercoles!A:A, A41, miercoles!C:C, "VENTA") +
 SUMIFS(jueves!D:D, jueves!A:A, A41, jueves!C:C, "VENTA") +
 SUMIFS(viernes!D:D, viernes!A:A, A41, viernes!C:C, "VENTA") +
 SUMIFS(sabado!D:D, sabado!A:A, A41, sabado!C:C, "VENTA")</f>
        <v>0</v>
      </c>
      <c r="D41">
        <f>SUMIFS(lunes!$D:$D, lunes!$A:$A, $A41, lunes!$C:$C, "ENTRADA") +
 SUMIFS(martes!$D:$D, martes!$A:$A, $A41, martes!$C:$C, "ENTRADA") +
 SUMIFS(miercoles!$D:$D, miercoles!$A:$A, $A41, miercoles!$C:$C, "ENTRADA") +
 SUMIFS(jueves!$D:$D, jueves!$A:$A, $A41, jueves!$C:$C, "ENTRADA") +
 SUMIFS(viernes!$D:$D, viernes!$A:$A, $A41, viernes!$C:$C, "ENTRADA") +
 SUMIFS(sabado!$D:$D, sabado!$A:$A, $A41, sabado!$C:$C, "ENTRADA")</f>
        <v>0</v>
      </c>
      <c r="E41">
        <f>SUMIFS(lunes!$D:$D, lunes!$A:$A, $A41, lunes!$C:$C, "SALIDA") +
 SUMIFS(martes!$D:$D, martes!$A:$A, $A41, martes!$C:$C, "SALIDA") +
 SUMIFS(miercoles!$D:$D, miercoles!$A:$A, $A41, miercoles!$C:$C, "SALIDA") +
 SUMIFS(jueves!$D:$D, jueves!$A:$A, $A41, jueves!$C:$C, "SALIDA") +
 SUMIFS(viernes!$D:$D, viernes!$A:$A, $A41, viernes!$C:$C, "SALIDA") +
 SUMIFS(sabado!$D:$D, sabado!$A:$A, $A41, sabado!$C:$C, "SALIDA")</f>
        <v>1</v>
      </c>
      <c r="F41">
        <f t="shared" si="3"/>
        <v>4</v>
      </c>
      <c r="G41">
        <f>IFERROR(VLOOKUP(A41, sabado!A:I, 9, 0),
 IFERROR(VLOOKUP(A41, viernes!A:I, 9, 0),
 IFERROR(VLOOKUP(A41, jueves!A:I, 9, 0),
 IFERROR(VLOOKUP(A41, miercoles!A:I, 9, 0),
 IFERROR(VLOOKUP(A41, martes!A:I, 9, 0),
 IFERROR(VLOOKUP(A41, lunes!A:I, 9, 0),
 B41))))))</f>
        <v>4</v>
      </c>
      <c r="H41">
        <f>VLOOKUP(A41, Configuracion!A:C, 3, FALSE)</f>
        <v>1130</v>
      </c>
      <c r="I41">
        <f t="shared" si="4"/>
        <v>0</v>
      </c>
      <c r="J41">
        <f>SUMIFS(lunes!$F:$F, lunes!$A:$A, $A41, lunes!$C:$C, "VENTA") +
 SUMIFS(martes!$F:$F, martes!$A:$A, $A41, martes!$C:$C, "VENTA") +
 SUMIFS(miercoles!$F:$F, miercoles!$A:$A, $A41, miercoles!$C:$C, "VENTA") +
 SUMIFS(jueves!$F:$F, jueves!$A:$A, $A41, jueves!$C:$C, "VENTA") +
 SUMIFS(viernes!$F:$F, viernes!$A:$A, $A41, viernes!$C:$C, "VENTA") +
 SUMIFS(sabado!$F:$F, sabado!$A:$A, $A41, sabado!$C:$C, "VENTA")</f>
        <v>0</v>
      </c>
      <c r="K41">
        <f t="shared" si="5"/>
        <v>0</v>
      </c>
    </row>
    <row r="42" spans="1:11" x14ac:dyDescent="0.3">
      <c r="A42" s="1" t="str">
        <f>Configuracion!A41</f>
        <v>ESCRITORIO</v>
      </c>
      <c r="B42">
        <f>VLOOKUP(A42, Configuracion!A:B, 2, FALSE)</f>
        <v>2</v>
      </c>
      <c r="C42">
        <f>SUMIFS(lunes!D:D, lunes!A:A, A42, lunes!C:C, "VENTA") +
 SUMIFS(martes!D:D, martes!A:A, A42, martes!C:C, "VENTA") +
 SUMIFS(miercoles!D:D, miercoles!A:A, A42, miercoles!C:C, "VENTA") +
 SUMIFS(jueves!D:D, jueves!A:A, A42, jueves!C:C, "VENTA") +
 SUMIFS(viernes!D:D, viernes!A:A, A42, viernes!C:C, "VENTA") +
 SUMIFS(sabado!D:D, sabado!A:A, A42, sabado!C:C, "VENTA")</f>
        <v>0</v>
      </c>
      <c r="D42">
        <f>SUMIFS(lunes!$D:$D, lunes!$A:$A, $A42, lunes!$C:$C, "ENTRADA") +
 SUMIFS(martes!$D:$D, martes!$A:$A, $A42, martes!$C:$C, "ENTRADA") +
 SUMIFS(miercoles!$D:$D, miercoles!$A:$A, $A42, miercoles!$C:$C, "ENTRADA") +
 SUMIFS(jueves!$D:$D, jueves!$A:$A, $A42, jueves!$C:$C, "ENTRADA") +
 SUMIFS(viernes!$D:$D, viernes!$A:$A, $A42, viernes!$C:$C, "ENTRADA") +
 SUMIFS(sabado!$D:$D, sabado!$A:$A, $A42, sabado!$C:$C, "ENTRADA")</f>
        <v>0</v>
      </c>
      <c r="E42">
        <f>SUMIFS(lunes!$D:$D, lunes!$A:$A, $A42, lunes!$C:$C, "SALIDA") +
 SUMIFS(martes!$D:$D, martes!$A:$A, $A42, martes!$C:$C, "SALIDA") +
 SUMIFS(miercoles!$D:$D, miercoles!$A:$A, $A42, miercoles!$C:$C, "SALIDA") +
 SUMIFS(jueves!$D:$D, jueves!$A:$A, $A42, jueves!$C:$C, "SALIDA") +
 SUMIFS(viernes!$D:$D, viernes!$A:$A, $A42, viernes!$C:$C, "SALIDA") +
 SUMIFS(sabado!$D:$D, sabado!$A:$A, $A42, sabado!$C:$C, "SALIDA")</f>
        <v>0</v>
      </c>
      <c r="F42">
        <f t="shared" si="3"/>
        <v>2</v>
      </c>
      <c r="G42">
        <f>IFERROR(VLOOKUP(A42, sabado!A:I, 9, 0),
 IFERROR(VLOOKUP(A42, viernes!A:I, 9, 0),
 IFERROR(VLOOKUP(A42, jueves!A:I, 9, 0),
 IFERROR(VLOOKUP(A42, miercoles!A:I, 9, 0),
 IFERROR(VLOOKUP(A42, martes!A:I, 9, 0),
 IFERROR(VLOOKUP(A42, lunes!A:I, 9, 0),
 B42))))))</f>
        <v>2</v>
      </c>
      <c r="H42">
        <f>VLOOKUP(A42, Configuracion!A:C, 3, FALSE)</f>
        <v>230</v>
      </c>
      <c r="I42">
        <f t="shared" si="4"/>
        <v>0</v>
      </c>
      <c r="J42">
        <f>SUMIFS(lunes!$F:$F, lunes!$A:$A, $A42, lunes!$C:$C, "VENTA") +
 SUMIFS(martes!$F:$F, martes!$A:$A, $A42, martes!$C:$C, "VENTA") +
 SUMIFS(miercoles!$F:$F, miercoles!$A:$A, $A42, miercoles!$C:$C, "VENTA") +
 SUMIFS(jueves!$F:$F, jueves!$A:$A, $A42, jueves!$C:$C, "VENTA") +
 SUMIFS(viernes!$F:$F, viernes!$A:$A, $A42, viernes!$C:$C, "VENTA") +
 SUMIFS(sabado!$F:$F, sabado!$A:$A, $A42, sabado!$C:$C, "VENTA")</f>
        <v>0</v>
      </c>
      <c r="K42">
        <f t="shared" si="5"/>
        <v>0</v>
      </c>
    </row>
    <row r="43" spans="1:11" x14ac:dyDescent="0.3">
      <c r="A43" s="1" t="str">
        <f>Configuracion!A42</f>
        <v>ESTACION ECOFLOW DELTA 2 1800W</v>
      </c>
      <c r="B43">
        <f>VLOOKUP(A43, Configuracion!A:B, 2, FALSE)</f>
        <v>0</v>
      </c>
      <c r="C43">
        <f>SUMIFS(lunes!D:D, lunes!A:A, A43, lunes!C:C, "VENTA") +
 SUMIFS(martes!D:D, martes!A:A, A43, martes!C:C, "VENTA") +
 SUMIFS(miercoles!D:D, miercoles!A:A, A43, miercoles!C:C, "VENTA") +
 SUMIFS(jueves!D:D, jueves!A:A, A43, jueves!C:C, "VENTA") +
 SUMIFS(viernes!D:D, viernes!A:A, A43, viernes!C:C, "VENTA") +
 SUMIFS(sabado!D:D, sabado!A:A, A43, sabado!C:C, "VENTA")</f>
        <v>0</v>
      </c>
      <c r="D43">
        <f>SUMIFS(lunes!$D:$D, lunes!$A:$A, $A43, lunes!$C:$C, "ENTRADA") +
 SUMIFS(martes!$D:$D, martes!$A:$A, $A43, martes!$C:$C, "ENTRADA") +
 SUMIFS(miercoles!$D:$D, miercoles!$A:$A, $A43, miercoles!$C:$C, "ENTRADA") +
 SUMIFS(jueves!$D:$D, jueves!$A:$A, $A43, jueves!$C:$C, "ENTRADA") +
 SUMIFS(viernes!$D:$D, viernes!$A:$A, $A43, viernes!$C:$C, "ENTRADA") +
 SUMIFS(sabado!$D:$D, sabado!$A:$A, $A43, sabado!$C:$C, "ENTRADA")</f>
        <v>0</v>
      </c>
      <c r="E43">
        <f>SUMIFS(lunes!$D:$D, lunes!$A:$A, $A43, lunes!$C:$C, "SALIDA") +
 SUMIFS(martes!$D:$D, martes!$A:$A, $A43, martes!$C:$C, "SALIDA") +
 SUMIFS(miercoles!$D:$D, miercoles!$A:$A, $A43, miercoles!$C:$C, "SALIDA") +
 SUMIFS(jueves!$D:$D, jueves!$A:$A, $A43, jueves!$C:$C, "SALIDA") +
 SUMIFS(viernes!$D:$D, viernes!$A:$A, $A43, viernes!$C:$C, "SALIDA") +
 SUMIFS(sabado!$D:$D, sabado!$A:$A, $A43, sabado!$C:$C, "SALIDA")</f>
        <v>0</v>
      </c>
      <c r="F43">
        <f t="shared" si="3"/>
        <v>0</v>
      </c>
      <c r="G43">
        <f>IFERROR(VLOOKUP(A43, sabado!A:I, 9, 0),
 IFERROR(VLOOKUP(A43, viernes!A:I, 9, 0),
 IFERROR(VLOOKUP(A43, jueves!A:I, 9, 0),
 IFERROR(VLOOKUP(A43, miercoles!A:I, 9, 0),
 IFERROR(VLOOKUP(A43, martes!A:I, 9, 0),
 IFERROR(VLOOKUP(A43, lunes!A:I, 9, 0),
 B43))))))</f>
        <v>0</v>
      </c>
      <c r="H43">
        <f>VLOOKUP(A43, Configuracion!A:C, 3, FALSE)</f>
        <v>800</v>
      </c>
      <c r="I43">
        <f t="shared" si="4"/>
        <v>0</v>
      </c>
      <c r="J43">
        <f>SUMIFS(lunes!$F:$F, lunes!$A:$A, $A43, lunes!$C:$C, "VENTA") +
 SUMIFS(martes!$F:$F, martes!$A:$A, $A43, martes!$C:$C, "VENTA") +
 SUMIFS(miercoles!$F:$F, miercoles!$A:$A, $A43, miercoles!$C:$C, "VENTA") +
 SUMIFS(jueves!$F:$F, jueves!$A:$A, $A43, jueves!$C:$C, "VENTA") +
 SUMIFS(viernes!$F:$F, viernes!$A:$A, $A43, viernes!$C:$C, "VENTA") +
 SUMIFS(sabado!$F:$F, sabado!$A:$A, $A43, sabado!$C:$C, "VENTA")</f>
        <v>0</v>
      </c>
      <c r="K43">
        <f t="shared" si="5"/>
        <v>0</v>
      </c>
    </row>
    <row r="44" spans="1:11" x14ac:dyDescent="0.3">
      <c r="A44" s="1" t="str">
        <f>Configuracion!A43</f>
        <v>KIT DE INSTALACION</v>
      </c>
      <c r="B44">
        <f>VLOOKUP(A44, Configuracion!A:B, 2, FALSE)</f>
        <v>0</v>
      </c>
      <c r="C44">
        <f>SUMIFS(lunes!D:D, lunes!A:A, A44, lunes!C:C, "VENTA") +
 SUMIFS(martes!D:D, martes!A:A, A44, martes!C:C, "VENTA") +
 SUMIFS(miercoles!D:D, miercoles!A:A, A44, miercoles!C:C, "VENTA") +
 SUMIFS(jueves!D:D, jueves!A:A, A44, jueves!C:C, "VENTA") +
 SUMIFS(viernes!D:D, viernes!A:A, A44, viernes!C:C, "VENTA") +
 SUMIFS(sabado!D:D, sabado!A:A, A44, sabado!C:C, "VENTA")</f>
        <v>0</v>
      </c>
      <c r="D44">
        <f>SUMIFS(lunes!$D:$D, lunes!$A:$A, $A44, lunes!$C:$C, "ENTRADA") +
 SUMIFS(martes!$D:$D, martes!$A:$A, $A44, martes!$C:$C, "ENTRADA") +
 SUMIFS(miercoles!$D:$D, miercoles!$A:$A, $A44, miercoles!$C:$C, "ENTRADA") +
 SUMIFS(jueves!$D:$D, jueves!$A:$A, $A44, jueves!$C:$C, "ENTRADA") +
 SUMIFS(viernes!$D:$D, viernes!$A:$A, $A44, viernes!$C:$C, "ENTRADA") +
 SUMIFS(sabado!$D:$D, sabado!$A:$A, $A44, sabado!$C:$C, "ENTRADA")</f>
        <v>0</v>
      </c>
      <c r="E44">
        <f>SUMIFS(lunes!$D:$D, lunes!$A:$A, $A44, lunes!$C:$C, "SALIDA") +
 SUMIFS(martes!$D:$D, martes!$A:$A, $A44, martes!$C:$C, "SALIDA") +
 SUMIFS(miercoles!$D:$D, miercoles!$A:$A, $A44, miercoles!$C:$C, "SALIDA") +
 SUMIFS(jueves!$D:$D, jueves!$A:$A, $A44, jueves!$C:$C, "SALIDA") +
 SUMIFS(viernes!$D:$D, viernes!$A:$A, $A44, viernes!$C:$C, "SALIDA") +
 SUMIFS(sabado!$D:$D, sabado!$A:$A, $A44, sabado!$C:$C, "SALIDA")</f>
        <v>0</v>
      </c>
      <c r="F44">
        <f t="shared" si="3"/>
        <v>0</v>
      </c>
      <c r="G44">
        <f>IFERROR(VLOOKUP(A44, sabado!A:I, 9, 0),
 IFERROR(VLOOKUP(A44, viernes!A:I, 9, 0),
 IFERROR(VLOOKUP(A44, jueves!A:I, 9, 0),
 IFERROR(VLOOKUP(A44, miercoles!A:I, 9, 0),
 IFERROR(VLOOKUP(A44, martes!A:I, 9, 0),
 IFERROR(VLOOKUP(A44, lunes!A:I, 9, 0),
 B44))))))</f>
        <v>0</v>
      </c>
      <c r="H44">
        <f>VLOOKUP(A44, Configuracion!A:C, 3, FALSE)</f>
        <v>120</v>
      </c>
      <c r="I44">
        <f t="shared" si="4"/>
        <v>0</v>
      </c>
      <c r="J44">
        <f>SUMIFS(lunes!$F:$F, lunes!$A:$A, $A44, lunes!$C:$C, "VENTA") +
 SUMIFS(martes!$F:$F, martes!$A:$A, $A44, martes!$C:$C, "VENTA") +
 SUMIFS(miercoles!$F:$F, miercoles!$A:$A, $A44, miercoles!$C:$C, "VENTA") +
 SUMIFS(jueves!$F:$F, jueves!$A:$A, $A44, jueves!$C:$C, "VENTA") +
 SUMIFS(viernes!$F:$F, viernes!$A:$A, $A44, viernes!$C:$C, "VENTA") +
 SUMIFS(sabado!$F:$F, sabado!$A:$A, $A44, sabado!$C:$C, "VENTA")</f>
        <v>0</v>
      </c>
      <c r="K44">
        <f t="shared" si="5"/>
        <v>0</v>
      </c>
    </row>
    <row r="45" spans="1:11" x14ac:dyDescent="0.3">
      <c r="A45" s="1" t="str">
        <f>Configuracion!A44</f>
        <v>EXHIBIDOR HORIZONTAL 13P</v>
      </c>
      <c r="B45">
        <f>VLOOKUP(A45, Configuracion!A:B, 2, FALSE)</f>
        <v>0</v>
      </c>
      <c r="C45">
        <f>SUMIFS(lunes!D:D, lunes!A:A, A45, lunes!C:C, "VENTA") +
 SUMIFS(martes!D:D, martes!A:A, A45, martes!C:C, "VENTA") +
 SUMIFS(miercoles!D:D, miercoles!A:A, A45, miercoles!C:C, "VENTA") +
 SUMIFS(jueves!D:D, jueves!A:A, A45, jueves!C:C, "VENTA") +
 SUMIFS(viernes!D:D, viernes!A:A, A45, viernes!C:C, "VENTA") +
 SUMIFS(sabado!D:D, sabado!A:A, A45, sabado!C:C, "VENTA")</f>
        <v>0</v>
      </c>
      <c r="D45">
        <f>SUMIFS(lunes!$D:$D, lunes!$A:$A, $A45, lunes!$C:$C, "ENTRADA") +
 SUMIFS(martes!$D:$D, martes!$A:$A, $A45, martes!$C:$C, "ENTRADA") +
 SUMIFS(miercoles!$D:$D, miercoles!$A:$A, $A45, miercoles!$C:$C, "ENTRADA") +
 SUMIFS(jueves!$D:$D, jueves!$A:$A, $A45, jueves!$C:$C, "ENTRADA") +
 SUMIFS(viernes!$D:$D, viernes!$A:$A, $A45, viernes!$C:$C, "ENTRADA") +
 SUMIFS(sabado!$D:$D, sabado!$A:$A, $A45, sabado!$C:$C, "ENTRADA")</f>
        <v>0</v>
      </c>
      <c r="E45">
        <f>SUMIFS(lunes!$D:$D, lunes!$A:$A, $A45, lunes!$C:$C, "SALIDA") +
 SUMIFS(martes!$D:$D, martes!$A:$A, $A45, martes!$C:$C, "SALIDA") +
 SUMIFS(miercoles!$D:$D, miercoles!$A:$A, $A45, miercoles!$C:$C, "SALIDA") +
 SUMIFS(jueves!$D:$D, jueves!$A:$A, $A45, jueves!$C:$C, "SALIDA") +
 SUMIFS(viernes!$D:$D, viernes!$A:$A, $A45, viernes!$C:$C, "SALIDA") +
 SUMIFS(sabado!$D:$D, sabado!$A:$A, $A45, sabado!$C:$C, "SALIDA")</f>
        <v>0</v>
      </c>
      <c r="F45">
        <f t="shared" si="3"/>
        <v>0</v>
      </c>
      <c r="G45">
        <f>IFERROR(VLOOKUP(A45, sabado!A:I, 9, 0),
 IFERROR(VLOOKUP(A45, viernes!A:I, 9, 0),
 IFERROR(VLOOKUP(A45, jueves!A:I, 9, 0),
 IFERROR(VLOOKUP(A45, miercoles!A:I, 9, 0),
 IFERROR(VLOOKUP(A45, martes!A:I, 9, 0),
 IFERROR(VLOOKUP(A45, lunes!A:I, 9, 0),
 B45))))))</f>
        <v>0</v>
      </c>
      <c r="H45">
        <f>VLOOKUP(A45, Configuracion!A:C, 3, FALSE)</f>
        <v>650</v>
      </c>
      <c r="I45">
        <f t="shared" si="4"/>
        <v>0</v>
      </c>
      <c r="J45">
        <f>SUMIFS(lunes!$F:$F, lunes!$A:$A, $A45, lunes!$C:$C, "VENTA") +
 SUMIFS(martes!$F:$F, martes!$A:$A, $A45, martes!$C:$C, "VENTA") +
 SUMIFS(miercoles!$F:$F, miercoles!$A:$A, $A45, miercoles!$C:$C, "VENTA") +
 SUMIFS(jueves!$F:$F, jueves!$A:$A, $A45, jueves!$C:$C, "VENTA") +
 SUMIFS(viernes!$F:$F, viernes!$A:$A, $A45, viernes!$C:$C, "VENTA") +
 SUMIFS(sabado!$F:$F, sabado!$A:$A, $A45, sabado!$C:$C, "VENTA")</f>
        <v>0</v>
      </c>
      <c r="K45">
        <f t="shared" si="5"/>
        <v>0</v>
      </c>
    </row>
    <row r="46" spans="1:11" x14ac:dyDescent="0.3">
      <c r="A46" s="1" t="str">
        <f>Configuracion!A45</f>
        <v>EXHIBIDOR VERTICAL 12P</v>
      </c>
      <c r="B46">
        <f>VLOOKUP(A46, Configuracion!A:B, 2, FALSE)</f>
        <v>0</v>
      </c>
      <c r="C46">
        <f>SUMIFS(lunes!D:D, lunes!A:A, A46, lunes!C:C, "VENTA") +
 SUMIFS(martes!D:D, martes!A:A, A46, martes!C:C, "VENTA") +
 SUMIFS(miercoles!D:D, miercoles!A:A, A46, miercoles!C:C, "VENTA") +
 SUMIFS(jueves!D:D, jueves!A:A, A46, jueves!C:C, "VENTA") +
 SUMIFS(viernes!D:D, viernes!A:A, A46, viernes!C:C, "VENTA") +
 SUMIFS(sabado!D:D, sabado!A:A, A46, sabado!C:C, "VENTA")</f>
        <v>0</v>
      </c>
      <c r="D46">
        <f>SUMIFS(lunes!$D:$D, lunes!$A:$A, $A46, lunes!$C:$C, "ENTRADA") +
 SUMIFS(martes!$D:$D, martes!$A:$A, $A46, martes!$C:$C, "ENTRADA") +
 SUMIFS(miercoles!$D:$D, miercoles!$A:$A, $A46, miercoles!$C:$C, "ENTRADA") +
 SUMIFS(jueves!$D:$D, jueves!$A:$A, $A46, jueves!$C:$C, "ENTRADA") +
 SUMIFS(viernes!$D:$D, viernes!$A:$A, $A46, viernes!$C:$C, "ENTRADA") +
 SUMIFS(sabado!$D:$D, sabado!$A:$A, $A46, sabado!$C:$C, "ENTRADA")</f>
        <v>0</v>
      </c>
      <c r="E46">
        <f>SUMIFS(lunes!$D:$D, lunes!$A:$A, $A46, lunes!$C:$C, "SALIDA") +
 SUMIFS(martes!$D:$D, martes!$A:$A, $A46, martes!$C:$C, "SALIDA") +
 SUMIFS(miercoles!$D:$D, miercoles!$A:$A, $A46, miercoles!$C:$C, "SALIDA") +
 SUMIFS(jueves!$D:$D, jueves!$A:$A, $A46, jueves!$C:$C, "SALIDA") +
 SUMIFS(viernes!$D:$D, viernes!$A:$A, $A46, viernes!$C:$C, "SALIDA") +
 SUMIFS(sabado!$D:$D, sabado!$A:$A, $A46, sabado!$C:$C, "SALIDA")</f>
        <v>0</v>
      </c>
      <c r="F46">
        <f t="shared" si="3"/>
        <v>0</v>
      </c>
      <c r="G46">
        <f>IFERROR(VLOOKUP(A46, sabado!A:I, 9, 0),
 IFERROR(VLOOKUP(A46, viernes!A:I, 9, 0),
 IFERROR(VLOOKUP(A46, jueves!A:I, 9, 0),
 IFERROR(VLOOKUP(A46, miercoles!A:I, 9, 0),
 IFERROR(VLOOKUP(A46, martes!A:I, 9, 0),
 IFERROR(VLOOKUP(A46, lunes!A:I, 9, 0),
 B46))))))</f>
        <v>0</v>
      </c>
      <c r="H46">
        <f>VLOOKUP(A46, Configuracion!A:C, 3, FALSE)</f>
        <v>600</v>
      </c>
      <c r="I46">
        <f t="shared" si="4"/>
        <v>0</v>
      </c>
      <c r="J46">
        <f>SUMIFS(lunes!$F:$F, lunes!$A:$A, $A46, lunes!$C:$C, "VENTA") +
 SUMIFS(martes!$F:$F, martes!$A:$A, $A46, martes!$C:$C, "VENTA") +
 SUMIFS(miercoles!$F:$F, miercoles!$A:$A, $A46, miercoles!$C:$C, "VENTA") +
 SUMIFS(jueves!$F:$F, jueves!$A:$A, $A46, jueves!$C:$C, "VENTA") +
 SUMIFS(viernes!$F:$F, viernes!$A:$A, $A46, viernes!$C:$C, "VENTA") +
 SUMIFS(sabado!$F:$F, sabado!$A:$A, $A46, sabado!$C:$C, "VENTA")</f>
        <v>0</v>
      </c>
      <c r="K46">
        <f t="shared" si="5"/>
        <v>0</v>
      </c>
    </row>
    <row r="47" spans="1:11" x14ac:dyDescent="0.3">
      <c r="A47" s="1" t="str">
        <f>Configuracion!A46</f>
        <v>EXHIBIDOR MILEXUS 390 L 14PIES</v>
      </c>
      <c r="B47">
        <f>VLOOKUP(A47, Configuracion!A:B, 2, FALSE)</f>
        <v>0</v>
      </c>
      <c r="C47">
        <f>SUMIFS(lunes!D:D, lunes!A:A, A47, lunes!C:C, "VENTA") +
 SUMIFS(martes!D:D, martes!A:A, A47, martes!C:C, "VENTA") +
 SUMIFS(miercoles!D:D, miercoles!A:A, A47, miercoles!C:C, "VENTA") +
 SUMIFS(jueves!D:D, jueves!A:A, A47, jueves!C:C, "VENTA") +
 SUMIFS(viernes!D:D, viernes!A:A, A47, viernes!C:C, "VENTA") +
 SUMIFS(sabado!D:D, sabado!A:A, A47, sabado!C:C, "VENTA")</f>
        <v>0</v>
      </c>
      <c r="D47">
        <f>SUMIFS(lunes!$D:$D, lunes!$A:$A, $A47, lunes!$C:$C, "ENTRADA") +
 SUMIFS(martes!$D:$D, martes!$A:$A, $A47, martes!$C:$C, "ENTRADA") +
 SUMIFS(miercoles!$D:$D, miercoles!$A:$A, $A47, miercoles!$C:$C, "ENTRADA") +
 SUMIFS(jueves!$D:$D, jueves!$A:$A, $A47, jueves!$C:$C, "ENTRADA") +
 SUMIFS(viernes!$D:$D, viernes!$A:$A, $A47, viernes!$C:$C, "ENTRADA") +
 SUMIFS(sabado!$D:$D, sabado!$A:$A, $A47, sabado!$C:$C, "ENTRADA")</f>
        <v>0</v>
      </c>
      <c r="E47">
        <f>SUMIFS(lunes!$D:$D, lunes!$A:$A, $A47, lunes!$C:$C, "SALIDA") +
 SUMIFS(martes!$D:$D, martes!$A:$A, $A47, martes!$C:$C, "SALIDA") +
 SUMIFS(miercoles!$D:$D, miercoles!$A:$A, $A47, miercoles!$C:$C, "SALIDA") +
 SUMIFS(jueves!$D:$D, jueves!$A:$A, $A47, jueves!$C:$C, "SALIDA") +
 SUMIFS(viernes!$D:$D, viernes!$A:$A, $A47, viernes!$C:$C, "SALIDA") +
 SUMIFS(sabado!$D:$D, sabado!$A:$A, $A47, sabado!$C:$C, "SALIDA")</f>
        <v>0</v>
      </c>
      <c r="F47">
        <f t="shared" si="3"/>
        <v>0</v>
      </c>
      <c r="G47">
        <f>IFERROR(VLOOKUP(A47, sabado!A:I, 9, 0),
 IFERROR(VLOOKUP(A47, viernes!A:I, 9, 0),
 IFERROR(VLOOKUP(A47, jueves!A:I, 9, 0),
 IFERROR(VLOOKUP(A47, miercoles!A:I, 9, 0),
 IFERROR(VLOOKUP(A47, martes!A:I, 9, 0),
 IFERROR(VLOOKUP(A47, lunes!A:I, 9, 0),
 B47))))))</f>
        <v>0</v>
      </c>
      <c r="H47">
        <f>VLOOKUP(A47, Configuracion!A:C, 3, FALSE)</f>
        <v>630</v>
      </c>
      <c r="I47">
        <f t="shared" si="4"/>
        <v>0</v>
      </c>
      <c r="J47">
        <f>SUMIFS(lunes!$F:$F, lunes!$A:$A, $A47, lunes!$C:$C, "VENTA") +
 SUMIFS(martes!$F:$F, martes!$A:$A, $A47, martes!$C:$C, "VENTA") +
 SUMIFS(miercoles!$F:$F, miercoles!$A:$A, $A47, miercoles!$C:$C, "VENTA") +
 SUMIFS(jueves!$F:$F, jueves!$A:$A, $A47, jueves!$C:$C, "VENTA") +
 SUMIFS(viernes!$F:$F, viernes!$A:$A, $A47, viernes!$C:$C, "VENTA") +
 SUMIFS(sabado!$F:$F, sabado!$A:$A, $A47, sabado!$C:$C, "VENTA")</f>
        <v>0</v>
      </c>
      <c r="K47">
        <f t="shared" si="5"/>
        <v>0</v>
      </c>
    </row>
    <row r="48" spans="1:11" x14ac:dyDescent="0.3">
      <c r="A48" s="1" t="str">
        <f>Configuracion!A47</f>
        <v>EXHIBIDOR DOBLE MILEXUS 560 LITROS</v>
      </c>
      <c r="B48">
        <f>VLOOKUP(A48, Configuracion!A:B, 2, FALSE)</f>
        <v>0</v>
      </c>
      <c r="C48">
        <f>SUMIFS(lunes!D:D, lunes!A:A, A48, lunes!C:C, "VENTA") +
 SUMIFS(martes!D:D, martes!A:A, A48, martes!C:C, "VENTA") +
 SUMIFS(miercoles!D:D, miercoles!A:A, A48, miercoles!C:C, "VENTA") +
 SUMIFS(jueves!D:D, jueves!A:A, A48, jueves!C:C, "VENTA") +
 SUMIFS(viernes!D:D, viernes!A:A, A48, viernes!C:C, "VENTA") +
 SUMIFS(sabado!D:D, sabado!A:A, A48, sabado!C:C, "VENTA")</f>
        <v>0</v>
      </c>
      <c r="D48">
        <f>SUMIFS(lunes!$D:$D, lunes!$A:$A, $A48, lunes!$C:$C, "ENTRADA") +
 SUMIFS(martes!$D:$D, martes!$A:$A, $A48, martes!$C:$C, "ENTRADA") +
 SUMIFS(miercoles!$D:$D, miercoles!$A:$A, $A48, miercoles!$C:$C, "ENTRADA") +
 SUMIFS(jueves!$D:$D, jueves!$A:$A, $A48, jueves!$C:$C, "ENTRADA") +
 SUMIFS(viernes!$D:$D, viernes!$A:$A, $A48, viernes!$C:$C, "ENTRADA") +
 SUMIFS(sabado!$D:$D, sabado!$A:$A, $A48, sabado!$C:$C, "ENTRADA")</f>
        <v>0</v>
      </c>
      <c r="E48">
        <f>SUMIFS(lunes!$D:$D, lunes!$A:$A, $A48, lunes!$C:$C, "SALIDA") +
 SUMIFS(martes!$D:$D, martes!$A:$A, $A48, martes!$C:$C, "SALIDA") +
 SUMIFS(miercoles!$D:$D, miercoles!$A:$A, $A48, miercoles!$C:$C, "SALIDA") +
 SUMIFS(jueves!$D:$D, jueves!$A:$A, $A48, jueves!$C:$C, "SALIDA") +
 SUMIFS(viernes!$D:$D, viernes!$A:$A, $A48, viernes!$C:$C, "SALIDA") +
 SUMIFS(sabado!$D:$D, sabado!$A:$A, $A48, sabado!$C:$C, "SALIDA")</f>
        <v>0</v>
      </c>
      <c r="F48">
        <f t="shared" si="3"/>
        <v>0</v>
      </c>
      <c r="G48">
        <f>IFERROR(VLOOKUP(A48, sabado!A:I, 9, 0),
 IFERROR(VLOOKUP(A48, viernes!A:I, 9, 0),
 IFERROR(VLOOKUP(A48, jueves!A:I, 9, 0),
 IFERROR(VLOOKUP(A48, miercoles!A:I, 9, 0),
 IFERROR(VLOOKUP(A48, martes!A:I, 9, 0),
 IFERROR(VLOOKUP(A48, lunes!A:I, 9, 0),
 B48))))))</f>
        <v>0</v>
      </c>
      <c r="H48">
        <f>VLOOKUP(A48, Configuracion!A:C, 3, FALSE)</f>
        <v>1120</v>
      </c>
      <c r="I48">
        <f t="shared" si="4"/>
        <v>0</v>
      </c>
      <c r="J48">
        <f>SUMIFS(lunes!$F:$F, lunes!$A:$A, $A48, lunes!$C:$C, "VENTA") +
 SUMIFS(martes!$F:$F, martes!$A:$A, $A48, martes!$C:$C, "VENTA") +
 SUMIFS(miercoles!$F:$F, miercoles!$A:$A, $A48, miercoles!$C:$C, "VENTA") +
 SUMIFS(jueves!$F:$F, jueves!$A:$A, $A48, jueves!$C:$C, "VENTA") +
 SUMIFS(viernes!$F:$F, viernes!$A:$A, $A48, viernes!$C:$C, "VENTA") +
 SUMIFS(sabado!$F:$F, sabado!$A:$A, $A48, sabado!$C:$C, "VENTA")</f>
        <v>0</v>
      </c>
      <c r="K48">
        <f t="shared" si="5"/>
        <v>0</v>
      </c>
    </row>
    <row r="49" spans="1:11" x14ac:dyDescent="0.3">
      <c r="A49" s="1" t="str">
        <f>Configuracion!A48</f>
        <v>EQUIPO DE MUSICA LG</v>
      </c>
      <c r="B49">
        <f>VLOOKUP(A49, Configuracion!A:B, 2, FALSE)</f>
        <v>2</v>
      </c>
      <c r="C49">
        <f>SUMIFS(lunes!D:D, lunes!A:A, A49, lunes!C:C, "VENTA") +
 SUMIFS(martes!D:D, martes!A:A, A49, martes!C:C, "VENTA") +
 SUMIFS(miercoles!D:D, miercoles!A:A, A49, miercoles!C:C, "VENTA") +
 SUMIFS(jueves!D:D, jueves!A:A, A49, jueves!C:C, "VENTA") +
 SUMIFS(viernes!D:D, viernes!A:A, A49, viernes!C:C, "VENTA") +
 SUMIFS(sabado!D:D, sabado!A:A, A49, sabado!C:C, "VENTA")</f>
        <v>0</v>
      </c>
      <c r="D49">
        <f>SUMIFS(lunes!$D:$D, lunes!$A:$A, $A49, lunes!$C:$C, "ENTRADA") +
 SUMIFS(martes!$D:$D, martes!$A:$A, $A49, martes!$C:$C, "ENTRADA") +
 SUMIFS(miercoles!$D:$D, miercoles!$A:$A, $A49, miercoles!$C:$C, "ENTRADA") +
 SUMIFS(jueves!$D:$D, jueves!$A:$A, $A49, jueves!$C:$C, "ENTRADA") +
 SUMIFS(viernes!$D:$D, viernes!$A:$A, $A49, viernes!$C:$C, "ENTRADA") +
 SUMIFS(sabado!$D:$D, sabado!$A:$A, $A49, sabado!$C:$C, "ENTRADA")</f>
        <v>0</v>
      </c>
      <c r="E49">
        <f>SUMIFS(lunes!$D:$D, lunes!$A:$A, $A49, lunes!$C:$C, "SALIDA") +
 SUMIFS(martes!$D:$D, martes!$A:$A, $A49, martes!$C:$C, "SALIDA") +
 SUMIFS(miercoles!$D:$D, miercoles!$A:$A, $A49, miercoles!$C:$C, "SALIDA") +
 SUMIFS(jueves!$D:$D, jueves!$A:$A, $A49, jueves!$C:$C, "SALIDA") +
 SUMIFS(viernes!$D:$D, viernes!$A:$A, $A49, viernes!$C:$C, "SALIDA") +
 SUMIFS(sabado!$D:$D, sabado!$A:$A, $A49, sabado!$C:$C, "SALIDA")</f>
        <v>0</v>
      </c>
      <c r="F49">
        <f t="shared" si="3"/>
        <v>2</v>
      </c>
      <c r="G49">
        <f>IFERROR(VLOOKUP(A49, sabado!A:I, 9, 0),
 IFERROR(VLOOKUP(A49, viernes!A:I, 9, 0),
 IFERROR(VLOOKUP(A49, jueves!A:I, 9, 0),
 IFERROR(VLOOKUP(A49, miercoles!A:I, 9, 0),
 IFERROR(VLOOKUP(A49, martes!A:I, 9, 0),
 IFERROR(VLOOKUP(A49, lunes!A:I, 9, 0),
 B49))))))</f>
        <v>2</v>
      </c>
      <c r="H49">
        <f>VLOOKUP(A49, Configuracion!A:C, 3, FALSE)</f>
        <v>180</v>
      </c>
      <c r="I49">
        <f t="shared" si="4"/>
        <v>0</v>
      </c>
      <c r="J49">
        <f>SUMIFS(lunes!$F:$F, lunes!$A:$A, $A49, lunes!$C:$C, "VENTA") +
 SUMIFS(martes!$F:$F, martes!$A:$A, $A49, martes!$C:$C, "VENTA") +
 SUMIFS(miercoles!$F:$F, miercoles!$A:$A, $A49, miercoles!$C:$C, "VENTA") +
 SUMIFS(jueves!$F:$F, jueves!$A:$A, $A49, jueves!$C:$C, "VENTA") +
 SUMIFS(viernes!$F:$F, viernes!$A:$A, $A49, viernes!$C:$C, "VENTA") +
 SUMIFS(sabado!$F:$F, sabado!$A:$A, $A49, sabado!$C:$C, "VENTA")</f>
        <v>0</v>
      </c>
      <c r="K49">
        <f t="shared" si="5"/>
        <v>0</v>
      </c>
    </row>
    <row r="50" spans="1:11" x14ac:dyDescent="0.3">
      <c r="A50" s="1" t="str">
        <f>Configuracion!A49</f>
        <v>FOGON DE PETROLEO</v>
      </c>
      <c r="B50">
        <f>VLOOKUP(A50, Configuracion!A:B, 2, FALSE)</f>
        <v>5</v>
      </c>
      <c r="C50">
        <f>SUMIFS(lunes!D:D, lunes!A:A, A50, lunes!C:C, "VENTA") +
 SUMIFS(martes!D:D, martes!A:A, A50, martes!C:C, "VENTA") +
 SUMIFS(miercoles!D:D, miercoles!A:A, A50, miercoles!C:C, "VENTA") +
 SUMIFS(jueves!D:D, jueves!A:A, A50, jueves!C:C, "VENTA") +
 SUMIFS(viernes!D:D, viernes!A:A, A50, viernes!C:C, "VENTA") +
 SUMIFS(sabado!D:D, sabado!A:A, A50, sabado!C:C, "VENTA")</f>
        <v>0</v>
      </c>
      <c r="D50">
        <f>SUMIFS(lunes!$D:$D, lunes!$A:$A, $A50, lunes!$C:$C, "ENTRADA") +
 SUMIFS(martes!$D:$D, martes!$A:$A, $A50, martes!$C:$C, "ENTRADA") +
 SUMIFS(miercoles!$D:$D, miercoles!$A:$A, $A50, miercoles!$C:$C, "ENTRADA") +
 SUMIFS(jueves!$D:$D, jueves!$A:$A, $A50, jueves!$C:$C, "ENTRADA") +
 SUMIFS(viernes!$D:$D, viernes!$A:$A, $A50, viernes!$C:$C, "ENTRADA") +
 SUMIFS(sabado!$D:$D, sabado!$A:$A, $A50, sabado!$C:$C, "ENTRADA")</f>
        <v>0</v>
      </c>
      <c r="E50">
        <f>SUMIFS(lunes!$D:$D, lunes!$A:$A, $A50, lunes!$C:$C, "SALIDA") +
 SUMIFS(martes!$D:$D, martes!$A:$A, $A50, martes!$C:$C, "SALIDA") +
 SUMIFS(miercoles!$D:$D, miercoles!$A:$A, $A50, miercoles!$C:$C, "SALIDA") +
 SUMIFS(jueves!$D:$D, jueves!$A:$A, $A50, jueves!$C:$C, "SALIDA") +
 SUMIFS(viernes!$D:$D, viernes!$A:$A, $A50, viernes!$C:$C, "SALIDA") +
 SUMIFS(sabado!$D:$D, sabado!$A:$A, $A50, sabado!$C:$C, "SALIDA")</f>
        <v>0</v>
      </c>
      <c r="F50">
        <f t="shared" si="3"/>
        <v>5</v>
      </c>
      <c r="G50">
        <f>IFERROR(VLOOKUP(A50, sabado!A:I, 9, 0),
 IFERROR(VLOOKUP(A50, viernes!A:I, 9, 0),
 IFERROR(VLOOKUP(A50, jueves!A:I, 9, 0),
 IFERROR(VLOOKUP(A50, miercoles!A:I, 9, 0),
 IFERROR(VLOOKUP(A50, martes!A:I, 9, 0),
 IFERROR(VLOOKUP(A50, lunes!A:I, 9, 0),
 B50))))))</f>
        <v>5</v>
      </c>
      <c r="H50">
        <f>VLOOKUP(A50, Configuracion!A:C, 3, FALSE)</f>
        <v>35</v>
      </c>
      <c r="I50">
        <f t="shared" si="4"/>
        <v>0</v>
      </c>
      <c r="J50">
        <f>SUMIFS(lunes!$F:$F, lunes!$A:$A, $A50, lunes!$C:$C, "VENTA") +
 SUMIFS(martes!$F:$F, martes!$A:$A, $A50, martes!$C:$C, "VENTA") +
 SUMIFS(miercoles!$F:$F, miercoles!$A:$A, $A50, miercoles!$C:$C, "VENTA") +
 SUMIFS(jueves!$F:$F, jueves!$A:$A, $A50, jueves!$C:$C, "VENTA") +
 SUMIFS(viernes!$F:$F, viernes!$A:$A, $A50, viernes!$C:$C, "VENTA") +
 SUMIFS(sabado!$F:$F, sabado!$A:$A, $A50, sabado!$C:$C, "VENTA")</f>
        <v>0</v>
      </c>
      <c r="K50">
        <f t="shared" si="5"/>
        <v>0</v>
      </c>
    </row>
    <row r="51" spans="1:11" x14ac:dyDescent="0.3">
      <c r="A51" s="1" t="str">
        <f>Configuracion!A50</f>
        <v>FOGON DE GAS DE CRISTAL</v>
      </c>
      <c r="B51">
        <f>VLOOKUP(A51, Configuracion!A:B, 2, FALSE)</f>
        <v>0</v>
      </c>
      <c r="C51">
        <f>SUMIFS(lunes!D:D, lunes!A:A, A51, lunes!C:C, "VENTA") +
 SUMIFS(martes!D:D, martes!A:A, A51, martes!C:C, "VENTA") +
 SUMIFS(miercoles!D:D, miercoles!A:A, A51, miercoles!C:C, "VENTA") +
 SUMIFS(jueves!D:D, jueves!A:A, A51, jueves!C:C, "VENTA") +
 SUMIFS(viernes!D:D, viernes!A:A, A51, viernes!C:C, "VENTA") +
 SUMIFS(sabado!D:D, sabado!A:A, A51, sabado!C:C, "VENTA")</f>
        <v>0</v>
      </c>
      <c r="D51">
        <f>SUMIFS(lunes!$D:$D, lunes!$A:$A, $A51, lunes!$C:$C, "ENTRADA") +
 SUMIFS(martes!$D:$D, martes!$A:$A, $A51, martes!$C:$C, "ENTRADA") +
 SUMIFS(miercoles!$D:$D, miercoles!$A:$A, $A51, miercoles!$C:$C, "ENTRADA") +
 SUMIFS(jueves!$D:$D, jueves!$A:$A, $A51, jueves!$C:$C, "ENTRADA") +
 SUMIFS(viernes!$D:$D, viernes!$A:$A, $A51, viernes!$C:$C, "ENTRADA") +
 SUMIFS(sabado!$D:$D, sabado!$A:$A, $A51, sabado!$C:$C, "ENTRADA")</f>
        <v>0</v>
      </c>
      <c r="E51">
        <f>SUMIFS(lunes!$D:$D, lunes!$A:$A, $A51, lunes!$C:$C, "SALIDA") +
 SUMIFS(martes!$D:$D, martes!$A:$A, $A51, martes!$C:$C, "SALIDA") +
 SUMIFS(miercoles!$D:$D, miercoles!$A:$A, $A51, miercoles!$C:$C, "SALIDA") +
 SUMIFS(jueves!$D:$D, jueves!$A:$A, $A51, jueves!$C:$C, "SALIDA") +
 SUMIFS(viernes!$D:$D, viernes!$A:$A, $A51, viernes!$C:$C, "SALIDA") +
 SUMIFS(sabado!$D:$D, sabado!$A:$A, $A51, sabado!$C:$C, "SALIDA")</f>
        <v>0</v>
      </c>
      <c r="F51">
        <f t="shared" si="3"/>
        <v>0</v>
      </c>
      <c r="G51">
        <f>IFERROR(VLOOKUP(A51, sabado!A:I, 9, 0),
 IFERROR(VLOOKUP(A51, viernes!A:I, 9, 0),
 IFERROR(VLOOKUP(A51, jueves!A:I, 9, 0),
 IFERROR(VLOOKUP(A51, miercoles!A:I, 9, 0),
 IFERROR(VLOOKUP(A51, martes!A:I, 9, 0),
 IFERROR(VLOOKUP(A51, lunes!A:I, 9, 0),
 B51))))))</f>
        <v>0</v>
      </c>
      <c r="H51">
        <f>VLOOKUP(A51, Configuracion!A:C, 3, FALSE)</f>
        <v>45</v>
      </c>
      <c r="I51">
        <f t="shared" si="4"/>
        <v>0</v>
      </c>
      <c r="J51">
        <f>SUMIFS(lunes!$F:$F, lunes!$A:$A, $A51, lunes!$C:$C, "VENTA") +
 SUMIFS(martes!$F:$F, martes!$A:$A, $A51, martes!$C:$C, "VENTA") +
 SUMIFS(miercoles!$F:$F, miercoles!$A:$A, $A51, miercoles!$C:$C, "VENTA") +
 SUMIFS(jueves!$F:$F, jueves!$A:$A, $A51, jueves!$C:$C, "VENTA") +
 SUMIFS(viernes!$F:$F, viernes!$A:$A, $A51, viernes!$C:$C, "VENTA") +
 SUMIFS(sabado!$F:$F, sabado!$A:$A, $A51, sabado!$C:$C, "VENTA")</f>
        <v>0</v>
      </c>
      <c r="K51">
        <f t="shared" si="5"/>
        <v>0</v>
      </c>
    </row>
    <row r="52" spans="1:11" x14ac:dyDescent="0.3">
      <c r="A52" s="1" t="str">
        <f>Configuracion!A51</f>
        <v>FOGON DE GAS SENCILLO</v>
      </c>
      <c r="B52">
        <f>VLOOKUP(A52, Configuracion!A:B, 2, FALSE)</f>
        <v>0</v>
      </c>
      <c r="C52">
        <f>SUMIFS(lunes!D:D, lunes!A:A, A52, lunes!C:C, "VENTA") +
 SUMIFS(martes!D:D, martes!A:A, A52, martes!C:C, "VENTA") +
 SUMIFS(miercoles!D:D, miercoles!A:A, A52, miercoles!C:C, "VENTA") +
 SUMIFS(jueves!D:D, jueves!A:A, A52, jueves!C:C, "VENTA") +
 SUMIFS(viernes!D:D, viernes!A:A, A52, viernes!C:C, "VENTA") +
 SUMIFS(sabado!D:D, sabado!A:A, A52, sabado!C:C, "VENTA")</f>
        <v>0</v>
      </c>
      <c r="D52">
        <f>SUMIFS(lunes!$D:$D, lunes!$A:$A, $A52, lunes!$C:$C, "ENTRADA") +
 SUMIFS(martes!$D:$D, martes!$A:$A, $A52, martes!$C:$C, "ENTRADA") +
 SUMIFS(miercoles!$D:$D, miercoles!$A:$A, $A52, miercoles!$C:$C, "ENTRADA") +
 SUMIFS(jueves!$D:$D, jueves!$A:$A, $A52, jueves!$C:$C, "ENTRADA") +
 SUMIFS(viernes!$D:$D, viernes!$A:$A, $A52, viernes!$C:$C, "ENTRADA") +
 SUMIFS(sabado!$D:$D, sabado!$A:$A, $A52, sabado!$C:$C, "ENTRADA")</f>
        <v>0</v>
      </c>
      <c r="E52">
        <f>SUMIFS(lunes!$D:$D, lunes!$A:$A, $A52, lunes!$C:$C, "SALIDA") +
 SUMIFS(martes!$D:$D, martes!$A:$A, $A52, martes!$C:$C, "SALIDA") +
 SUMIFS(miercoles!$D:$D, miercoles!$A:$A, $A52, miercoles!$C:$C, "SALIDA") +
 SUMIFS(jueves!$D:$D, jueves!$A:$A, $A52, jueves!$C:$C, "SALIDA") +
 SUMIFS(viernes!$D:$D, viernes!$A:$A, $A52, viernes!$C:$C, "SALIDA") +
 SUMIFS(sabado!$D:$D, sabado!$A:$A, $A52, sabado!$C:$C, "SALIDA")</f>
        <v>0</v>
      </c>
      <c r="F52">
        <f t="shared" si="3"/>
        <v>0</v>
      </c>
      <c r="G52">
        <f>IFERROR(VLOOKUP(A52, sabado!A:I, 9, 0),
 IFERROR(VLOOKUP(A52, viernes!A:I, 9, 0),
 IFERROR(VLOOKUP(A52, jueves!A:I, 9, 0),
 IFERROR(VLOOKUP(A52, miercoles!A:I, 9, 0),
 IFERROR(VLOOKUP(A52, martes!A:I, 9, 0),
 IFERROR(VLOOKUP(A52, lunes!A:I, 9, 0),
 B52))))))</f>
        <v>0</v>
      </c>
      <c r="H52">
        <f>VLOOKUP(A52, Configuracion!A:C, 3, FALSE)</f>
        <v>20</v>
      </c>
      <c r="I52">
        <f t="shared" si="4"/>
        <v>0</v>
      </c>
      <c r="J52">
        <f>SUMIFS(lunes!$F:$F, lunes!$A:$A, $A52, lunes!$C:$C, "VENTA") +
 SUMIFS(martes!$F:$F, martes!$A:$A, $A52, martes!$C:$C, "VENTA") +
 SUMIFS(miercoles!$F:$F, miercoles!$A:$A, $A52, miercoles!$C:$C, "VENTA") +
 SUMIFS(jueves!$F:$F, jueves!$A:$A, $A52, jueves!$C:$C, "VENTA") +
 SUMIFS(viernes!$F:$F, viernes!$A:$A, $A52, viernes!$C:$C, "VENTA") +
 SUMIFS(sabado!$F:$F, sabado!$A:$A, $A52, sabado!$C:$C, "VENTA")</f>
        <v>0</v>
      </c>
      <c r="K52">
        <f t="shared" si="5"/>
        <v>0</v>
      </c>
    </row>
    <row r="53" spans="1:11" x14ac:dyDescent="0.3">
      <c r="A53" s="1" t="str">
        <f>Configuracion!A52</f>
        <v>FOGON DE GAS 2 QUEMADORES</v>
      </c>
      <c r="B53">
        <f>VLOOKUP(A53, Configuracion!A:B, 2, FALSE)</f>
        <v>0</v>
      </c>
      <c r="C53">
        <f>SUMIFS(lunes!D:D, lunes!A:A, A53, lunes!C:C, "VENTA") +
 SUMIFS(martes!D:D, martes!A:A, A53, martes!C:C, "VENTA") +
 SUMIFS(miercoles!D:D, miercoles!A:A, A53, miercoles!C:C, "VENTA") +
 SUMIFS(jueves!D:D, jueves!A:A, A53, jueves!C:C, "VENTA") +
 SUMIFS(viernes!D:D, viernes!A:A, A53, viernes!C:C, "VENTA") +
 SUMIFS(sabado!D:D, sabado!A:A, A53, sabado!C:C, "VENTA")</f>
        <v>0</v>
      </c>
      <c r="D53">
        <f>SUMIFS(lunes!$D:$D, lunes!$A:$A, $A53, lunes!$C:$C, "ENTRADA") +
 SUMIFS(martes!$D:$D, martes!$A:$A, $A53, martes!$C:$C, "ENTRADA") +
 SUMIFS(miercoles!$D:$D, miercoles!$A:$A, $A53, miercoles!$C:$C, "ENTRADA") +
 SUMIFS(jueves!$D:$D, jueves!$A:$A, $A53, jueves!$C:$C, "ENTRADA") +
 SUMIFS(viernes!$D:$D, viernes!$A:$A, $A53, viernes!$C:$C, "ENTRADA") +
 SUMIFS(sabado!$D:$D, sabado!$A:$A, $A53, sabado!$C:$C, "ENTRADA")</f>
        <v>0</v>
      </c>
      <c r="E53">
        <f>SUMIFS(lunes!$D:$D, lunes!$A:$A, $A53, lunes!$C:$C, "SALIDA") +
 SUMIFS(martes!$D:$D, martes!$A:$A, $A53, martes!$C:$C, "SALIDA") +
 SUMIFS(miercoles!$D:$D, miercoles!$A:$A, $A53, miercoles!$C:$C, "SALIDA") +
 SUMIFS(jueves!$D:$D, jueves!$A:$A, $A53, jueves!$C:$C, "SALIDA") +
 SUMIFS(viernes!$D:$D, viernes!$A:$A, $A53, viernes!$C:$C, "SALIDA") +
 SUMIFS(sabado!$D:$D, sabado!$A:$A, $A53, sabado!$C:$C, "SALIDA")</f>
        <v>0</v>
      </c>
      <c r="F53">
        <f t="shared" si="3"/>
        <v>0</v>
      </c>
      <c r="G53">
        <f>IFERROR(VLOOKUP(A53, sabado!A:I, 9, 0),
 IFERROR(VLOOKUP(A53, viernes!A:I, 9, 0),
 IFERROR(VLOOKUP(A53, jueves!A:I, 9, 0),
 IFERROR(VLOOKUP(A53, miercoles!A:I, 9, 0),
 IFERROR(VLOOKUP(A53, martes!A:I, 9, 0),
 IFERROR(VLOOKUP(A53, lunes!A:I, 9, 0),
 B53))))))</f>
        <v>0</v>
      </c>
      <c r="H53">
        <f>VLOOKUP(A53, Configuracion!A:C, 3, FALSE)</f>
        <v>40</v>
      </c>
      <c r="I53">
        <f t="shared" si="4"/>
        <v>0</v>
      </c>
      <c r="J53">
        <f>SUMIFS(lunes!$F:$F, lunes!$A:$A, $A53, lunes!$C:$C, "VENTA") +
 SUMIFS(martes!$F:$F, martes!$A:$A, $A53, martes!$C:$C, "VENTA") +
 SUMIFS(miercoles!$F:$F, miercoles!$A:$A, $A53, miercoles!$C:$C, "VENTA") +
 SUMIFS(jueves!$F:$F, jueves!$A:$A, $A53, jueves!$C:$C, "VENTA") +
 SUMIFS(viernes!$F:$F, viernes!$A:$A, $A53, viernes!$C:$C, "VENTA") +
 SUMIFS(sabado!$F:$F, sabado!$A:$A, $A53, sabado!$C:$C, "VENTA")</f>
        <v>0</v>
      </c>
      <c r="K53">
        <f t="shared" si="5"/>
        <v>0</v>
      </c>
    </row>
    <row r="54" spans="1:11" x14ac:dyDescent="0.3">
      <c r="A54" s="1" t="str">
        <f>Configuracion!A53</f>
        <v>FOGON DE GAS 3 QUEMADORES</v>
      </c>
      <c r="B54">
        <f>VLOOKUP(A54, Configuracion!A:B, 2, FALSE)</f>
        <v>10</v>
      </c>
      <c r="C54">
        <f>SUMIFS(lunes!D:D, lunes!A:A, A54, lunes!C:C, "VENTA") +
 SUMIFS(martes!D:D, martes!A:A, A54, martes!C:C, "VENTA") +
 SUMIFS(miercoles!D:D, miercoles!A:A, A54, miercoles!C:C, "VENTA") +
 SUMIFS(jueves!D:D, jueves!A:A, A54, jueves!C:C, "VENTA") +
 SUMIFS(viernes!D:D, viernes!A:A, A54, viernes!C:C, "VENTA") +
 SUMIFS(sabado!D:D, sabado!A:A, A54, sabado!C:C, "VENTA")</f>
        <v>0</v>
      </c>
      <c r="D54">
        <f>SUMIFS(lunes!$D:$D, lunes!$A:$A, $A54, lunes!$C:$C, "ENTRADA") +
 SUMIFS(martes!$D:$D, martes!$A:$A, $A54, martes!$C:$C, "ENTRADA") +
 SUMIFS(miercoles!$D:$D, miercoles!$A:$A, $A54, miercoles!$C:$C, "ENTRADA") +
 SUMIFS(jueves!$D:$D, jueves!$A:$A, $A54, jueves!$C:$C, "ENTRADA") +
 SUMIFS(viernes!$D:$D, viernes!$A:$A, $A54, viernes!$C:$C, "ENTRADA") +
 SUMIFS(sabado!$D:$D, sabado!$A:$A, $A54, sabado!$C:$C, "ENTRADA")</f>
        <v>0</v>
      </c>
      <c r="E54">
        <f>SUMIFS(lunes!$D:$D, lunes!$A:$A, $A54, lunes!$C:$C, "SALIDA") +
 SUMIFS(martes!$D:$D, martes!$A:$A, $A54, martes!$C:$C, "SALIDA") +
 SUMIFS(miercoles!$D:$D, miercoles!$A:$A, $A54, miercoles!$C:$C, "SALIDA") +
 SUMIFS(jueves!$D:$D, jueves!$A:$A, $A54, jueves!$C:$C, "SALIDA") +
 SUMIFS(viernes!$D:$D, viernes!$A:$A, $A54, viernes!$C:$C, "SALIDA") +
 SUMIFS(sabado!$D:$D, sabado!$A:$A, $A54, sabado!$C:$C, "SALIDA")</f>
        <v>0</v>
      </c>
      <c r="F54">
        <f t="shared" si="3"/>
        <v>10</v>
      </c>
      <c r="G54">
        <f>IFERROR(VLOOKUP(A54, sabado!A:I, 9, 0),
 IFERROR(VLOOKUP(A54, viernes!A:I, 9, 0),
 IFERROR(VLOOKUP(A54, jueves!A:I, 9, 0),
 IFERROR(VLOOKUP(A54, miercoles!A:I, 9, 0),
 IFERROR(VLOOKUP(A54, martes!A:I, 9, 0),
 IFERROR(VLOOKUP(A54, lunes!A:I, 9, 0),
 B54))))))</f>
        <v>10</v>
      </c>
      <c r="H54">
        <f>VLOOKUP(A54, Configuracion!A:C, 3, FALSE)</f>
        <v>35</v>
      </c>
      <c r="I54">
        <f t="shared" si="4"/>
        <v>0</v>
      </c>
      <c r="J54">
        <f>SUMIFS(lunes!$F:$F, lunes!$A:$A, $A54, lunes!$C:$C, "VENTA") +
 SUMIFS(martes!$F:$F, martes!$A:$A, $A54, martes!$C:$C, "VENTA") +
 SUMIFS(miercoles!$F:$F, miercoles!$A:$A, $A54, miercoles!$C:$C, "VENTA") +
 SUMIFS(jueves!$F:$F, jueves!$A:$A, $A54, jueves!$C:$C, "VENTA") +
 SUMIFS(viernes!$F:$F, viernes!$A:$A, $A54, viernes!$C:$C, "VENTA") +
 SUMIFS(sabado!$F:$F, sabado!$A:$A, $A54, sabado!$C:$C, "VENTA")</f>
        <v>0</v>
      </c>
      <c r="K54">
        <f t="shared" si="5"/>
        <v>0</v>
      </c>
    </row>
    <row r="55" spans="1:11" x14ac:dyDescent="0.3">
      <c r="A55" s="1" t="str">
        <f>Configuracion!A54</f>
        <v>FOGON INFRARROJO MILEXUS 1200 W</v>
      </c>
      <c r="B55">
        <f>VLOOKUP(A55, Configuracion!A:B, 2, FALSE)</f>
        <v>3</v>
      </c>
      <c r="C55">
        <f>SUMIFS(lunes!D:D, lunes!A:A, A55, lunes!C:C, "VENTA") +
 SUMIFS(martes!D:D, martes!A:A, A55, martes!C:C, "VENTA") +
 SUMIFS(miercoles!D:D, miercoles!A:A, A55, miercoles!C:C, "VENTA") +
 SUMIFS(jueves!D:D, jueves!A:A, A55, jueves!C:C, "VENTA") +
 SUMIFS(viernes!D:D, viernes!A:A, A55, viernes!C:C, "VENTA") +
 SUMIFS(sabado!D:D, sabado!A:A, A55, sabado!C:C, "VENTA")</f>
        <v>0</v>
      </c>
      <c r="D55">
        <f>SUMIFS(lunes!$D:$D, lunes!$A:$A, $A55, lunes!$C:$C, "ENTRADA") +
 SUMIFS(martes!$D:$D, martes!$A:$A, $A55, martes!$C:$C, "ENTRADA") +
 SUMIFS(miercoles!$D:$D, miercoles!$A:$A, $A55, miercoles!$C:$C, "ENTRADA") +
 SUMIFS(jueves!$D:$D, jueves!$A:$A, $A55, jueves!$C:$C, "ENTRADA") +
 SUMIFS(viernes!$D:$D, viernes!$A:$A, $A55, viernes!$C:$C, "ENTRADA") +
 SUMIFS(sabado!$D:$D, sabado!$A:$A, $A55, sabado!$C:$C, "ENTRADA")</f>
        <v>0</v>
      </c>
      <c r="E55">
        <f>SUMIFS(lunes!$D:$D, lunes!$A:$A, $A55, lunes!$C:$C, "SALIDA") +
 SUMIFS(martes!$D:$D, martes!$A:$A, $A55, martes!$C:$C, "SALIDA") +
 SUMIFS(miercoles!$D:$D, miercoles!$A:$A, $A55, miercoles!$C:$C, "SALIDA") +
 SUMIFS(jueves!$D:$D, jueves!$A:$A, $A55, jueves!$C:$C, "SALIDA") +
 SUMIFS(viernes!$D:$D, viernes!$A:$A, $A55, viernes!$C:$C, "SALIDA") +
 SUMIFS(sabado!$D:$D, sabado!$A:$A, $A55, sabado!$C:$C, "SALIDA")</f>
        <v>0</v>
      </c>
      <c r="F55">
        <f t="shared" si="3"/>
        <v>3</v>
      </c>
      <c r="G55">
        <f>IFERROR(VLOOKUP(A55, sabado!A:I, 9, 0),
 IFERROR(VLOOKUP(A55, viernes!A:I, 9, 0),
 IFERROR(VLOOKUP(A55, jueves!A:I, 9, 0),
 IFERROR(VLOOKUP(A55, miercoles!A:I, 9, 0),
 IFERROR(VLOOKUP(A55, martes!A:I, 9, 0),
 IFERROR(VLOOKUP(A55, lunes!A:I, 9, 0),
 B55))))))</f>
        <v>3</v>
      </c>
      <c r="H55">
        <f>VLOOKUP(A55, Configuracion!A:C, 3, FALSE)</f>
        <v>50</v>
      </c>
      <c r="I55">
        <f t="shared" si="4"/>
        <v>0</v>
      </c>
      <c r="J55">
        <f>SUMIFS(lunes!$F:$F, lunes!$A:$A, $A55, lunes!$C:$C, "VENTA") +
 SUMIFS(martes!$F:$F, martes!$A:$A, $A55, martes!$C:$C, "VENTA") +
 SUMIFS(miercoles!$F:$F, miercoles!$A:$A, $A55, miercoles!$C:$C, "VENTA") +
 SUMIFS(jueves!$F:$F, jueves!$A:$A, $A55, jueves!$C:$C, "VENTA") +
 SUMIFS(viernes!$F:$F, viernes!$A:$A, $A55, viernes!$C:$C, "VENTA") +
 SUMIFS(sabado!$F:$F, sabado!$A:$A, $A55, sabado!$C:$C, "VENTA")</f>
        <v>0</v>
      </c>
      <c r="K55">
        <f t="shared" si="5"/>
        <v>0</v>
      </c>
    </row>
    <row r="56" spans="1:11" x14ac:dyDescent="0.3">
      <c r="A56" s="1" t="str">
        <f>Configuracion!A55</f>
        <v>FOGON INFRARROJO MAF 2000 W</v>
      </c>
      <c r="B56">
        <f>VLOOKUP(A56, Configuracion!A:B, 2, FALSE)</f>
        <v>2</v>
      </c>
      <c r="C56">
        <f>SUMIFS(lunes!D:D, lunes!A:A, A56, lunes!C:C, "VENTA") +
 SUMIFS(martes!D:D, martes!A:A, A56, martes!C:C, "VENTA") +
 SUMIFS(miercoles!D:D, miercoles!A:A, A56, miercoles!C:C, "VENTA") +
 SUMIFS(jueves!D:D, jueves!A:A, A56, jueves!C:C, "VENTA") +
 SUMIFS(viernes!D:D, viernes!A:A, A56, viernes!C:C, "VENTA") +
 SUMIFS(sabado!D:D, sabado!A:A, A56, sabado!C:C, "VENTA")</f>
        <v>0</v>
      </c>
      <c r="D56">
        <f>SUMIFS(lunes!$D:$D, lunes!$A:$A, $A56, lunes!$C:$C, "ENTRADA") +
 SUMIFS(martes!$D:$D, martes!$A:$A, $A56, martes!$C:$C, "ENTRADA") +
 SUMIFS(miercoles!$D:$D, miercoles!$A:$A, $A56, miercoles!$C:$C, "ENTRADA") +
 SUMIFS(jueves!$D:$D, jueves!$A:$A, $A56, jueves!$C:$C, "ENTRADA") +
 SUMIFS(viernes!$D:$D, viernes!$A:$A, $A56, viernes!$C:$C, "ENTRADA") +
 SUMIFS(sabado!$D:$D, sabado!$A:$A, $A56, sabado!$C:$C, "ENTRADA")</f>
        <v>0</v>
      </c>
      <c r="E56">
        <f>SUMIFS(lunes!$D:$D, lunes!$A:$A, $A56, lunes!$C:$C, "SALIDA") +
 SUMIFS(martes!$D:$D, martes!$A:$A, $A56, martes!$C:$C, "SALIDA") +
 SUMIFS(miercoles!$D:$D, miercoles!$A:$A, $A56, miercoles!$C:$C, "SALIDA") +
 SUMIFS(jueves!$D:$D, jueves!$A:$A, $A56, jueves!$C:$C, "SALIDA") +
 SUMIFS(viernes!$D:$D, viernes!$A:$A, $A56, viernes!$C:$C, "SALIDA") +
 SUMIFS(sabado!$D:$D, sabado!$A:$A, $A56, sabado!$C:$C, "SALIDA")</f>
        <v>0</v>
      </c>
      <c r="F56">
        <f t="shared" si="3"/>
        <v>2</v>
      </c>
      <c r="G56">
        <f>IFERROR(VLOOKUP(A56, sabado!A:I, 9, 0),
 IFERROR(VLOOKUP(A56, viernes!A:I, 9, 0),
 IFERROR(VLOOKUP(A56, jueves!A:I, 9, 0),
 IFERROR(VLOOKUP(A56, miercoles!A:I, 9, 0),
 IFERROR(VLOOKUP(A56, martes!A:I, 9, 0),
 IFERROR(VLOOKUP(A56, lunes!A:I, 9, 0),
 B56))))))</f>
        <v>2</v>
      </c>
      <c r="H56">
        <f>VLOOKUP(A56, Configuracion!A:C, 3, FALSE)</f>
        <v>45</v>
      </c>
      <c r="I56">
        <f t="shared" si="4"/>
        <v>0</v>
      </c>
      <c r="J56">
        <f>SUMIFS(lunes!$F:$F, lunes!$A:$A, $A56, lunes!$C:$C, "VENTA") +
 SUMIFS(martes!$F:$F, martes!$A:$A, $A56, martes!$C:$C, "VENTA") +
 SUMIFS(miercoles!$F:$F, miercoles!$A:$A, $A56, miercoles!$C:$C, "VENTA") +
 SUMIFS(jueves!$F:$F, jueves!$A:$A, $A56, jueves!$C:$C, "VENTA") +
 SUMIFS(viernes!$F:$F, viernes!$A:$A, $A56, viernes!$C:$C, "VENTA") +
 SUMIFS(sabado!$F:$F, sabado!$A:$A, $A56, sabado!$C:$C, "VENTA")</f>
        <v>0</v>
      </c>
      <c r="K56">
        <f t="shared" si="5"/>
        <v>0</v>
      </c>
    </row>
    <row r="57" spans="1:11" x14ac:dyDescent="0.3">
      <c r="A57" s="1" t="str">
        <f>Configuracion!A56</f>
        <v>FOGON INFRARROJO ROYAL 1500 W</v>
      </c>
      <c r="B57">
        <f>VLOOKUP(A57, Configuracion!A:B, 2, FALSE)</f>
        <v>10</v>
      </c>
      <c r="C57">
        <f>SUMIFS(lunes!D:D, lunes!A:A, A57, lunes!C:C, "VENTA") +
 SUMIFS(martes!D:D, martes!A:A, A57, martes!C:C, "VENTA") +
 SUMIFS(miercoles!D:D, miercoles!A:A, A57, miercoles!C:C, "VENTA") +
 SUMIFS(jueves!D:D, jueves!A:A, A57, jueves!C:C, "VENTA") +
 SUMIFS(viernes!D:D, viernes!A:A, A57, viernes!C:C, "VENTA") +
 SUMIFS(sabado!D:D, sabado!A:A, A57, sabado!C:C, "VENTA")</f>
        <v>0</v>
      </c>
      <c r="D57">
        <f>SUMIFS(lunes!$D:$D, lunes!$A:$A, $A57, lunes!$C:$C, "ENTRADA") +
 SUMIFS(martes!$D:$D, martes!$A:$A, $A57, martes!$C:$C, "ENTRADA") +
 SUMIFS(miercoles!$D:$D, miercoles!$A:$A, $A57, miercoles!$C:$C, "ENTRADA") +
 SUMIFS(jueves!$D:$D, jueves!$A:$A, $A57, jueves!$C:$C, "ENTRADA") +
 SUMIFS(viernes!$D:$D, viernes!$A:$A, $A57, viernes!$C:$C, "ENTRADA") +
 SUMIFS(sabado!$D:$D, sabado!$A:$A, $A57, sabado!$C:$C, "ENTRADA")</f>
        <v>0</v>
      </c>
      <c r="E57">
        <f>SUMIFS(lunes!$D:$D, lunes!$A:$A, $A57, lunes!$C:$C, "SALIDA") +
 SUMIFS(martes!$D:$D, martes!$A:$A, $A57, martes!$C:$C, "SALIDA") +
 SUMIFS(miercoles!$D:$D, miercoles!$A:$A, $A57, miercoles!$C:$C, "SALIDA") +
 SUMIFS(jueves!$D:$D, jueves!$A:$A, $A57, jueves!$C:$C, "SALIDA") +
 SUMIFS(viernes!$D:$D, viernes!$A:$A, $A57, viernes!$C:$C, "SALIDA") +
 SUMIFS(sabado!$D:$D, sabado!$A:$A, $A57, sabado!$C:$C, "SALIDA")</f>
        <v>0</v>
      </c>
      <c r="F57">
        <f t="shared" si="3"/>
        <v>10</v>
      </c>
      <c r="G57">
        <f>IFERROR(VLOOKUP(A57, sabado!A:I, 9, 0),
 IFERROR(VLOOKUP(A57, viernes!A:I, 9, 0),
 IFERROR(VLOOKUP(A57, jueves!A:I, 9, 0),
 IFERROR(VLOOKUP(A57, miercoles!A:I, 9, 0),
 IFERROR(VLOOKUP(A57, martes!A:I, 9, 0),
 IFERROR(VLOOKUP(A57, lunes!A:I, 9, 0),
 B57))))))</f>
        <v>10</v>
      </c>
      <c r="H57">
        <f>VLOOKUP(A57, Configuracion!A:C, 3, FALSE)</f>
        <v>0</v>
      </c>
      <c r="I57">
        <f t="shared" si="4"/>
        <v>0</v>
      </c>
      <c r="J57">
        <f>SUMIFS(lunes!$F:$F, lunes!$A:$A, $A57, lunes!$C:$C, "VENTA") +
 SUMIFS(martes!$F:$F, martes!$A:$A, $A57, martes!$C:$C, "VENTA") +
 SUMIFS(miercoles!$F:$F, miercoles!$A:$A, $A57, miercoles!$C:$C, "VENTA") +
 SUMIFS(jueves!$F:$F, jueves!$A:$A, $A57, jueves!$C:$C, "VENTA") +
 SUMIFS(viernes!$F:$F, viernes!$A:$A, $A57, viernes!$C:$C, "VENTA") +
 SUMIFS(sabado!$F:$F, sabado!$A:$A, $A57, sabado!$C:$C, "VENTA")</f>
        <v>0</v>
      </c>
      <c r="K57">
        <f t="shared" si="5"/>
        <v>0</v>
      </c>
    </row>
    <row r="58" spans="1:11" x14ac:dyDescent="0.3">
      <c r="A58" s="1" t="str">
        <f>Configuracion!A57</f>
        <v>FOGON INFRARROJO EKO 1500 W</v>
      </c>
      <c r="B58">
        <f>VLOOKUP(A58, Configuracion!A:B, 2, FALSE)</f>
        <v>5</v>
      </c>
      <c r="C58">
        <f>SUMIFS(lunes!D:D, lunes!A:A, A58, lunes!C:C, "VENTA") +
 SUMIFS(martes!D:D, martes!A:A, A58, martes!C:C, "VENTA") +
 SUMIFS(miercoles!D:D, miercoles!A:A, A58, miercoles!C:C, "VENTA") +
 SUMIFS(jueves!D:D, jueves!A:A, A58, jueves!C:C, "VENTA") +
 SUMIFS(viernes!D:D, viernes!A:A, A58, viernes!C:C, "VENTA") +
 SUMIFS(sabado!D:D, sabado!A:A, A58, sabado!C:C, "VENTA")</f>
        <v>0</v>
      </c>
      <c r="D58">
        <f>SUMIFS(lunes!$D:$D, lunes!$A:$A, $A58, lunes!$C:$C, "ENTRADA") +
 SUMIFS(martes!$D:$D, martes!$A:$A, $A58, martes!$C:$C, "ENTRADA") +
 SUMIFS(miercoles!$D:$D, miercoles!$A:$A, $A58, miercoles!$C:$C, "ENTRADA") +
 SUMIFS(jueves!$D:$D, jueves!$A:$A, $A58, jueves!$C:$C, "ENTRADA") +
 SUMIFS(viernes!$D:$D, viernes!$A:$A, $A58, viernes!$C:$C, "ENTRADA") +
 SUMIFS(sabado!$D:$D, sabado!$A:$A, $A58, sabado!$C:$C, "ENTRADA")</f>
        <v>0</v>
      </c>
      <c r="E58">
        <f>SUMIFS(lunes!$D:$D, lunes!$A:$A, $A58, lunes!$C:$C, "SALIDA") +
 SUMIFS(martes!$D:$D, martes!$A:$A, $A58, martes!$C:$C, "SALIDA") +
 SUMIFS(miercoles!$D:$D, miercoles!$A:$A, $A58, miercoles!$C:$C, "SALIDA") +
 SUMIFS(jueves!$D:$D, jueves!$A:$A, $A58, jueves!$C:$C, "SALIDA") +
 SUMIFS(viernes!$D:$D, viernes!$A:$A, $A58, viernes!$C:$C, "SALIDA") +
 SUMIFS(sabado!$D:$D, sabado!$A:$A, $A58, sabado!$C:$C, "SALIDA")</f>
        <v>0</v>
      </c>
      <c r="F58">
        <f t="shared" si="3"/>
        <v>5</v>
      </c>
      <c r="G58">
        <f>IFERROR(VLOOKUP(A58, sabado!A:I, 9, 0),
 IFERROR(VLOOKUP(A58, viernes!A:I, 9, 0),
 IFERROR(VLOOKUP(A58, jueves!A:I, 9, 0),
 IFERROR(VLOOKUP(A58, miercoles!A:I, 9, 0),
 IFERROR(VLOOKUP(A58, martes!A:I, 9, 0),
 IFERROR(VLOOKUP(A58, lunes!A:I, 9, 0),
 B58))))))</f>
        <v>5</v>
      </c>
      <c r="H58">
        <f>VLOOKUP(A58, Configuracion!A:C, 3, FALSE)</f>
        <v>50</v>
      </c>
      <c r="I58">
        <f t="shared" si="4"/>
        <v>0</v>
      </c>
      <c r="J58">
        <f>SUMIFS(lunes!$F:$F, lunes!$A:$A, $A58, lunes!$C:$C, "VENTA") +
 SUMIFS(martes!$F:$F, martes!$A:$A, $A58, martes!$C:$C, "VENTA") +
 SUMIFS(miercoles!$F:$F, miercoles!$A:$A, $A58, miercoles!$C:$C, "VENTA") +
 SUMIFS(jueves!$F:$F, jueves!$A:$A, $A58, jueves!$C:$C, "VENTA") +
 SUMIFS(viernes!$F:$F, viernes!$A:$A, $A58, viernes!$C:$C, "VENTA") +
 SUMIFS(sabado!$F:$F, sabado!$A:$A, $A58, sabado!$C:$C, "VENTA")</f>
        <v>0</v>
      </c>
      <c r="K58">
        <f t="shared" si="5"/>
        <v>0</v>
      </c>
    </row>
    <row r="59" spans="1:11" x14ac:dyDescent="0.3">
      <c r="A59" s="1" t="str">
        <f>Configuracion!A58</f>
        <v>FILTRO DE AGUA</v>
      </c>
      <c r="B59">
        <f>VLOOKUP(A59, Configuracion!A:B, 2, FALSE)</f>
        <v>10</v>
      </c>
      <c r="C59">
        <f>SUMIFS(lunes!D:D, lunes!A:A, A59, lunes!C:C, "VENTA") +
 SUMIFS(martes!D:D, martes!A:A, A59, martes!C:C, "VENTA") +
 SUMIFS(miercoles!D:D, miercoles!A:A, A59, miercoles!C:C, "VENTA") +
 SUMIFS(jueves!D:D, jueves!A:A, A59, jueves!C:C, "VENTA") +
 SUMIFS(viernes!D:D, viernes!A:A, A59, viernes!C:C, "VENTA") +
 SUMIFS(sabado!D:D, sabado!A:A, A59, sabado!C:C, "VENTA")</f>
        <v>0</v>
      </c>
      <c r="D59">
        <f>SUMIFS(lunes!$D:$D, lunes!$A:$A, $A59, lunes!$C:$C, "ENTRADA") +
 SUMIFS(martes!$D:$D, martes!$A:$A, $A59, martes!$C:$C, "ENTRADA") +
 SUMIFS(miercoles!$D:$D, miercoles!$A:$A, $A59, miercoles!$C:$C, "ENTRADA") +
 SUMIFS(jueves!$D:$D, jueves!$A:$A, $A59, jueves!$C:$C, "ENTRADA") +
 SUMIFS(viernes!$D:$D, viernes!$A:$A, $A59, viernes!$C:$C, "ENTRADA") +
 SUMIFS(sabado!$D:$D, sabado!$A:$A, $A59, sabado!$C:$C, "ENTRADA")</f>
        <v>0</v>
      </c>
      <c r="E59">
        <f>SUMIFS(lunes!$D:$D, lunes!$A:$A, $A59, lunes!$C:$C, "SALIDA") +
 SUMIFS(martes!$D:$D, martes!$A:$A, $A59, martes!$C:$C, "SALIDA") +
 SUMIFS(miercoles!$D:$D, miercoles!$A:$A, $A59, miercoles!$C:$C, "SALIDA") +
 SUMIFS(jueves!$D:$D, jueves!$A:$A, $A59, jueves!$C:$C, "SALIDA") +
 SUMIFS(viernes!$D:$D, viernes!$A:$A, $A59, viernes!$C:$C, "SALIDA") +
 SUMIFS(sabado!$D:$D, sabado!$A:$A, $A59, sabado!$C:$C, "SALIDA")</f>
        <v>0</v>
      </c>
      <c r="F59">
        <f t="shared" si="3"/>
        <v>10</v>
      </c>
      <c r="G59">
        <f>IFERROR(VLOOKUP(A59, sabado!A:I, 9, 0),
 IFERROR(VLOOKUP(A59, viernes!A:I, 9, 0),
 IFERROR(VLOOKUP(A59, jueves!A:I, 9, 0),
 IFERROR(VLOOKUP(A59, miercoles!A:I, 9, 0),
 IFERROR(VLOOKUP(A59, martes!A:I, 9, 0),
 IFERROR(VLOOKUP(A59, lunes!A:I, 9, 0),
 B59))))))</f>
        <v>10</v>
      </c>
      <c r="H59">
        <f>VLOOKUP(A59, Configuracion!A:C, 3, FALSE)</f>
        <v>50</v>
      </c>
      <c r="I59">
        <f t="shared" si="4"/>
        <v>0</v>
      </c>
      <c r="J59">
        <f>SUMIFS(lunes!$F:$F, lunes!$A:$A, $A59, lunes!$C:$C, "VENTA") +
 SUMIFS(martes!$F:$F, martes!$A:$A, $A59, martes!$C:$C, "VENTA") +
 SUMIFS(miercoles!$F:$F, miercoles!$A:$A, $A59, miercoles!$C:$C, "VENTA") +
 SUMIFS(jueves!$F:$F, jueves!$A:$A, $A59, jueves!$C:$C, "VENTA") +
 SUMIFS(viernes!$F:$F, viernes!$A:$A, $A59, viernes!$C:$C, "VENTA") +
 SUMIFS(sabado!$F:$F, sabado!$A:$A, $A59, sabado!$C:$C, "VENTA")</f>
        <v>0</v>
      </c>
      <c r="K59">
        <f t="shared" si="5"/>
        <v>0</v>
      </c>
    </row>
    <row r="60" spans="1:11" x14ac:dyDescent="0.3">
      <c r="A60" s="1" t="str">
        <f>Configuracion!A59</f>
        <v>FREIDORA DE AIRE JMD 4 L</v>
      </c>
      <c r="B60">
        <f>VLOOKUP(A60, Configuracion!A:B, 2, FALSE)</f>
        <v>3</v>
      </c>
      <c r="C60">
        <f>SUMIFS(lunes!D:D, lunes!A:A, A60, lunes!C:C, "VENTA") +
 SUMIFS(martes!D:D, martes!A:A, A60, martes!C:C, "VENTA") +
 SUMIFS(miercoles!D:D, miercoles!A:A, A60, miercoles!C:C, "VENTA") +
 SUMIFS(jueves!D:D, jueves!A:A, A60, jueves!C:C, "VENTA") +
 SUMIFS(viernes!D:D, viernes!A:A, A60, viernes!C:C, "VENTA") +
 SUMIFS(sabado!D:D, sabado!A:A, A60, sabado!C:C, "VENTA")</f>
        <v>0</v>
      </c>
      <c r="D60">
        <f>SUMIFS(lunes!$D:$D, lunes!$A:$A, $A60, lunes!$C:$C, "ENTRADA") +
 SUMIFS(martes!$D:$D, martes!$A:$A, $A60, martes!$C:$C, "ENTRADA") +
 SUMIFS(miercoles!$D:$D, miercoles!$A:$A, $A60, miercoles!$C:$C, "ENTRADA") +
 SUMIFS(jueves!$D:$D, jueves!$A:$A, $A60, jueves!$C:$C, "ENTRADA") +
 SUMIFS(viernes!$D:$D, viernes!$A:$A, $A60, viernes!$C:$C, "ENTRADA") +
 SUMIFS(sabado!$D:$D, sabado!$A:$A, $A60, sabado!$C:$C, "ENTRADA")</f>
        <v>0</v>
      </c>
      <c r="E60">
        <f>SUMIFS(lunes!$D:$D, lunes!$A:$A, $A60, lunes!$C:$C, "SALIDA") +
 SUMIFS(martes!$D:$D, martes!$A:$A, $A60, martes!$C:$C, "SALIDA") +
 SUMIFS(miercoles!$D:$D, miercoles!$A:$A, $A60, miercoles!$C:$C, "SALIDA") +
 SUMIFS(jueves!$D:$D, jueves!$A:$A, $A60, jueves!$C:$C, "SALIDA") +
 SUMIFS(viernes!$D:$D, viernes!$A:$A, $A60, viernes!$C:$C, "SALIDA") +
 SUMIFS(sabado!$D:$D, sabado!$A:$A, $A60, sabado!$C:$C, "SALIDA")</f>
        <v>0</v>
      </c>
      <c r="F60">
        <f t="shared" si="3"/>
        <v>3</v>
      </c>
      <c r="G60">
        <f>IFERROR(VLOOKUP(A60, sabado!A:I, 9, 0),
 IFERROR(VLOOKUP(A60, viernes!A:I, 9, 0),
 IFERROR(VLOOKUP(A60, jueves!A:I, 9, 0),
 IFERROR(VLOOKUP(A60, miercoles!A:I, 9, 0),
 IFERROR(VLOOKUP(A60, martes!A:I, 9, 0),
 IFERROR(VLOOKUP(A60, lunes!A:I, 9, 0),
 B60))))))</f>
        <v>3</v>
      </c>
      <c r="H60">
        <f>VLOOKUP(A60, Configuracion!A:C, 3, FALSE)</f>
        <v>55</v>
      </c>
      <c r="I60">
        <f t="shared" si="4"/>
        <v>0</v>
      </c>
      <c r="J60">
        <f>SUMIFS(lunes!$F:$F, lunes!$A:$A, $A60, lunes!$C:$C, "VENTA") +
 SUMIFS(martes!$F:$F, martes!$A:$A, $A60, martes!$C:$C, "VENTA") +
 SUMIFS(miercoles!$F:$F, miercoles!$A:$A, $A60, miercoles!$C:$C, "VENTA") +
 SUMIFS(jueves!$F:$F, jueves!$A:$A, $A60, jueves!$C:$C, "VENTA") +
 SUMIFS(viernes!$F:$F, viernes!$A:$A, $A60, viernes!$C:$C, "VENTA") +
 SUMIFS(sabado!$F:$F, sabado!$A:$A, $A60, sabado!$C:$C, "VENTA")</f>
        <v>0</v>
      </c>
      <c r="K60">
        <f t="shared" si="5"/>
        <v>0</v>
      </c>
    </row>
    <row r="61" spans="1:11" x14ac:dyDescent="0.3">
      <c r="A61" s="1" t="str">
        <f>Configuracion!A60</f>
        <v>FREIDORA DE AIRE MILEXUS NEGRA 5.7L</v>
      </c>
      <c r="B61">
        <f>VLOOKUP(A61, Configuracion!A:B, 2, FALSE)</f>
        <v>0</v>
      </c>
      <c r="C61">
        <f>SUMIFS(lunes!D:D, lunes!A:A, A61, lunes!C:C, "VENTA") +
 SUMIFS(martes!D:D, martes!A:A, A61, martes!C:C, "VENTA") +
 SUMIFS(miercoles!D:D, miercoles!A:A, A61, miercoles!C:C, "VENTA") +
 SUMIFS(jueves!D:D, jueves!A:A, A61, jueves!C:C, "VENTA") +
 SUMIFS(viernes!D:D, viernes!A:A, A61, viernes!C:C, "VENTA") +
 SUMIFS(sabado!D:D, sabado!A:A, A61, sabado!C:C, "VENTA")</f>
        <v>0</v>
      </c>
      <c r="D61">
        <f>SUMIFS(lunes!$D:$D, lunes!$A:$A, $A61, lunes!$C:$C, "ENTRADA") +
 SUMIFS(martes!$D:$D, martes!$A:$A, $A61, martes!$C:$C, "ENTRADA") +
 SUMIFS(miercoles!$D:$D, miercoles!$A:$A, $A61, miercoles!$C:$C, "ENTRADA") +
 SUMIFS(jueves!$D:$D, jueves!$A:$A, $A61, jueves!$C:$C, "ENTRADA") +
 SUMIFS(viernes!$D:$D, viernes!$A:$A, $A61, viernes!$C:$C, "ENTRADA") +
 SUMIFS(sabado!$D:$D, sabado!$A:$A, $A61, sabado!$C:$C, "ENTRADA")</f>
        <v>0</v>
      </c>
      <c r="E61">
        <f>SUMIFS(lunes!$D:$D, lunes!$A:$A, $A61, lunes!$C:$C, "SALIDA") +
 SUMIFS(martes!$D:$D, martes!$A:$A, $A61, martes!$C:$C, "SALIDA") +
 SUMIFS(miercoles!$D:$D, miercoles!$A:$A, $A61, miercoles!$C:$C, "SALIDA") +
 SUMIFS(jueves!$D:$D, jueves!$A:$A, $A61, jueves!$C:$C, "SALIDA") +
 SUMIFS(viernes!$D:$D, viernes!$A:$A, $A61, viernes!$C:$C, "SALIDA") +
 SUMIFS(sabado!$D:$D, sabado!$A:$A, $A61, sabado!$C:$C, "SALIDA")</f>
        <v>0</v>
      </c>
      <c r="F61">
        <f t="shared" si="3"/>
        <v>0</v>
      </c>
      <c r="G61">
        <f>IFERROR(VLOOKUP(A61, sabado!A:I, 9, 0),
 IFERROR(VLOOKUP(A61, viernes!A:I, 9, 0),
 IFERROR(VLOOKUP(A61, jueves!A:I, 9, 0),
 IFERROR(VLOOKUP(A61, miercoles!A:I, 9, 0),
 IFERROR(VLOOKUP(A61, martes!A:I, 9, 0),
 IFERROR(VLOOKUP(A61, lunes!A:I, 9, 0),
 B61))))))</f>
        <v>0</v>
      </c>
      <c r="H61">
        <f>VLOOKUP(A61, Configuracion!A:C, 3, FALSE)</f>
        <v>65</v>
      </c>
      <c r="I61">
        <f t="shared" si="4"/>
        <v>0</v>
      </c>
      <c r="J61">
        <f>SUMIFS(lunes!$F:$F, lunes!$A:$A, $A61, lunes!$C:$C, "VENTA") +
 SUMIFS(martes!$F:$F, martes!$A:$A, $A61, martes!$C:$C, "VENTA") +
 SUMIFS(miercoles!$F:$F, miercoles!$A:$A, $A61, miercoles!$C:$C, "VENTA") +
 SUMIFS(jueves!$F:$F, jueves!$A:$A, $A61, jueves!$C:$C, "VENTA") +
 SUMIFS(viernes!$F:$F, viernes!$A:$A, $A61, viernes!$C:$C, "VENTA") +
 SUMIFS(sabado!$F:$F, sabado!$A:$A, $A61, sabado!$C:$C, "VENTA")</f>
        <v>0</v>
      </c>
      <c r="K61">
        <f t="shared" si="5"/>
        <v>0</v>
      </c>
    </row>
    <row r="62" spans="1:11" x14ac:dyDescent="0.3">
      <c r="A62" s="1" t="str">
        <f>Configuracion!A61</f>
        <v>INVERSOR 3.6K YINGI</v>
      </c>
      <c r="B62">
        <f>VLOOKUP(A62, Configuracion!A:B, 2, FALSE)</f>
        <v>1</v>
      </c>
      <c r="C62">
        <f>SUMIFS(lunes!D:D, lunes!A:A, A62, lunes!C:C, "VENTA") +
 SUMIFS(martes!D:D, martes!A:A, A62, martes!C:C, "VENTA") +
 SUMIFS(miercoles!D:D, miercoles!A:A, A62, miercoles!C:C, "VENTA") +
 SUMIFS(jueves!D:D, jueves!A:A, A62, jueves!C:C, "VENTA") +
 SUMIFS(viernes!D:D, viernes!A:A, A62, viernes!C:C, "VENTA") +
 SUMIFS(sabado!D:D, sabado!A:A, A62, sabado!C:C, "VENTA")</f>
        <v>0</v>
      </c>
      <c r="D62">
        <f>SUMIFS(lunes!$D:$D, lunes!$A:$A, $A62, lunes!$C:$C, "ENTRADA") +
 SUMIFS(martes!$D:$D, martes!$A:$A, $A62, martes!$C:$C, "ENTRADA") +
 SUMIFS(miercoles!$D:$D, miercoles!$A:$A, $A62, miercoles!$C:$C, "ENTRADA") +
 SUMIFS(jueves!$D:$D, jueves!$A:$A, $A62, jueves!$C:$C, "ENTRADA") +
 SUMIFS(viernes!$D:$D, viernes!$A:$A, $A62, viernes!$C:$C, "ENTRADA") +
 SUMIFS(sabado!$D:$D, sabado!$A:$A, $A62, sabado!$C:$C, "ENTRADA")</f>
        <v>0</v>
      </c>
      <c r="E62">
        <f>SUMIFS(lunes!$D:$D, lunes!$A:$A, $A62, lunes!$C:$C, "SALIDA") +
 SUMIFS(martes!$D:$D, martes!$A:$A, $A62, martes!$C:$C, "SALIDA") +
 SUMIFS(miercoles!$D:$D, miercoles!$A:$A, $A62, miercoles!$C:$C, "SALIDA") +
 SUMIFS(jueves!$D:$D, jueves!$A:$A, $A62, jueves!$C:$C, "SALIDA") +
 SUMIFS(viernes!$D:$D, viernes!$A:$A, $A62, viernes!$C:$C, "SALIDA") +
 SUMIFS(sabado!$D:$D, sabado!$A:$A, $A62, sabado!$C:$C, "SALIDA")</f>
        <v>0</v>
      </c>
      <c r="F62">
        <f t="shared" si="3"/>
        <v>1</v>
      </c>
      <c r="G62">
        <f>IFERROR(VLOOKUP(A62, sabado!A:I, 9, 0),
 IFERROR(VLOOKUP(A62, viernes!A:I, 9, 0),
 IFERROR(VLOOKUP(A62, jueves!A:I, 9, 0),
 IFERROR(VLOOKUP(A62, miercoles!A:I, 9, 0),
 IFERROR(VLOOKUP(A62, martes!A:I, 9, 0),
 IFERROR(VLOOKUP(A62, lunes!A:I, 9, 0),
 B62))))))</f>
        <v>1</v>
      </c>
      <c r="H62">
        <f>VLOOKUP(A62, Configuracion!A:C, 3, FALSE)</f>
        <v>550</v>
      </c>
      <c r="I62">
        <f t="shared" si="4"/>
        <v>0</v>
      </c>
      <c r="J62">
        <f>SUMIFS(lunes!$F:$F, lunes!$A:$A, $A62, lunes!$C:$C, "VENTA") +
 SUMIFS(martes!$F:$F, martes!$A:$A, $A62, martes!$C:$C, "VENTA") +
 SUMIFS(miercoles!$F:$F, miercoles!$A:$A, $A62, miercoles!$C:$C, "VENTA") +
 SUMIFS(jueves!$F:$F, jueves!$A:$A, $A62, jueves!$C:$C, "VENTA") +
 SUMIFS(viernes!$F:$F, viernes!$A:$A, $A62, viernes!$C:$C, "VENTA") +
 SUMIFS(sabado!$F:$F, sabado!$A:$A, $A62, sabado!$C:$C, "VENTA")</f>
        <v>0</v>
      </c>
      <c r="K62">
        <f t="shared" si="5"/>
        <v>0</v>
      </c>
    </row>
    <row r="63" spans="1:11" x14ac:dyDescent="0.3">
      <c r="A63" s="1" t="str">
        <f>Configuracion!A62</f>
        <v>INVERSOR DE 10 K SUNPAL</v>
      </c>
      <c r="B63">
        <f>VLOOKUP(A63, Configuracion!A:B, 2, FALSE)</f>
        <v>1</v>
      </c>
      <c r="C63">
        <f>SUMIFS(lunes!D:D, lunes!A:A, A63, lunes!C:C, "VENTA") +
 SUMIFS(martes!D:D, martes!A:A, A63, martes!C:C, "VENTA") +
 SUMIFS(miercoles!D:D, miercoles!A:A, A63, miercoles!C:C, "VENTA") +
 SUMIFS(jueves!D:D, jueves!A:A, A63, jueves!C:C, "VENTA") +
 SUMIFS(viernes!D:D, viernes!A:A, A63, viernes!C:C, "VENTA") +
 SUMIFS(sabado!D:D, sabado!A:A, A63, sabado!C:C, "VENTA")</f>
        <v>0</v>
      </c>
      <c r="D63">
        <f>SUMIFS(lunes!$D:$D, lunes!$A:$A, $A63, lunes!$C:$C, "ENTRADA") +
 SUMIFS(martes!$D:$D, martes!$A:$A, $A63, martes!$C:$C, "ENTRADA") +
 SUMIFS(miercoles!$D:$D, miercoles!$A:$A, $A63, miercoles!$C:$C, "ENTRADA") +
 SUMIFS(jueves!$D:$D, jueves!$A:$A, $A63, jueves!$C:$C, "ENTRADA") +
 SUMIFS(viernes!$D:$D, viernes!$A:$A, $A63, viernes!$C:$C, "ENTRADA") +
 SUMIFS(sabado!$D:$D, sabado!$A:$A, $A63, sabado!$C:$C, "ENTRADA")</f>
        <v>0</v>
      </c>
      <c r="E63">
        <f>SUMIFS(lunes!$D:$D, lunes!$A:$A, $A63, lunes!$C:$C, "SALIDA") +
 SUMIFS(martes!$D:$D, martes!$A:$A, $A63, martes!$C:$C, "SALIDA") +
 SUMIFS(miercoles!$D:$D, miercoles!$A:$A, $A63, miercoles!$C:$C, "SALIDA") +
 SUMIFS(jueves!$D:$D, jueves!$A:$A, $A63, jueves!$C:$C, "SALIDA") +
 SUMIFS(viernes!$D:$D, viernes!$A:$A, $A63, viernes!$C:$C, "SALIDA") +
 SUMIFS(sabado!$D:$D, sabado!$A:$A, $A63, sabado!$C:$C, "SALIDA")</f>
        <v>0</v>
      </c>
      <c r="F63">
        <f t="shared" si="3"/>
        <v>1</v>
      </c>
      <c r="G63">
        <f>IFERROR(VLOOKUP(A63, sabado!A:I, 9, 0),
 IFERROR(VLOOKUP(A63, viernes!A:I, 9, 0),
 IFERROR(VLOOKUP(A63, jueves!A:I, 9, 0),
 IFERROR(VLOOKUP(A63, miercoles!A:I, 9, 0),
 IFERROR(VLOOKUP(A63, martes!A:I, 9, 0),
 IFERROR(VLOOKUP(A63, lunes!A:I, 9, 0),
 B63))))))</f>
        <v>1</v>
      </c>
      <c r="H63">
        <f>VLOOKUP(A63, Configuracion!A:C, 3, FALSE)</f>
        <v>0</v>
      </c>
      <c r="I63">
        <f t="shared" si="4"/>
        <v>0</v>
      </c>
      <c r="J63">
        <f>SUMIFS(lunes!$F:$F, lunes!$A:$A, $A63, lunes!$C:$C, "VENTA") +
 SUMIFS(martes!$F:$F, martes!$A:$A, $A63, martes!$C:$C, "VENTA") +
 SUMIFS(miercoles!$F:$F, miercoles!$A:$A, $A63, miercoles!$C:$C, "VENTA") +
 SUMIFS(jueves!$F:$F, jueves!$A:$A, $A63, jueves!$C:$C, "VENTA") +
 SUMIFS(viernes!$F:$F, viernes!$A:$A, $A63, viernes!$C:$C, "VENTA") +
 SUMIFS(sabado!$F:$F, sabado!$A:$A, $A63, sabado!$C:$C, "VENTA")</f>
        <v>0</v>
      </c>
      <c r="K63">
        <f t="shared" si="5"/>
        <v>0</v>
      </c>
    </row>
    <row r="64" spans="1:11" x14ac:dyDescent="0.3">
      <c r="A64" s="1" t="str">
        <f>Configuracion!A63</f>
        <v>INVERSOR 12K MUST</v>
      </c>
      <c r="B64">
        <f>VLOOKUP(A64, Configuracion!A:B, 2, FALSE)</f>
        <v>1</v>
      </c>
      <c r="C64">
        <f>SUMIFS(lunes!D:D, lunes!A:A, A64, lunes!C:C, "VENTA") +
 SUMIFS(martes!D:D, martes!A:A, A64, martes!C:C, "VENTA") +
 SUMIFS(miercoles!D:D, miercoles!A:A, A64, miercoles!C:C, "VENTA") +
 SUMIFS(jueves!D:D, jueves!A:A, A64, jueves!C:C, "VENTA") +
 SUMIFS(viernes!D:D, viernes!A:A, A64, viernes!C:C, "VENTA") +
 SUMIFS(sabado!D:D, sabado!A:A, A64, sabado!C:C, "VENTA")</f>
        <v>0</v>
      </c>
      <c r="D64">
        <f>SUMIFS(lunes!$D:$D, lunes!$A:$A, $A64, lunes!$C:$C, "ENTRADA") +
 SUMIFS(martes!$D:$D, martes!$A:$A, $A64, martes!$C:$C, "ENTRADA") +
 SUMIFS(miercoles!$D:$D, miercoles!$A:$A, $A64, miercoles!$C:$C, "ENTRADA") +
 SUMIFS(jueves!$D:$D, jueves!$A:$A, $A64, jueves!$C:$C, "ENTRADA") +
 SUMIFS(viernes!$D:$D, viernes!$A:$A, $A64, viernes!$C:$C, "ENTRADA") +
 SUMIFS(sabado!$D:$D, sabado!$A:$A, $A64, sabado!$C:$C, "ENTRADA")</f>
        <v>0</v>
      </c>
      <c r="E64">
        <f>SUMIFS(lunes!$D:$D, lunes!$A:$A, $A64, lunes!$C:$C, "SALIDA") +
 SUMIFS(martes!$D:$D, martes!$A:$A, $A64, martes!$C:$C, "SALIDA") +
 SUMIFS(miercoles!$D:$D, miercoles!$A:$A, $A64, miercoles!$C:$C, "SALIDA") +
 SUMIFS(jueves!$D:$D, jueves!$A:$A, $A64, jueves!$C:$C, "SALIDA") +
 SUMIFS(viernes!$D:$D, viernes!$A:$A, $A64, viernes!$C:$C, "SALIDA") +
 SUMIFS(sabado!$D:$D, sabado!$A:$A, $A64, sabado!$C:$C, "SALIDA")</f>
        <v>0</v>
      </c>
      <c r="F64">
        <f t="shared" si="3"/>
        <v>1</v>
      </c>
      <c r="G64">
        <f>IFERROR(VLOOKUP(A64, sabado!A:I, 9, 0),
 IFERROR(VLOOKUP(A64, viernes!A:I, 9, 0),
 IFERROR(VLOOKUP(A64, jueves!A:I, 9, 0),
 IFERROR(VLOOKUP(A64, miercoles!A:I, 9, 0),
 IFERROR(VLOOKUP(A64, martes!A:I, 9, 0),
 IFERROR(VLOOKUP(A64, lunes!A:I, 9, 0),
 B64))))))</f>
        <v>1</v>
      </c>
      <c r="H64">
        <f>VLOOKUP(A64, Configuracion!A:C, 3, FALSE)</f>
        <v>2200</v>
      </c>
      <c r="I64">
        <f t="shared" si="4"/>
        <v>0</v>
      </c>
      <c r="J64">
        <f>SUMIFS(lunes!$F:$F, lunes!$A:$A, $A64, lunes!$C:$C, "VENTA") +
 SUMIFS(martes!$F:$F, martes!$A:$A, $A64, martes!$C:$C, "VENTA") +
 SUMIFS(miercoles!$F:$F, miercoles!$A:$A, $A64, miercoles!$C:$C, "VENTA") +
 SUMIFS(jueves!$F:$F, jueves!$A:$A, $A64, jueves!$C:$C, "VENTA") +
 SUMIFS(viernes!$F:$F, viernes!$A:$A, $A64, viernes!$C:$C, "VENTA") +
 SUMIFS(sabado!$F:$F, sabado!$A:$A, $A64, sabado!$C:$C, "VENTA")</f>
        <v>0</v>
      </c>
      <c r="K64">
        <f t="shared" si="5"/>
        <v>0</v>
      </c>
    </row>
    <row r="65" spans="1:11" x14ac:dyDescent="0.3">
      <c r="A65" s="1" t="str">
        <f>Configuracion!A64</f>
        <v xml:space="preserve">INVERSOR MUST 3000 W </v>
      </c>
      <c r="B65">
        <f>VLOOKUP(A65, Configuracion!A:B, 2, FALSE)</f>
        <v>7</v>
      </c>
      <c r="C65">
        <f>SUMIFS(lunes!D:D, lunes!A:A, A65, lunes!C:C, "VENTA") +
 SUMIFS(martes!D:D, martes!A:A, A65, martes!C:C, "VENTA") +
 SUMIFS(miercoles!D:D, miercoles!A:A, A65, miercoles!C:C, "VENTA") +
 SUMIFS(jueves!D:D, jueves!A:A, A65, jueves!C:C, "VENTA") +
 SUMIFS(viernes!D:D, viernes!A:A, A65, viernes!C:C, "VENTA") +
 SUMIFS(sabado!D:D, sabado!A:A, A65, sabado!C:C, "VENTA")</f>
        <v>0</v>
      </c>
      <c r="D65">
        <f>SUMIFS(lunes!$D:$D, lunes!$A:$A, $A65, lunes!$C:$C, "ENTRADA") +
 SUMIFS(martes!$D:$D, martes!$A:$A, $A65, martes!$C:$C, "ENTRADA") +
 SUMIFS(miercoles!$D:$D, miercoles!$A:$A, $A65, miercoles!$C:$C, "ENTRADA") +
 SUMIFS(jueves!$D:$D, jueves!$A:$A, $A65, jueves!$C:$C, "ENTRADA") +
 SUMIFS(viernes!$D:$D, viernes!$A:$A, $A65, viernes!$C:$C, "ENTRADA") +
 SUMIFS(sabado!$D:$D, sabado!$A:$A, $A65, sabado!$C:$C, "ENTRADA")</f>
        <v>0</v>
      </c>
      <c r="E65">
        <f>SUMIFS(lunes!$D:$D, lunes!$A:$A, $A65, lunes!$C:$C, "SALIDA") +
 SUMIFS(martes!$D:$D, martes!$A:$A, $A65, martes!$C:$C, "SALIDA") +
 SUMIFS(miercoles!$D:$D, miercoles!$A:$A, $A65, miercoles!$C:$C, "SALIDA") +
 SUMIFS(jueves!$D:$D, jueves!$A:$A, $A65, jueves!$C:$C, "SALIDA") +
 SUMIFS(viernes!$D:$D, viernes!$A:$A, $A65, viernes!$C:$C, "SALIDA") +
 SUMIFS(sabado!$D:$D, sabado!$A:$A, $A65, sabado!$C:$C, "SALIDA")</f>
        <v>0</v>
      </c>
      <c r="F65">
        <f t="shared" si="3"/>
        <v>7</v>
      </c>
      <c r="G65">
        <f>IFERROR(VLOOKUP(A65, sabado!A:I, 9, 0),
 IFERROR(VLOOKUP(A65, viernes!A:I, 9, 0),
 IFERROR(VLOOKUP(A65, jueves!A:I, 9, 0),
 IFERROR(VLOOKUP(A65, miercoles!A:I, 9, 0),
 IFERROR(VLOOKUP(A65, martes!A:I, 9, 0),
 IFERROR(VLOOKUP(A65, lunes!A:I, 9, 0),
 B65))))))</f>
        <v>7</v>
      </c>
      <c r="H65">
        <f>VLOOKUP(A65, Configuracion!A:C, 3, FALSE)</f>
        <v>650</v>
      </c>
      <c r="I65">
        <f t="shared" si="4"/>
        <v>0</v>
      </c>
      <c r="J65">
        <f>SUMIFS(lunes!$F:$F, lunes!$A:$A, $A65, lunes!$C:$C, "VENTA") +
 SUMIFS(martes!$F:$F, martes!$A:$A, $A65, martes!$C:$C, "VENTA") +
 SUMIFS(miercoles!$F:$F, miercoles!$A:$A, $A65, miercoles!$C:$C, "VENTA") +
 SUMIFS(jueves!$F:$F, jueves!$A:$A, $A65, jueves!$C:$C, "VENTA") +
 SUMIFS(viernes!$F:$F, viernes!$A:$A, $A65, viernes!$C:$C, "VENTA") +
 SUMIFS(sabado!$F:$F, sabado!$A:$A, $A65, sabado!$C:$C, "VENTA")</f>
        <v>0</v>
      </c>
      <c r="K65">
        <f t="shared" si="5"/>
        <v>0</v>
      </c>
    </row>
    <row r="66" spans="1:11" x14ac:dyDescent="0.3">
      <c r="A66" s="1" t="str">
        <f>Configuracion!A65</f>
        <v>INVERSOR 6000W MUST</v>
      </c>
      <c r="B66">
        <f>VLOOKUP(A66, Configuracion!A:B, 2, FALSE)</f>
        <v>2</v>
      </c>
      <c r="C66">
        <f>SUMIFS(lunes!D:D, lunes!A:A, A66, lunes!C:C, "VENTA") +
 SUMIFS(martes!D:D, martes!A:A, A66, martes!C:C, "VENTA") +
 SUMIFS(miercoles!D:D, miercoles!A:A, A66, miercoles!C:C, "VENTA") +
 SUMIFS(jueves!D:D, jueves!A:A, A66, jueves!C:C, "VENTA") +
 SUMIFS(viernes!D:D, viernes!A:A, A66, viernes!C:C, "VENTA") +
 SUMIFS(sabado!D:D, sabado!A:A, A66, sabado!C:C, "VENTA")</f>
        <v>0</v>
      </c>
      <c r="D66">
        <f>SUMIFS(lunes!$D:$D, lunes!$A:$A, $A66, lunes!$C:$C, "ENTRADA") +
 SUMIFS(martes!$D:$D, martes!$A:$A, $A66, martes!$C:$C, "ENTRADA") +
 SUMIFS(miercoles!$D:$D, miercoles!$A:$A, $A66, miercoles!$C:$C, "ENTRADA") +
 SUMIFS(jueves!$D:$D, jueves!$A:$A, $A66, jueves!$C:$C, "ENTRADA") +
 SUMIFS(viernes!$D:$D, viernes!$A:$A, $A66, viernes!$C:$C, "ENTRADA") +
 SUMIFS(sabado!$D:$D, sabado!$A:$A, $A66, sabado!$C:$C, "ENTRADA")</f>
        <v>0</v>
      </c>
      <c r="E66">
        <f>SUMIFS(lunes!$D:$D, lunes!$A:$A, $A66, lunes!$C:$C, "SALIDA") +
 SUMIFS(martes!$D:$D, martes!$A:$A, $A66, martes!$C:$C, "SALIDA") +
 SUMIFS(miercoles!$D:$D, miercoles!$A:$A, $A66, miercoles!$C:$C, "SALIDA") +
 SUMIFS(jueves!$D:$D, jueves!$A:$A, $A66, jueves!$C:$C, "SALIDA") +
 SUMIFS(viernes!$D:$D, viernes!$A:$A, $A66, viernes!$C:$C, "SALIDA") +
 SUMIFS(sabado!$D:$D, sabado!$A:$A, $A66, sabado!$C:$C, "SALIDA")</f>
        <v>0</v>
      </c>
      <c r="F66">
        <f t="shared" ref="F66:F97" si="6">B66-C66+D66-E66</f>
        <v>2</v>
      </c>
      <c r="G66">
        <f>IFERROR(VLOOKUP(A66, sabado!A:I, 9, 0),
 IFERROR(VLOOKUP(A66, viernes!A:I, 9, 0),
 IFERROR(VLOOKUP(A66, jueves!A:I, 9, 0),
 IFERROR(VLOOKUP(A66, miercoles!A:I, 9, 0),
 IFERROR(VLOOKUP(A66, martes!A:I, 9, 0),
 IFERROR(VLOOKUP(A66, lunes!A:I, 9, 0),
 B66))))))</f>
        <v>2</v>
      </c>
      <c r="H66">
        <f>VLOOKUP(A66, Configuracion!A:C, 3, FALSE)</f>
        <v>650</v>
      </c>
      <c r="I66">
        <f t="shared" ref="I66:I97" si="7">C66*H66</f>
        <v>0</v>
      </c>
      <c r="J66">
        <f>SUMIFS(lunes!$F:$F, lunes!$A:$A, $A66, lunes!$C:$C, "VENTA") +
 SUMIFS(martes!$F:$F, martes!$A:$A, $A66, martes!$C:$C, "VENTA") +
 SUMIFS(miercoles!$F:$F, miercoles!$A:$A, $A66, miercoles!$C:$C, "VENTA") +
 SUMIFS(jueves!$F:$F, jueves!$A:$A, $A66, jueves!$C:$C, "VENTA") +
 SUMIFS(viernes!$F:$F, viernes!$A:$A, $A66, viernes!$C:$C, "VENTA") +
 SUMIFS(sabado!$F:$F, sabado!$A:$A, $A66, sabado!$C:$C, "VENTA")</f>
        <v>0</v>
      </c>
      <c r="K66">
        <f t="shared" ref="K66:K97" si="8">I66-J66</f>
        <v>0</v>
      </c>
    </row>
    <row r="67" spans="1:11" x14ac:dyDescent="0.3">
      <c r="A67" s="1" t="str">
        <f>Configuracion!A66</f>
        <v>LAMPARA RECARGABLE DE 50 CM</v>
      </c>
      <c r="B67">
        <f>VLOOKUP(A67, Configuracion!A:B, 2, FALSE)</f>
        <v>4</v>
      </c>
      <c r="C67">
        <f>SUMIFS(lunes!D:D, lunes!A:A, A67, lunes!C:C, "VENTA") +
 SUMIFS(martes!D:D, martes!A:A, A67, martes!C:C, "VENTA") +
 SUMIFS(miercoles!D:D, miercoles!A:A, A67, miercoles!C:C, "VENTA") +
 SUMIFS(jueves!D:D, jueves!A:A, A67, jueves!C:C, "VENTA") +
 SUMIFS(viernes!D:D, viernes!A:A, A67, viernes!C:C, "VENTA") +
 SUMIFS(sabado!D:D, sabado!A:A, A67, sabado!C:C, "VENTA")</f>
        <v>0</v>
      </c>
      <c r="D67">
        <f>SUMIFS(lunes!$D:$D, lunes!$A:$A, $A67, lunes!$C:$C, "ENTRADA") +
 SUMIFS(martes!$D:$D, martes!$A:$A, $A67, martes!$C:$C, "ENTRADA") +
 SUMIFS(miercoles!$D:$D, miercoles!$A:$A, $A67, miercoles!$C:$C, "ENTRADA") +
 SUMIFS(jueves!$D:$D, jueves!$A:$A, $A67, jueves!$C:$C, "ENTRADA") +
 SUMIFS(viernes!$D:$D, viernes!$A:$A, $A67, viernes!$C:$C, "ENTRADA") +
 SUMIFS(sabado!$D:$D, sabado!$A:$A, $A67, sabado!$C:$C, "ENTRADA")</f>
        <v>0</v>
      </c>
      <c r="E67">
        <f>SUMIFS(lunes!$D:$D, lunes!$A:$A, $A67, lunes!$C:$C, "SALIDA") +
 SUMIFS(martes!$D:$D, martes!$A:$A, $A67, martes!$C:$C, "SALIDA") +
 SUMIFS(miercoles!$D:$D, miercoles!$A:$A, $A67, miercoles!$C:$C, "SALIDA") +
 SUMIFS(jueves!$D:$D, jueves!$A:$A, $A67, jueves!$C:$C, "SALIDA") +
 SUMIFS(viernes!$D:$D, viernes!$A:$A, $A67, viernes!$C:$C, "SALIDA") +
 SUMIFS(sabado!$D:$D, sabado!$A:$A, $A67, sabado!$C:$C, "SALIDA")</f>
        <v>0</v>
      </c>
      <c r="F67">
        <f t="shared" si="6"/>
        <v>4</v>
      </c>
      <c r="G67">
        <f>IFERROR(VLOOKUP(A67, sabado!A:I, 9, 0),
 IFERROR(VLOOKUP(A67, viernes!A:I, 9, 0),
 IFERROR(VLOOKUP(A67, jueves!A:I, 9, 0),
 IFERROR(VLOOKUP(A67, miercoles!A:I, 9, 0),
 IFERROR(VLOOKUP(A67, martes!A:I, 9, 0),
 IFERROR(VLOOKUP(A67, lunes!A:I, 9, 0),
 B67))))))</f>
        <v>4</v>
      </c>
      <c r="H67">
        <f>VLOOKUP(A67, Configuracion!A:C, 3, FALSE)</f>
        <v>10</v>
      </c>
      <c r="I67">
        <f t="shared" si="7"/>
        <v>0</v>
      </c>
      <c r="J67">
        <f>SUMIFS(lunes!$F:$F, lunes!$A:$A, $A67, lunes!$C:$C, "VENTA") +
 SUMIFS(martes!$F:$F, martes!$A:$A, $A67, martes!$C:$C, "VENTA") +
 SUMIFS(miercoles!$F:$F, miercoles!$A:$A, $A67, miercoles!$C:$C, "VENTA") +
 SUMIFS(jueves!$F:$F, jueves!$A:$A, $A67, jueves!$C:$C, "VENTA") +
 SUMIFS(viernes!$F:$F, viernes!$A:$A, $A67, viernes!$C:$C, "VENTA") +
 SUMIFS(sabado!$F:$F, sabado!$A:$A, $A67, sabado!$C:$C, "VENTA")</f>
        <v>0</v>
      </c>
      <c r="K67">
        <f t="shared" si="8"/>
        <v>0</v>
      </c>
    </row>
    <row r="68" spans="1:11" x14ac:dyDescent="0.3">
      <c r="A68" s="1" t="str">
        <f>Configuracion!A67</f>
        <v xml:space="preserve">LAMPARA SOLAR 800W </v>
      </c>
      <c r="B68">
        <f>VLOOKUP(A68, Configuracion!A:B, 2, FALSE)</f>
        <v>3</v>
      </c>
      <c r="C68">
        <f>SUMIFS(lunes!D:D, lunes!A:A, A68, lunes!C:C, "VENTA") +
 SUMIFS(martes!D:D, martes!A:A, A68, martes!C:C, "VENTA") +
 SUMIFS(miercoles!D:D, miercoles!A:A, A68, miercoles!C:C, "VENTA") +
 SUMIFS(jueves!D:D, jueves!A:A, A68, jueves!C:C, "VENTA") +
 SUMIFS(viernes!D:D, viernes!A:A, A68, viernes!C:C, "VENTA") +
 SUMIFS(sabado!D:D, sabado!A:A, A68, sabado!C:C, "VENTA")</f>
        <v>0</v>
      </c>
      <c r="D68">
        <f>SUMIFS(lunes!$D:$D, lunes!$A:$A, $A68, lunes!$C:$C, "ENTRADA") +
 SUMIFS(martes!$D:$D, martes!$A:$A, $A68, martes!$C:$C, "ENTRADA") +
 SUMIFS(miercoles!$D:$D, miercoles!$A:$A, $A68, miercoles!$C:$C, "ENTRADA") +
 SUMIFS(jueves!$D:$D, jueves!$A:$A, $A68, jueves!$C:$C, "ENTRADA") +
 SUMIFS(viernes!$D:$D, viernes!$A:$A, $A68, viernes!$C:$C, "ENTRADA") +
 SUMIFS(sabado!$D:$D, sabado!$A:$A, $A68, sabado!$C:$C, "ENTRADA")</f>
        <v>0</v>
      </c>
      <c r="E68">
        <f>SUMIFS(lunes!$D:$D, lunes!$A:$A, $A68, lunes!$C:$C, "SALIDA") +
 SUMIFS(martes!$D:$D, martes!$A:$A, $A68, martes!$C:$C, "SALIDA") +
 SUMIFS(miercoles!$D:$D, miercoles!$A:$A, $A68, miercoles!$C:$C, "SALIDA") +
 SUMIFS(jueves!$D:$D, jueves!$A:$A, $A68, jueves!$C:$C, "SALIDA") +
 SUMIFS(viernes!$D:$D, viernes!$A:$A, $A68, viernes!$C:$C, "SALIDA") +
 SUMIFS(sabado!$D:$D, sabado!$A:$A, $A68, sabado!$C:$C, "SALIDA")</f>
        <v>0</v>
      </c>
      <c r="F68">
        <f t="shared" si="6"/>
        <v>3</v>
      </c>
      <c r="G68">
        <f>IFERROR(VLOOKUP(A68, sabado!A:I, 9, 0),
 IFERROR(VLOOKUP(A68, viernes!A:I, 9, 0),
 IFERROR(VLOOKUP(A68, jueves!A:I, 9, 0),
 IFERROR(VLOOKUP(A68, miercoles!A:I, 9, 0),
 IFERROR(VLOOKUP(A68, martes!A:I, 9, 0),
 IFERROR(VLOOKUP(A68, lunes!A:I, 9, 0),
 B68))))))</f>
        <v>3</v>
      </c>
      <c r="H68">
        <f>VLOOKUP(A68, Configuracion!A:C, 3, FALSE)</f>
        <v>130</v>
      </c>
      <c r="I68">
        <f t="shared" si="7"/>
        <v>0</v>
      </c>
      <c r="J68">
        <f>SUMIFS(lunes!$F:$F, lunes!$A:$A, $A68, lunes!$C:$C, "VENTA") +
 SUMIFS(martes!$F:$F, martes!$A:$A, $A68, martes!$C:$C, "VENTA") +
 SUMIFS(miercoles!$F:$F, miercoles!$A:$A, $A68, miercoles!$C:$C, "VENTA") +
 SUMIFS(jueves!$F:$F, jueves!$A:$A, $A68, jueves!$C:$C, "VENTA") +
 SUMIFS(viernes!$F:$F, viernes!$A:$A, $A68, viernes!$C:$C, "VENTA") +
 SUMIFS(sabado!$F:$F, sabado!$A:$A, $A68, sabado!$C:$C, "VENTA")</f>
        <v>0</v>
      </c>
      <c r="K68">
        <f t="shared" si="8"/>
        <v>0</v>
      </c>
    </row>
    <row r="69" spans="1:11" x14ac:dyDescent="0.3">
      <c r="A69" s="1" t="str">
        <f>Configuracion!A68</f>
        <v xml:space="preserve">LAMPARA SOLAR 1000W </v>
      </c>
      <c r="B69">
        <f>VLOOKUP(A69, Configuracion!A:B, 2, FALSE)</f>
        <v>3</v>
      </c>
      <c r="C69">
        <f>SUMIFS(lunes!D:D, lunes!A:A, A69, lunes!C:C, "VENTA") +
 SUMIFS(martes!D:D, martes!A:A, A69, martes!C:C, "VENTA") +
 SUMIFS(miercoles!D:D, miercoles!A:A, A69, miercoles!C:C, "VENTA") +
 SUMIFS(jueves!D:D, jueves!A:A, A69, jueves!C:C, "VENTA") +
 SUMIFS(viernes!D:D, viernes!A:A, A69, viernes!C:C, "VENTA") +
 SUMIFS(sabado!D:D, sabado!A:A, A69, sabado!C:C, "VENTA")</f>
        <v>0</v>
      </c>
      <c r="D69">
        <f>SUMIFS(lunes!$D:$D, lunes!$A:$A, $A69, lunes!$C:$C, "ENTRADA") +
 SUMIFS(martes!$D:$D, martes!$A:$A, $A69, martes!$C:$C, "ENTRADA") +
 SUMIFS(miercoles!$D:$D, miercoles!$A:$A, $A69, miercoles!$C:$C, "ENTRADA") +
 SUMIFS(jueves!$D:$D, jueves!$A:$A, $A69, jueves!$C:$C, "ENTRADA") +
 SUMIFS(viernes!$D:$D, viernes!$A:$A, $A69, viernes!$C:$C, "ENTRADA") +
 SUMIFS(sabado!$D:$D, sabado!$A:$A, $A69, sabado!$C:$C, "ENTRADA")</f>
        <v>0</v>
      </c>
      <c r="E69">
        <f>SUMIFS(lunes!$D:$D, lunes!$A:$A, $A69, lunes!$C:$C, "SALIDA") +
 SUMIFS(martes!$D:$D, martes!$A:$A, $A69, martes!$C:$C, "SALIDA") +
 SUMIFS(miercoles!$D:$D, miercoles!$A:$A, $A69, miercoles!$C:$C, "SALIDA") +
 SUMIFS(jueves!$D:$D, jueves!$A:$A, $A69, jueves!$C:$C, "SALIDA") +
 SUMIFS(viernes!$D:$D, viernes!$A:$A, $A69, viernes!$C:$C, "SALIDA") +
 SUMIFS(sabado!$D:$D, sabado!$A:$A, $A69, sabado!$C:$C, "SALIDA")</f>
        <v>0</v>
      </c>
      <c r="F69">
        <f t="shared" si="6"/>
        <v>3</v>
      </c>
      <c r="G69">
        <f>IFERROR(VLOOKUP(A69, sabado!A:I, 9, 0),
 IFERROR(VLOOKUP(A69, viernes!A:I, 9, 0),
 IFERROR(VLOOKUP(A69, jueves!A:I, 9, 0),
 IFERROR(VLOOKUP(A69, miercoles!A:I, 9, 0),
 IFERROR(VLOOKUP(A69, martes!A:I, 9, 0),
 IFERROR(VLOOKUP(A69, lunes!A:I, 9, 0),
 B69))))))</f>
        <v>3</v>
      </c>
      <c r="H69">
        <f>VLOOKUP(A69, Configuracion!A:C, 3, FALSE)</f>
        <v>140</v>
      </c>
      <c r="I69">
        <f t="shared" si="7"/>
        <v>0</v>
      </c>
      <c r="J69">
        <f>SUMIFS(lunes!$F:$F, lunes!$A:$A, $A69, lunes!$C:$C, "VENTA") +
 SUMIFS(martes!$F:$F, martes!$A:$A, $A69, martes!$C:$C, "VENTA") +
 SUMIFS(miercoles!$F:$F, miercoles!$A:$A, $A69, miercoles!$C:$C, "VENTA") +
 SUMIFS(jueves!$F:$F, jueves!$A:$A, $A69, jueves!$C:$C, "VENTA") +
 SUMIFS(viernes!$F:$F, viernes!$A:$A, $A69, viernes!$C:$C, "VENTA") +
 SUMIFS(sabado!$F:$F, sabado!$A:$A, $A69, sabado!$C:$C, "VENTA")</f>
        <v>0</v>
      </c>
      <c r="K69">
        <f t="shared" si="8"/>
        <v>0</v>
      </c>
    </row>
    <row r="70" spans="1:11" x14ac:dyDescent="0.3">
      <c r="A70" s="1" t="str">
        <f>Configuracion!A69</f>
        <v>LAMPARA DE 100W CON PANEL</v>
      </c>
      <c r="B70">
        <f>VLOOKUP(A70, Configuracion!A:B, 2, FALSE)</f>
        <v>1</v>
      </c>
      <c r="C70">
        <f>SUMIFS(lunes!D:D, lunes!A:A, A70, lunes!C:C, "VENTA") +
 SUMIFS(martes!D:D, martes!A:A, A70, martes!C:C, "VENTA") +
 SUMIFS(miercoles!D:D, miercoles!A:A, A70, miercoles!C:C, "VENTA") +
 SUMIFS(jueves!D:D, jueves!A:A, A70, jueves!C:C, "VENTA") +
 SUMIFS(viernes!D:D, viernes!A:A, A70, viernes!C:C, "VENTA") +
 SUMIFS(sabado!D:D, sabado!A:A, A70, sabado!C:C, "VENTA")</f>
        <v>0</v>
      </c>
      <c r="D70">
        <f>SUMIFS(lunes!$D:$D, lunes!$A:$A, $A70, lunes!$C:$C, "ENTRADA") +
 SUMIFS(martes!$D:$D, martes!$A:$A, $A70, martes!$C:$C, "ENTRADA") +
 SUMIFS(miercoles!$D:$D, miercoles!$A:$A, $A70, miercoles!$C:$C, "ENTRADA") +
 SUMIFS(jueves!$D:$D, jueves!$A:$A, $A70, jueves!$C:$C, "ENTRADA") +
 SUMIFS(viernes!$D:$D, viernes!$A:$A, $A70, viernes!$C:$C, "ENTRADA") +
 SUMIFS(sabado!$D:$D, sabado!$A:$A, $A70, sabado!$C:$C, "ENTRADA")</f>
        <v>0</v>
      </c>
      <c r="E70">
        <f>SUMIFS(lunes!$D:$D, lunes!$A:$A, $A70, lunes!$C:$C, "SALIDA") +
 SUMIFS(martes!$D:$D, martes!$A:$A, $A70, martes!$C:$C, "SALIDA") +
 SUMIFS(miercoles!$D:$D, miercoles!$A:$A, $A70, miercoles!$C:$C, "SALIDA") +
 SUMIFS(jueves!$D:$D, jueves!$A:$A, $A70, jueves!$C:$C, "SALIDA") +
 SUMIFS(viernes!$D:$D, viernes!$A:$A, $A70, viernes!$C:$C, "SALIDA") +
 SUMIFS(sabado!$D:$D, sabado!$A:$A, $A70, sabado!$C:$C, "SALIDA")</f>
        <v>0</v>
      </c>
      <c r="F70">
        <f t="shared" si="6"/>
        <v>1</v>
      </c>
      <c r="G70">
        <f>IFERROR(VLOOKUP(A70, sabado!A:I, 9, 0),
 IFERROR(VLOOKUP(A70, viernes!A:I, 9, 0),
 IFERROR(VLOOKUP(A70, jueves!A:I, 9, 0),
 IFERROR(VLOOKUP(A70, miercoles!A:I, 9, 0),
 IFERROR(VLOOKUP(A70, martes!A:I, 9, 0),
 IFERROR(VLOOKUP(A70, lunes!A:I, 9, 0),
 B70))))))</f>
        <v>1</v>
      </c>
      <c r="H70">
        <f>VLOOKUP(A70, Configuracion!A:C, 3, FALSE)</f>
        <v>45</v>
      </c>
      <c r="I70">
        <f t="shared" si="7"/>
        <v>0</v>
      </c>
      <c r="J70">
        <f>SUMIFS(lunes!$F:$F, lunes!$A:$A, $A70, lunes!$C:$C, "VENTA") +
 SUMIFS(martes!$F:$F, martes!$A:$A, $A70, martes!$C:$C, "VENTA") +
 SUMIFS(miercoles!$F:$F, miercoles!$A:$A, $A70, miercoles!$C:$C, "VENTA") +
 SUMIFS(jueves!$F:$F, jueves!$A:$A, $A70, jueves!$C:$C, "VENTA") +
 SUMIFS(viernes!$F:$F, viernes!$A:$A, $A70, viernes!$C:$C, "VENTA") +
 SUMIFS(sabado!$F:$F, sabado!$A:$A, $A70, sabado!$C:$C, "VENTA")</f>
        <v>0</v>
      </c>
      <c r="K70">
        <f t="shared" si="8"/>
        <v>0</v>
      </c>
    </row>
    <row r="71" spans="1:11" x14ac:dyDescent="0.3">
      <c r="A71" s="1" t="str">
        <f>Configuracion!A70</f>
        <v>LAMPARA DE 360 W CON PANEL INTEGRADO</v>
      </c>
      <c r="B71">
        <f>VLOOKUP(A71, Configuracion!A:B, 2, FALSE)</f>
        <v>0</v>
      </c>
      <c r="C71">
        <f>SUMIFS(lunes!D:D, lunes!A:A, A71, lunes!C:C, "VENTA") +
 SUMIFS(martes!D:D, martes!A:A, A71, martes!C:C, "VENTA") +
 SUMIFS(miercoles!D:D, miercoles!A:A, A71, miercoles!C:C, "VENTA") +
 SUMIFS(jueves!D:D, jueves!A:A, A71, jueves!C:C, "VENTA") +
 SUMIFS(viernes!D:D, viernes!A:A, A71, viernes!C:C, "VENTA") +
 SUMIFS(sabado!D:D, sabado!A:A, A71, sabado!C:C, "VENTA")</f>
        <v>0</v>
      </c>
      <c r="D71">
        <f>SUMIFS(lunes!$D:$D, lunes!$A:$A, $A71, lunes!$C:$C, "ENTRADA") +
 SUMIFS(martes!$D:$D, martes!$A:$A, $A71, martes!$C:$C, "ENTRADA") +
 SUMIFS(miercoles!$D:$D, miercoles!$A:$A, $A71, miercoles!$C:$C, "ENTRADA") +
 SUMIFS(jueves!$D:$D, jueves!$A:$A, $A71, jueves!$C:$C, "ENTRADA") +
 SUMIFS(viernes!$D:$D, viernes!$A:$A, $A71, viernes!$C:$C, "ENTRADA") +
 SUMIFS(sabado!$D:$D, sabado!$A:$A, $A71, sabado!$C:$C, "ENTRADA")</f>
        <v>0</v>
      </c>
      <c r="E71">
        <f>SUMIFS(lunes!$D:$D, lunes!$A:$A, $A71, lunes!$C:$C, "SALIDA") +
 SUMIFS(martes!$D:$D, martes!$A:$A, $A71, martes!$C:$C, "SALIDA") +
 SUMIFS(miercoles!$D:$D, miercoles!$A:$A, $A71, miercoles!$C:$C, "SALIDA") +
 SUMIFS(jueves!$D:$D, jueves!$A:$A, $A71, jueves!$C:$C, "SALIDA") +
 SUMIFS(viernes!$D:$D, viernes!$A:$A, $A71, viernes!$C:$C, "SALIDA") +
 SUMIFS(sabado!$D:$D, sabado!$A:$A, $A71, sabado!$C:$C, "SALIDA")</f>
        <v>0</v>
      </c>
      <c r="F71">
        <f t="shared" si="6"/>
        <v>0</v>
      </c>
      <c r="G71">
        <f>IFERROR(VLOOKUP(A71, sabado!A:I, 9, 0),
 IFERROR(VLOOKUP(A71, viernes!A:I, 9, 0),
 IFERROR(VLOOKUP(A71, jueves!A:I, 9, 0),
 IFERROR(VLOOKUP(A71, miercoles!A:I, 9, 0),
 IFERROR(VLOOKUP(A71, martes!A:I, 9, 0),
 IFERROR(VLOOKUP(A71, lunes!A:I, 9, 0),
 B71))))))</f>
        <v>0</v>
      </c>
      <c r="H71">
        <f>VLOOKUP(A71, Configuracion!A:C, 3, FALSE)</f>
        <v>125</v>
      </c>
      <c r="I71">
        <f t="shared" si="7"/>
        <v>0</v>
      </c>
      <c r="J71">
        <f>SUMIFS(lunes!$F:$F, lunes!$A:$A, $A71, lunes!$C:$C, "VENTA") +
 SUMIFS(martes!$F:$F, martes!$A:$A, $A71, martes!$C:$C, "VENTA") +
 SUMIFS(miercoles!$F:$F, miercoles!$A:$A, $A71, miercoles!$C:$C, "VENTA") +
 SUMIFS(jueves!$F:$F, jueves!$A:$A, $A71, jueves!$C:$C, "VENTA") +
 SUMIFS(viernes!$F:$F, viernes!$A:$A, $A71, viernes!$C:$C, "VENTA") +
 SUMIFS(sabado!$F:$F, sabado!$A:$A, $A71, sabado!$C:$C, "VENTA")</f>
        <v>0</v>
      </c>
      <c r="K71">
        <f t="shared" si="8"/>
        <v>0</v>
      </c>
    </row>
    <row r="72" spans="1:11" x14ac:dyDescent="0.3">
      <c r="A72" s="1" t="str">
        <f>Configuracion!A71</f>
        <v>LAMPARA DE 300 W CON PANEL INTEGRADO</v>
      </c>
      <c r="B72">
        <f>VLOOKUP(A72, Configuracion!A:B, 2, FALSE)</f>
        <v>1</v>
      </c>
      <c r="C72">
        <f>SUMIFS(lunes!D:D, lunes!A:A, A72, lunes!C:C, "VENTA") +
 SUMIFS(martes!D:D, martes!A:A, A72, martes!C:C, "VENTA") +
 SUMIFS(miercoles!D:D, miercoles!A:A, A72, miercoles!C:C, "VENTA") +
 SUMIFS(jueves!D:D, jueves!A:A, A72, jueves!C:C, "VENTA") +
 SUMIFS(viernes!D:D, viernes!A:A, A72, viernes!C:C, "VENTA") +
 SUMIFS(sabado!D:D, sabado!A:A, A72, sabado!C:C, "VENTA")</f>
        <v>0</v>
      </c>
      <c r="D72">
        <f>SUMIFS(lunes!$D:$D, lunes!$A:$A, $A72, lunes!$C:$C, "ENTRADA") +
 SUMIFS(martes!$D:$D, martes!$A:$A, $A72, martes!$C:$C, "ENTRADA") +
 SUMIFS(miercoles!$D:$D, miercoles!$A:$A, $A72, miercoles!$C:$C, "ENTRADA") +
 SUMIFS(jueves!$D:$D, jueves!$A:$A, $A72, jueves!$C:$C, "ENTRADA") +
 SUMIFS(viernes!$D:$D, viernes!$A:$A, $A72, viernes!$C:$C, "ENTRADA") +
 SUMIFS(sabado!$D:$D, sabado!$A:$A, $A72, sabado!$C:$C, "ENTRADA")</f>
        <v>0</v>
      </c>
      <c r="E72">
        <f>SUMIFS(lunes!$D:$D, lunes!$A:$A, $A72, lunes!$C:$C, "SALIDA") +
 SUMIFS(martes!$D:$D, martes!$A:$A, $A72, martes!$C:$C, "SALIDA") +
 SUMIFS(miercoles!$D:$D, miercoles!$A:$A, $A72, miercoles!$C:$C, "SALIDA") +
 SUMIFS(jueves!$D:$D, jueves!$A:$A, $A72, jueves!$C:$C, "SALIDA") +
 SUMIFS(viernes!$D:$D, viernes!$A:$A, $A72, viernes!$C:$C, "SALIDA") +
 SUMIFS(sabado!$D:$D, sabado!$A:$A, $A72, sabado!$C:$C, "SALIDA")</f>
        <v>0</v>
      </c>
      <c r="F72">
        <f t="shared" si="6"/>
        <v>1</v>
      </c>
      <c r="G72">
        <f>IFERROR(VLOOKUP(A72, sabado!A:I, 9, 0),
 IFERROR(VLOOKUP(A72, viernes!A:I, 9, 0),
 IFERROR(VLOOKUP(A72, jueves!A:I, 9, 0),
 IFERROR(VLOOKUP(A72, miercoles!A:I, 9, 0),
 IFERROR(VLOOKUP(A72, martes!A:I, 9, 0),
 IFERROR(VLOOKUP(A72, lunes!A:I, 9, 0),
 B72))))))</f>
        <v>1</v>
      </c>
      <c r="H72">
        <f>VLOOKUP(A72, Configuracion!A:C, 3, FALSE)</f>
        <v>120</v>
      </c>
      <c r="I72">
        <f t="shared" si="7"/>
        <v>0</v>
      </c>
      <c r="J72">
        <f>SUMIFS(lunes!$F:$F, lunes!$A:$A, $A72, lunes!$C:$C, "VENTA") +
 SUMIFS(martes!$F:$F, martes!$A:$A, $A72, martes!$C:$C, "VENTA") +
 SUMIFS(miercoles!$F:$F, miercoles!$A:$A, $A72, miercoles!$C:$C, "VENTA") +
 SUMIFS(jueves!$F:$F, jueves!$A:$A, $A72, jueves!$C:$C, "VENTA") +
 SUMIFS(viernes!$F:$F, viernes!$A:$A, $A72, viernes!$C:$C, "VENTA") +
 SUMIFS(sabado!$F:$F, sabado!$A:$A, $A72, sabado!$C:$C, "VENTA")</f>
        <v>0</v>
      </c>
      <c r="K72">
        <f t="shared" si="8"/>
        <v>0</v>
      </c>
    </row>
    <row r="73" spans="1:11" x14ac:dyDescent="0.3">
      <c r="A73" s="1" t="str">
        <f>Configuracion!A72</f>
        <v>LAMPARA DE 200 W CON PANEL INDEPENDIENTE</v>
      </c>
      <c r="B73">
        <f>VLOOKUP(A73, Configuracion!A:B, 2, FALSE)</f>
        <v>1</v>
      </c>
      <c r="C73">
        <f>SUMIFS(lunes!D:D, lunes!A:A, A73, lunes!C:C, "VENTA") +
 SUMIFS(martes!D:D, martes!A:A, A73, martes!C:C, "VENTA") +
 SUMIFS(miercoles!D:D, miercoles!A:A, A73, miercoles!C:C, "VENTA") +
 SUMIFS(jueves!D:D, jueves!A:A, A73, jueves!C:C, "VENTA") +
 SUMIFS(viernes!D:D, viernes!A:A, A73, viernes!C:C, "VENTA") +
 SUMIFS(sabado!D:D, sabado!A:A, A73, sabado!C:C, "VENTA")</f>
        <v>0</v>
      </c>
      <c r="D73">
        <f>SUMIFS(lunes!$D:$D, lunes!$A:$A, $A73, lunes!$C:$C, "ENTRADA") +
 SUMIFS(martes!$D:$D, martes!$A:$A, $A73, martes!$C:$C, "ENTRADA") +
 SUMIFS(miercoles!$D:$D, miercoles!$A:$A, $A73, miercoles!$C:$C, "ENTRADA") +
 SUMIFS(jueves!$D:$D, jueves!$A:$A, $A73, jueves!$C:$C, "ENTRADA") +
 SUMIFS(viernes!$D:$D, viernes!$A:$A, $A73, viernes!$C:$C, "ENTRADA") +
 SUMIFS(sabado!$D:$D, sabado!$A:$A, $A73, sabado!$C:$C, "ENTRADA")</f>
        <v>0</v>
      </c>
      <c r="E73">
        <f>SUMIFS(lunes!$D:$D, lunes!$A:$A, $A73, lunes!$C:$C, "SALIDA") +
 SUMIFS(martes!$D:$D, martes!$A:$A, $A73, martes!$C:$C, "SALIDA") +
 SUMIFS(miercoles!$D:$D, miercoles!$A:$A, $A73, miercoles!$C:$C, "SALIDA") +
 SUMIFS(jueves!$D:$D, jueves!$A:$A, $A73, jueves!$C:$C, "SALIDA") +
 SUMIFS(viernes!$D:$D, viernes!$A:$A, $A73, viernes!$C:$C, "SALIDA") +
 SUMIFS(sabado!$D:$D, sabado!$A:$A, $A73, sabado!$C:$C, "SALIDA")</f>
        <v>0</v>
      </c>
      <c r="F73">
        <f t="shared" si="6"/>
        <v>1</v>
      </c>
      <c r="G73">
        <f>IFERROR(VLOOKUP(A73, sabado!A:I, 9, 0),
 IFERROR(VLOOKUP(A73, viernes!A:I, 9, 0),
 IFERROR(VLOOKUP(A73, jueves!A:I, 9, 0),
 IFERROR(VLOOKUP(A73, miercoles!A:I, 9, 0),
 IFERROR(VLOOKUP(A73, martes!A:I, 9, 0),
 IFERROR(VLOOKUP(A73, lunes!A:I, 9, 0),
 B73))))))</f>
        <v>1</v>
      </c>
      <c r="H73">
        <f>VLOOKUP(A73, Configuracion!A:C, 3, FALSE)</f>
        <v>90</v>
      </c>
      <c r="I73">
        <f t="shared" si="7"/>
        <v>0</v>
      </c>
      <c r="J73">
        <f>SUMIFS(lunes!$F:$F, lunes!$A:$A, $A73, lunes!$C:$C, "VENTA") +
 SUMIFS(martes!$F:$F, martes!$A:$A, $A73, martes!$C:$C, "VENTA") +
 SUMIFS(miercoles!$F:$F, miercoles!$A:$A, $A73, miercoles!$C:$C, "VENTA") +
 SUMIFS(jueves!$F:$F, jueves!$A:$A, $A73, jueves!$C:$C, "VENTA") +
 SUMIFS(viernes!$F:$F, viernes!$A:$A, $A73, viernes!$C:$C, "VENTA") +
 SUMIFS(sabado!$F:$F, sabado!$A:$A, $A73, sabado!$C:$C, "VENTA")</f>
        <v>0</v>
      </c>
      <c r="K73">
        <f t="shared" si="8"/>
        <v>0</v>
      </c>
    </row>
    <row r="74" spans="1:11" x14ac:dyDescent="0.3">
      <c r="A74" s="1" t="str">
        <f>Configuracion!A73</f>
        <v>LAMPARA DE 300 W CON PANEL INDEPENDIENTE</v>
      </c>
      <c r="B74">
        <f>VLOOKUP(A74, Configuracion!A:B, 2, FALSE)</f>
        <v>1</v>
      </c>
      <c r="C74">
        <f>SUMIFS(lunes!D:D, lunes!A:A, A74, lunes!C:C, "VENTA") +
 SUMIFS(martes!D:D, martes!A:A, A74, martes!C:C, "VENTA") +
 SUMIFS(miercoles!D:D, miercoles!A:A, A74, miercoles!C:C, "VENTA") +
 SUMIFS(jueves!D:D, jueves!A:A, A74, jueves!C:C, "VENTA") +
 SUMIFS(viernes!D:D, viernes!A:A, A74, viernes!C:C, "VENTA") +
 SUMIFS(sabado!D:D, sabado!A:A, A74, sabado!C:C, "VENTA")</f>
        <v>0</v>
      </c>
      <c r="D74">
        <f>SUMIFS(lunes!$D:$D, lunes!$A:$A, $A74, lunes!$C:$C, "ENTRADA") +
 SUMIFS(martes!$D:$D, martes!$A:$A, $A74, martes!$C:$C, "ENTRADA") +
 SUMIFS(miercoles!$D:$D, miercoles!$A:$A, $A74, miercoles!$C:$C, "ENTRADA") +
 SUMIFS(jueves!$D:$D, jueves!$A:$A, $A74, jueves!$C:$C, "ENTRADA") +
 SUMIFS(viernes!$D:$D, viernes!$A:$A, $A74, viernes!$C:$C, "ENTRADA") +
 SUMIFS(sabado!$D:$D, sabado!$A:$A, $A74, sabado!$C:$C, "ENTRADA")</f>
        <v>0</v>
      </c>
      <c r="E74">
        <f>SUMIFS(lunes!$D:$D, lunes!$A:$A, $A74, lunes!$C:$C, "SALIDA") +
 SUMIFS(martes!$D:$D, martes!$A:$A, $A74, martes!$C:$C, "SALIDA") +
 SUMIFS(miercoles!$D:$D, miercoles!$A:$A, $A74, miercoles!$C:$C, "SALIDA") +
 SUMIFS(jueves!$D:$D, jueves!$A:$A, $A74, jueves!$C:$C, "SALIDA") +
 SUMIFS(viernes!$D:$D, viernes!$A:$A, $A74, viernes!$C:$C, "SALIDA") +
 SUMIFS(sabado!$D:$D, sabado!$A:$A, $A74, sabado!$C:$C, "SALIDA")</f>
        <v>0</v>
      </c>
      <c r="F74">
        <f t="shared" si="6"/>
        <v>1</v>
      </c>
      <c r="G74">
        <f>IFERROR(VLOOKUP(A74, sabado!A:I, 9, 0),
 IFERROR(VLOOKUP(A74, viernes!A:I, 9, 0),
 IFERROR(VLOOKUP(A74, jueves!A:I, 9, 0),
 IFERROR(VLOOKUP(A74, miercoles!A:I, 9, 0),
 IFERROR(VLOOKUP(A74, martes!A:I, 9, 0),
 IFERROR(VLOOKUP(A74, lunes!A:I, 9, 0),
 B74))))))</f>
        <v>1</v>
      </c>
      <c r="H74">
        <f>VLOOKUP(A74, Configuracion!A:C, 3, FALSE)</f>
        <v>95</v>
      </c>
      <c r="I74">
        <f t="shared" si="7"/>
        <v>0</v>
      </c>
      <c r="J74">
        <f>SUMIFS(lunes!$F:$F, lunes!$A:$A, $A74, lunes!$C:$C, "VENTA") +
 SUMIFS(martes!$F:$F, martes!$A:$A, $A74, martes!$C:$C, "VENTA") +
 SUMIFS(miercoles!$F:$F, miercoles!$A:$A, $A74, miercoles!$C:$C, "VENTA") +
 SUMIFS(jueves!$F:$F, jueves!$A:$A, $A74, jueves!$C:$C, "VENTA") +
 SUMIFS(viernes!$F:$F, viernes!$A:$A, $A74, viernes!$C:$C, "VENTA") +
 SUMIFS(sabado!$F:$F, sabado!$A:$A, $A74, sabado!$C:$C, "VENTA")</f>
        <v>0</v>
      </c>
      <c r="K74">
        <f t="shared" si="8"/>
        <v>0</v>
      </c>
    </row>
    <row r="75" spans="1:11" x14ac:dyDescent="0.3">
      <c r="A75" s="1" t="str">
        <f>Configuracion!A74</f>
        <v>LAVADORA SECADORA AUTOMÁTICA MILEXUS 10 KG</v>
      </c>
      <c r="B75">
        <f>VLOOKUP(A75, Configuracion!A:B, 2, FALSE)</f>
        <v>0</v>
      </c>
      <c r="C75">
        <f>SUMIFS(lunes!D:D, lunes!A:A, A75, lunes!C:C, "VENTA") +
 SUMIFS(martes!D:D, martes!A:A, A75, martes!C:C, "VENTA") +
 SUMIFS(miercoles!D:D, miercoles!A:A, A75, miercoles!C:C, "VENTA") +
 SUMIFS(jueves!D:D, jueves!A:A, A75, jueves!C:C, "VENTA") +
 SUMIFS(viernes!D:D, viernes!A:A, A75, viernes!C:C, "VENTA") +
 SUMIFS(sabado!D:D, sabado!A:A, A75, sabado!C:C, "VENTA")</f>
        <v>0</v>
      </c>
      <c r="D75">
        <f>SUMIFS(lunes!$D:$D, lunes!$A:$A, $A75, lunes!$C:$C, "ENTRADA") +
 SUMIFS(martes!$D:$D, martes!$A:$A, $A75, martes!$C:$C, "ENTRADA") +
 SUMIFS(miercoles!$D:$D, miercoles!$A:$A, $A75, miercoles!$C:$C, "ENTRADA") +
 SUMIFS(jueves!$D:$D, jueves!$A:$A, $A75, jueves!$C:$C, "ENTRADA") +
 SUMIFS(viernes!$D:$D, viernes!$A:$A, $A75, viernes!$C:$C, "ENTRADA") +
 SUMIFS(sabado!$D:$D, sabado!$A:$A, $A75, sabado!$C:$C, "ENTRADA")</f>
        <v>0</v>
      </c>
      <c r="E75">
        <f>SUMIFS(lunes!$D:$D, lunes!$A:$A, $A75, lunes!$C:$C, "SALIDA") +
 SUMIFS(martes!$D:$D, martes!$A:$A, $A75, martes!$C:$C, "SALIDA") +
 SUMIFS(miercoles!$D:$D, miercoles!$A:$A, $A75, miercoles!$C:$C, "SALIDA") +
 SUMIFS(jueves!$D:$D, jueves!$A:$A, $A75, jueves!$C:$C, "SALIDA") +
 SUMIFS(viernes!$D:$D, viernes!$A:$A, $A75, viernes!$C:$C, "SALIDA") +
 SUMIFS(sabado!$D:$D, sabado!$A:$A, $A75, sabado!$C:$C, "SALIDA")</f>
        <v>0</v>
      </c>
      <c r="F75">
        <f t="shared" si="6"/>
        <v>0</v>
      </c>
      <c r="G75">
        <f>IFERROR(VLOOKUP(A75, sabado!A:I, 9, 0),
 IFERROR(VLOOKUP(A75, viernes!A:I, 9, 0),
 IFERROR(VLOOKUP(A75, jueves!A:I, 9, 0),
 IFERROR(VLOOKUP(A75, miercoles!A:I, 9, 0),
 IFERROR(VLOOKUP(A75, martes!A:I, 9, 0),
 IFERROR(VLOOKUP(A75, lunes!A:I, 9, 0),
 B75))))))</f>
        <v>0</v>
      </c>
      <c r="H75">
        <f>VLOOKUP(A75, Configuracion!A:C, 3, FALSE)</f>
        <v>650</v>
      </c>
      <c r="I75">
        <f t="shared" si="7"/>
        <v>0</v>
      </c>
      <c r="J75">
        <f>SUMIFS(lunes!$F:$F, lunes!$A:$A, $A75, lunes!$C:$C, "VENTA") +
 SUMIFS(martes!$F:$F, martes!$A:$A, $A75, martes!$C:$C, "VENTA") +
 SUMIFS(miercoles!$F:$F, miercoles!$A:$A, $A75, miercoles!$C:$C, "VENTA") +
 SUMIFS(jueves!$F:$F, jueves!$A:$A, $A75, jueves!$C:$C, "VENTA") +
 SUMIFS(viernes!$F:$F, viernes!$A:$A, $A75, viernes!$C:$C, "VENTA") +
 SUMIFS(sabado!$F:$F, sabado!$A:$A, $A75, sabado!$C:$C, "VENTA")</f>
        <v>0</v>
      </c>
      <c r="K75">
        <f t="shared" si="8"/>
        <v>0</v>
      </c>
    </row>
    <row r="76" spans="1:11" x14ac:dyDescent="0.3">
      <c r="A76" s="1" t="str">
        <f>Configuracion!A75</f>
        <v>LAVADORA PREMIER AUTOMÁTICA 11 KG</v>
      </c>
      <c r="B76">
        <f>VLOOKUP(A76, Configuracion!A:B, 2, FALSE)</f>
        <v>1</v>
      </c>
      <c r="C76">
        <f>SUMIFS(lunes!D:D, lunes!A:A, A76, lunes!C:C, "VENTA") +
 SUMIFS(martes!D:D, martes!A:A, A76, martes!C:C, "VENTA") +
 SUMIFS(miercoles!D:D, miercoles!A:A, A76, miercoles!C:C, "VENTA") +
 SUMIFS(jueves!D:D, jueves!A:A, A76, jueves!C:C, "VENTA") +
 SUMIFS(viernes!D:D, viernes!A:A, A76, viernes!C:C, "VENTA") +
 SUMIFS(sabado!D:D, sabado!A:A, A76, sabado!C:C, "VENTA")</f>
        <v>0</v>
      </c>
      <c r="D76">
        <f>SUMIFS(lunes!$D:$D, lunes!$A:$A, $A76, lunes!$C:$C, "ENTRADA") +
 SUMIFS(martes!$D:$D, martes!$A:$A, $A76, martes!$C:$C, "ENTRADA") +
 SUMIFS(miercoles!$D:$D, miercoles!$A:$A, $A76, miercoles!$C:$C, "ENTRADA") +
 SUMIFS(jueves!$D:$D, jueves!$A:$A, $A76, jueves!$C:$C, "ENTRADA") +
 SUMIFS(viernes!$D:$D, viernes!$A:$A, $A76, viernes!$C:$C, "ENTRADA") +
 SUMIFS(sabado!$D:$D, sabado!$A:$A, $A76, sabado!$C:$C, "ENTRADA")</f>
        <v>0</v>
      </c>
      <c r="E76">
        <f>SUMIFS(lunes!$D:$D, lunes!$A:$A, $A76, lunes!$C:$C, "SALIDA") +
 SUMIFS(martes!$D:$D, martes!$A:$A, $A76, martes!$C:$C, "SALIDA") +
 SUMIFS(miercoles!$D:$D, miercoles!$A:$A, $A76, miercoles!$C:$C, "SALIDA") +
 SUMIFS(jueves!$D:$D, jueves!$A:$A, $A76, jueves!$C:$C, "SALIDA") +
 SUMIFS(viernes!$D:$D, viernes!$A:$A, $A76, viernes!$C:$C, "SALIDA") +
 SUMIFS(sabado!$D:$D, sabado!$A:$A, $A76, sabado!$C:$C, "SALIDA")</f>
        <v>0</v>
      </c>
      <c r="F76">
        <f t="shared" si="6"/>
        <v>1</v>
      </c>
      <c r="G76">
        <f>IFERROR(VLOOKUP(A76, sabado!A:I, 9, 0),
 IFERROR(VLOOKUP(A76, viernes!A:I, 9, 0),
 IFERROR(VLOOKUP(A76, jueves!A:I, 9, 0),
 IFERROR(VLOOKUP(A76, miercoles!A:I, 9, 0),
 IFERROR(VLOOKUP(A76, martes!A:I, 9, 0),
 IFERROR(VLOOKUP(A76, lunes!A:I, 9, 0),
 B76))))))</f>
        <v>1</v>
      </c>
      <c r="H76">
        <f>VLOOKUP(A76, Configuracion!A:C, 3, FALSE)</f>
        <v>380</v>
      </c>
      <c r="I76">
        <f t="shared" si="7"/>
        <v>0</v>
      </c>
      <c r="J76">
        <f>SUMIFS(lunes!$F:$F, lunes!$A:$A, $A76, lunes!$C:$C, "VENTA") +
 SUMIFS(martes!$F:$F, martes!$A:$A, $A76, martes!$C:$C, "VENTA") +
 SUMIFS(miercoles!$F:$F, miercoles!$A:$A, $A76, miercoles!$C:$C, "VENTA") +
 SUMIFS(jueves!$F:$F, jueves!$A:$A, $A76, jueves!$C:$C, "VENTA") +
 SUMIFS(viernes!$F:$F, viernes!$A:$A, $A76, viernes!$C:$C, "VENTA") +
 SUMIFS(sabado!$F:$F, sabado!$A:$A, $A76, sabado!$C:$C, "VENTA")</f>
        <v>0</v>
      </c>
      <c r="K76">
        <f t="shared" si="8"/>
        <v>0</v>
      </c>
    </row>
    <row r="77" spans="1:11" x14ac:dyDescent="0.3">
      <c r="A77" s="1" t="str">
        <f>Configuracion!A76</f>
        <v>LAVADORA SANKEY 7 KG SEMI</v>
      </c>
      <c r="B77">
        <f>VLOOKUP(A77, Configuracion!A:B, 2, FALSE)</f>
        <v>0</v>
      </c>
      <c r="C77">
        <f>SUMIFS(lunes!D:D, lunes!A:A, A77, lunes!C:C, "VENTA") +
 SUMIFS(martes!D:D, martes!A:A, A77, martes!C:C, "VENTA") +
 SUMIFS(miercoles!D:D, miercoles!A:A, A77, miercoles!C:C, "VENTA") +
 SUMIFS(jueves!D:D, jueves!A:A, A77, jueves!C:C, "VENTA") +
 SUMIFS(viernes!D:D, viernes!A:A, A77, viernes!C:C, "VENTA") +
 SUMIFS(sabado!D:D, sabado!A:A, A77, sabado!C:C, "VENTA")</f>
        <v>0</v>
      </c>
      <c r="D77">
        <f>SUMIFS(lunes!$D:$D, lunes!$A:$A, $A77, lunes!$C:$C, "ENTRADA") +
 SUMIFS(martes!$D:$D, martes!$A:$A, $A77, martes!$C:$C, "ENTRADA") +
 SUMIFS(miercoles!$D:$D, miercoles!$A:$A, $A77, miercoles!$C:$C, "ENTRADA") +
 SUMIFS(jueves!$D:$D, jueves!$A:$A, $A77, jueves!$C:$C, "ENTRADA") +
 SUMIFS(viernes!$D:$D, viernes!$A:$A, $A77, viernes!$C:$C, "ENTRADA") +
 SUMIFS(sabado!$D:$D, sabado!$A:$A, $A77, sabado!$C:$C, "ENTRADA")</f>
        <v>0</v>
      </c>
      <c r="E77">
        <f>SUMIFS(lunes!$D:$D, lunes!$A:$A, $A77, lunes!$C:$C, "SALIDA") +
 SUMIFS(martes!$D:$D, martes!$A:$A, $A77, martes!$C:$C, "SALIDA") +
 SUMIFS(miercoles!$D:$D, miercoles!$A:$A, $A77, miercoles!$C:$C, "SALIDA") +
 SUMIFS(jueves!$D:$D, jueves!$A:$A, $A77, jueves!$C:$C, "SALIDA") +
 SUMIFS(viernes!$D:$D, viernes!$A:$A, $A77, viernes!$C:$C, "SALIDA") +
 SUMIFS(sabado!$D:$D, sabado!$A:$A, $A77, sabado!$C:$C, "SALIDA")</f>
        <v>0</v>
      </c>
      <c r="F77">
        <f t="shared" si="6"/>
        <v>0</v>
      </c>
      <c r="G77">
        <f>IFERROR(VLOOKUP(A77, sabado!A:I, 9, 0),
 IFERROR(VLOOKUP(A77, viernes!A:I, 9, 0),
 IFERROR(VLOOKUP(A77, jueves!A:I, 9, 0),
 IFERROR(VLOOKUP(A77, miercoles!A:I, 9, 0),
 IFERROR(VLOOKUP(A77, martes!A:I, 9, 0),
 IFERROR(VLOOKUP(A77, lunes!A:I, 9, 0),
 B77))))))</f>
        <v>0</v>
      </c>
      <c r="H77">
        <f>VLOOKUP(A77, Configuracion!A:C, 3, FALSE)</f>
        <v>170</v>
      </c>
      <c r="I77">
        <f t="shared" si="7"/>
        <v>0</v>
      </c>
      <c r="J77">
        <f>SUMIFS(lunes!$F:$F, lunes!$A:$A, $A77, lunes!$C:$C, "VENTA") +
 SUMIFS(martes!$F:$F, martes!$A:$A, $A77, martes!$C:$C, "VENTA") +
 SUMIFS(miercoles!$F:$F, miercoles!$A:$A, $A77, miercoles!$C:$C, "VENTA") +
 SUMIFS(jueves!$F:$F, jueves!$A:$A, $A77, jueves!$C:$C, "VENTA") +
 SUMIFS(viernes!$F:$F, viernes!$A:$A, $A77, viernes!$C:$C, "VENTA") +
 SUMIFS(sabado!$F:$F, sabado!$A:$A, $A77, sabado!$C:$C, "VENTA")</f>
        <v>0</v>
      </c>
      <c r="K77">
        <f t="shared" si="8"/>
        <v>0</v>
      </c>
    </row>
    <row r="78" spans="1:11" x14ac:dyDescent="0.3">
      <c r="A78" s="1" t="str">
        <f>Configuracion!A77</f>
        <v>LAVADORA 7 KG MILEXUS SEMI.</v>
      </c>
      <c r="B78">
        <f>VLOOKUP(A78, Configuracion!A:B, 2, FALSE)</f>
        <v>12</v>
      </c>
      <c r="C78">
        <f>SUMIFS(lunes!D:D, lunes!A:A, A78, lunes!C:C, "VENTA") +
 SUMIFS(martes!D:D, martes!A:A, A78, martes!C:C, "VENTA") +
 SUMIFS(miercoles!D:D, miercoles!A:A, A78, miercoles!C:C, "VENTA") +
 SUMIFS(jueves!D:D, jueves!A:A, A78, jueves!C:C, "VENTA") +
 SUMIFS(viernes!D:D, viernes!A:A, A78, viernes!C:C, "VENTA") +
 SUMIFS(sabado!D:D, sabado!A:A, A78, sabado!C:C, "VENTA")</f>
        <v>2</v>
      </c>
      <c r="D78">
        <f>SUMIFS(lunes!$D:$D, lunes!$A:$A, $A78, lunes!$C:$C, "ENTRADA") +
 SUMIFS(martes!$D:$D, martes!$A:$A, $A78, martes!$C:$C, "ENTRADA") +
 SUMIFS(miercoles!$D:$D, miercoles!$A:$A, $A78, miercoles!$C:$C, "ENTRADA") +
 SUMIFS(jueves!$D:$D, jueves!$A:$A, $A78, jueves!$C:$C, "ENTRADA") +
 SUMIFS(viernes!$D:$D, viernes!$A:$A, $A78, viernes!$C:$C, "ENTRADA") +
 SUMIFS(sabado!$D:$D, sabado!$A:$A, $A78, sabado!$C:$C, "ENTRADA")</f>
        <v>0</v>
      </c>
      <c r="E78">
        <f>SUMIFS(lunes!$D:$D, lunes!$A:$A, $A78, lunes!$C:$C, "SALIDA") +
 SUMIFS(martes!$D:$D, martes!$A:$A, $A78, martes!$C:$C, "SALIDA") +
 SUMIFS(miercoles!$D:$D, miercoles!$A:$A, $A78, miercoles!$C:$C, "SALIDA") +
 SUMIFS(jueves!$D:$D, jueves!$A:$A, $A78, jueves!$C:$C, "SALIDA") +
 SUMIFS(viernes!$D:$D, viernes!$A:$A, $A78, viernes!$C:$C, "SALIDA") +
 SUMIFS(sabado!$D:$D, sabado!$A:$A, $A78, sabado!$C:$C, "SALIDA")</f>
        <v>0</v>
      </c>
      <c r="F78">
        <f t="shared" si="6"/>
        <v>10</v>
      </c>
      <c r="G78">
        <f>IFERROR(VLOOKUP(A78, sabado!A:I, 9, 0),
 IFERROR(VLOOKUP(A78, viernes!A:I, 9, 0),
 IFERROR(VLOOKUP(A78, jueves!A:I, 9, 0),
 IFERROR(VLOOKUP(A78, miercoles!A:I, 9, 0),
 IFERROR(VLOOKUP(A78, martes!A:I, 9, 0),
 IFERROR(VLOOKUP(A78, lunes!A:I, 9, 0),
 B78))))))</f>
        <v>10</v>
      </c>
      <c r="H78">
        <f>VLOOKUP(A78, Configuracion!A:C, 3, FALSE)</f>
        <v>170</v>
      </c>
      <c r="I78">
        <f t="shared" si="7"/>
        <v>340</v>
      </c>
      <c r="J78">
        <f>SUMIFS(lunes!$F:$F, lunes!$A:$A, $A78, lunes!$C:$C, "VENTA") +
 SUMIFS(martes!$F:$F, martes!$A:$A, $A78, martes!$C:$C, "VENTA") +
 SUMIFS(miercoles!$F:$F, miercoles!$A:$A, $A78, miercoles!$C:$C, "VENTA") +
 SUMIFS(jueves!$F:$F, jueves!$A:$A, $A78, jueves!$C:$C, "VENTA") +
 SUMIFS(viernes!$F:$F, viernes!$A:$A, $A78, viernes!$C:$C, "VENTA") +
 SUMIFS(sabado!$F:$F, sabado!$A:$A, $A78, sabado!$C:$C, "VENTA")</f>
        <v>340</v>
      </c>
      <c r="K78">
        <f t="shared" si="8"/>
        <v>0</v>
      </c>
    </row>
    <row r="79" spans="1:11" x14ac:dyDescent="0.3">
      <c r="A79" s="1" t="str">
        <f>Configuracion!A78</f>
        <v>LAVADORA 10 KG AUTOMATICA SANKEY</v>
      </c>
      <c r="B79">
        <f>VLOOKUP(A79, Configuracion!A:B, 2, FALSE)</f>
        <v>3</v>
      </c>
      <c r="C79">
        <f>SUMIFS(lunes!D:D, lunes!A:A, A79, lunes!C:C, "VENTA") +
 SUMIFS(martes!D:D, martes!A:A, A79, martes!C:C, "VENTA") +
 SUMIFS(miercoles!D:D, miercoles!A:A, A79, miercoles!C:C, "VENTA") +
 SUMIFS(jueves!D:D, jueves!A:A, A79, jueves!C:C, "VENTA") +
 SUMIFS(viernes!D:D, viernes!A:A, A79, viernes!C:C, "VENTA") +
 SUMIFS(sabado!D:D, sabado!A:A, A79, sabado!C:C, "VENTA")</f>
        <v>0</v>
      </c>
      <c r="D79">
        <f>SUMIFS(lunes!$D:$D, lunes!$A:$A, $A79, lunes!$C:$C, "ENTRADA") +
 SUMIFS(martes!$D:$D, martes!$A:$A, $A79, martes!$C:$C, "ENTRADA") +
 SUMIFS(miercoles!$D:$D, miercoles!$A:$A, $A79, miercoles!$C:$C, "ENTRADA") +
 SUMIFS(jueves!$D:$D, jueves!$A:$A, $A79, jueves!$C:$C, "ENTRADA") +
 SUMIFS(viernes!$D:$D, viernes!$A:$A, $A79, viernes!$C:$C, "ENTRADA") +
 SUMIFS(sabado!$D:$D, sabado!$A:$A, $A79, sabado!$C:$C, "ENTRADA")</f>
        <v>0</v>
      </c>
      <c r="E79">
        <f>SUMIFS(lunes!$D:$D, lunes!$A:$A, $A79, lunes!$C:$C, "SALIDA") +
 SUMIFS(martes!$D:$D, martes!$A:$A, $A79, martes!$C:$C, "SALIDA") +
 SUMIFS(miercoles!$D:$D, miercoles!$A:$A, $A79, miercoles!$C:$C, "SALIDA") +
 SUMIFS(jueves!$D:$D, jueves!$A:$A, $A79, jueves!$C:$C, "SALIDA") +
 SUMIFS(viernes!$D:$D, viernes!$A:$A, $A79, viernes!$C:$C, "SALIDA") +
 SUMIFS(sabado!$D:$D, sabado!$A:$A, $A79, sabado!$C:$C, "SALIDA")</f>
        <v>0</v>
      </c>
      <c r="F79">
        <f t="shared" si="6"/>
        <v>3</v>
      </c>
      <c r="G79">
        <f>IFERROR(VLOOKUP(A79, sabado!A:I, 9, 0),
 IFERROR(VLOOKUP(A79, viernes!A:I, 9, 0),
 IFERROR(VLOOKUP(A79, jueves!A:I, 9, 0),
 IFERROR(VLOOKUP(A79, miercoles!A:I, 9, 0),
 IFERROR(VLOOKUP(A79, martes!A:I, 9, 0),
 IFERROR(VLOOKUP(A79, lunes!A:I, 9, 0),
 B79))))))</f>
        <v>3</v>
      </c>
      <c r="H79">
        <f>VLOOKUP(A79, Configuracion!A:C, 3, FALSE)</f>
        <v>265</v>
      </c>
      <c r="I79">
        <f t="shared" si="7"/>
        <v>0</v>
      </c>
      <c r="J79">
        <f>SUMIFS(lunes!$F:$F, lunes!$A:$A, $A79, lunes!$C:$C, "VENTA") +
 SUMIFS(martes!$F:$F, martes!$A:$A, $A79, martes!$C:$C, "VENTA") +
 SUMIFS(miercoles!$F:$F, miercoles!$A:$A, $A79, miercoles!$C:$C, "VENTA") +
 SUMIFS(jueves!$F:$F, jueves!$A:$A, $A79, jueves!$C:$C, "VENTA") +
 SUMIFS(viernes!$F:$F, viernes!$A:$A, $A79, viernes!$C:$C, "VENTA") +
 SUMIFS(sabado!$F:$F, sabado!$A:$A, $A79, sabado!$C:$C, "VENTA")</f>
        <v>0</v>
      </c>
      <c r="K79">
        <f t="shared" si="8"/>
        <v>0</v>
      </c>
    </row>
    <row r="80" spans="1:11" x14ac:dyDescent="0.3">
      <c r="A80" s="1" t="str">
        <f>Configuracion!A79</f>
        <v>LAVADORA 7.5 AUTOMA MILEXUS</v>
      </c>
      <c r="B80">
        <f>VLOOKUP(A80, Configuracion!A:B, 2, FALSE)</f>
        <v>6</v>
      </c>
      <c r="C80">
        <f>SUMIFS(lunes!D:D, lunes!A:A, A80, lunes!C:C, "VENTA") +
 SUMIFS(martes!D:D, martes!A:A, A80, martes!C:C, "VENTA") +
 SUMIFS(miercoles!D:D, miercoles!A:A, A80, miercoles!C:C, "VENTA") +
 SUMIFS(jueves!D:D, jueves!A:A, A80, jueves!C:C, "VENTA") +
 SUMIFS(viernes!D:D, viernes!A:A, A80, viernes!C:C, "VENTA") +
 SUMIFS(sabado!D:D, sabado!A:A, A80, sabado!C:C, "VENTA")</f>
        <v>1</v>
      </c>
      <c r="D80">
        <f>SUMIFS(lunes!$D:$D, lunes!$A:$A, $A80, lunes!$C:$C, "ENTRADA") +
 SUMIFS(martes!$D:$D, martes!$A:$A, $A80, martes!$C:$C, "ENTRADA") +
 SUMIFS(miercoles!$D:$D, miercoles!$A:$A, $A80, miercoles!$C:$C, "ENTRADA") +
 SUMIFS(jueves!$D:$D, jueves!$A:$A, $A80, jueves!$C:$C, "ENTRADA") +
 SUMIFS(viernes!$D:$D, viernes!$A:$A, $A80, viernes!$C:$C, "ENTRADA") +
 SUMIFS(sabado!$D:$D, sabado!$A:$A, $A80, sabado!$C:$C, "ENTRADA")</f>
        <v>0</v>
      </c>
      <c r="E80">
        <f>SUMIFS(lunes!$D:$D, lunes!$A:$A, $A80, lunes!$C:$C, "SALIDA") +
 SUMIFS(martes!$D:$D, martes!$A:$A, $A80, martes!$C:$C, "SALIDA") +
 SUMIFS(miercoles!$D:$D, miercoles!$A:$A, $A80, miercoles!$C:$C, "SALIDA") +
 SUMIFS(jueves!$D:$D, jueves!$A:$A, $A80, jueves!$C:$C, "SALIDA") +
 SUMIFS(viernes!$D:$D, viernes!$A:$A, $A80, viernes!$C:$C, "SALIDA") +
 SUMIFS(sabado!$D:$D, sabado!$A:$A, $A80, sabado!$C:$C, "SALIDA")</f>
        <v>0</v>
      </c>
      <c r="F80">
        <f t="shared" si="6"/>
        <v>5</v>
      </c>
      <c r="G80">
        <f>IFERROR(VLOOKUP(A80, sabado!A:I, 9, 0),
 IFERROR(VLOOKUP(A80, viernes!A:I, 9, 0),
 IFERROR(VLOOKUP(A80, jueves!A:I, 9, 0),
 IFERROR(VLOOKUP(A80, miercoles!A:I, 9, 0),
 IFERROR(VLOOKUP(A80, martes!A:I, 9, 0),
 IFERROR(VLOOKUP(A80, lunes!A:I, 9, 0),
 B80))))))</f>
        <v>5</v>
      </c>
      <c r="H80">
        <f>VLOOKUP(A80, Configuracion!A:C, 3, FALSE)</f>
        <v>225</v>
      </c>
      <c r="I80">
        <f t="shared" si="7"/>
        <v>225</v>
      </c>
      <c r="J80">
        <f>SUMIFS(lunes!$F:$F, lunes!$A:$A, $A80, lunes!$C:$C, "VENTA") +
 SUMIFS(martes!$F:$F, martes!$A:$A, $A80, martes!$C:$C, "VENTA") +
 SUMIFS(miercoles!$F:$F, miercoles!$A:$A, $A80, miercoles!$C:$C, "VENTA") +
 SUMIFS(jueves!$F:$F, jueves!$A:$A, $A80, jueves!$C:$C, "VENTA") +
 SUMIFS(viernes!$F:$F, viernes!$A:$A, $A80, viernes!$C:$C, "VENTA") +
 SUMIFS(sabado!$F:$F, sabado!$A:$A, $A80, sabado!$C:$C, "VENTA")</f>
        <v>225</v>
      </c>
      <c r="K80">
        <f t="shared" si="8"/>
        <v>0</v>
      </c>
    </row>
    <row r="81" spans="1:11" x14ac:dyDescent="0.3">
      <c r="A81" s="1" t="str">
        <f>Configuracion!A80</f>
        <v>LAVADORA 8.6 KG JMT SEMI</v>
      </c>
      <c r="B81">
        <f>VLOOKUP(A81, Configuracion!A:B, 2, FALSE)</f>
        <v>0</v>
      </c>
      <c r="C81">
        <f>SUMIFS(lunes!D:D, lunes!A:A, A81, lunes!C:C, "VENTA") +
 SUMIFS(martes!D:D, martes!A:A, A81, martes!C:C, "VENTA") +
 SUMIFS(miercoles!D:D, miercoles!A:A, A81, miercoles!C:C, "VENTA") +
 SUMIFS(jueves!D:D, jueves!A:A, A81, jueves!C:C, "VENTA") +
 SUMIFS(viernes!D:D, viernes!A:A, A81, viernes!C:C, "VENTA") +
 SUMIFS(sabado!D:D, sabado!A:A, A81, sabado!C:C, "VENTA")</f>
        <v>0</v>
      </c>
      <c r="D81">
        <f>SUMIFS(lunes!$D:$D, lunes!$A:$A, $A81, lunes!$C:$C, "ENTRADA") +
 SUMIFS(martes!$D:$D, martes!$A:$A, $A81, martes!$C:$C, "ENTRADA") +
 SUMIFS(miercoles!$D:$D, miercoles!$A:$A, $A81, miercoles!$C:$C, "ENTRADA") +
 SUMIFS(jueves!$D:$D, jueves!$A:$A, $A81, jueves!$C:$C, "ENTRADA") +
 SUMIFS(viernes!$D:$D, viernes!$A:$A, $A81, viernes!$C:$C, "ENTRADA") +
 SUMIFS(sabado!$D:$D, sabado!$A:$A, $A81, sabado!$C:$C, "ENTRADA")</f>
        <v>0</v>
      </c>
      <c r="E81">
        <f>SUMIFS(lunes!$D:$D, lunes!$A:$A, $A81, lunes!$C:$C, "SALIDA") +
 SUMIFS(martes!$D:$D, martes!$A:$A, $A81, martes!$C:$C, "SALIDA") +
 SUMIFS(miercoles!$D:$D, miercoles!$A:$A, $A81, miercoles!$C:$C, "SALIDA") +
 SUMIFS(jueves!$D:$D, jueves!$A:$A, $A81, jueves!$C:$C, "SALIDA") +
 SUMIFS(viernes!$D:$D, viernes!$A:$A, $A81, viernes!$C:$C, "SALIDA") +
 SUMIFS(sabado!$D:$D, sabado!$A:$A, $A81, sabado!$C:$C, "SALIDA")</f>
        <v>0</v>
      </c>
      <c r="F81">
        <f t="shared" si="6"/>
        <v>0</v>
      </c>
      <c r="G81">
        <f>IFERROR(VLOOKUP(A81, sabado!A:I, 9, 0),
 IFERROR(VLOOKUP(A81, viernes!A:I, 9, 0),
 IFERROR(VLOOKUP(A81, jueves!A:I, 9, 0),
 IFERROR(VLOOKUP(A81, miercoles!A:I, 9, 0),
 IFERROR(VLOOKUP(A81, martes!A:I, 9, 0),
 IFERROR(VLOOKUP(A81, lunes!A:I, 9, 0),
 B81))))))</f>
        <v>0</v>
      </c>
      <c r="H81">
        <f>VLOOKUP(A81, Configuracion!A:C, 3, FALSE)</f>
        <v>180</v>
      </c>
      <c r="I81">
        <f t="shared" si="7"/>
        <v>0</v>
      </c>
      <c r="J81">
        <f>SUMIFS(lunes!$F:$F, lunes!$A:$A, $A81, lunes!$C:$C, "VENTA") +
 SUMIFS(martes!$F:$F, martes!$A:$A, $A81, martes!$C:$C, "VENTA") +
 SUMIFS(miercoles!$F:$F, miercoles!$A:$A, $A81, miercoles!$C:$C, "VENTA") +
 SUMIFS(jueves!$F:$F, jueves!$A:$A, $A81, jueves!$C:$C, "VENTA") +
 SUMIFS(viernes!$F:$F, viernes!$A:$A, $A81, viernes!$C:$C, "VENTA") +
 SUMIFS(sabado!$F:$F, sabado!$A:$A, $A81, sabado!$C:$C, "VENTA")</f>
        <v>0</v>
      </c>
      <c r="K81">
        <f t="shared" si="8"/>
        <v>0</v>
      </c>
    </row>
    <row r="82" spans="1:11" x14ac:dyDescent="0.3">
      <c r="A82" s="1" t="str">
        <f>Configuracion!A82</f>
        <v>LAVADORA 9 KG SAMSUNG AUTOMATICA</v>
      </c>
      <c r="B82">
        <f>VLOOKUP(A82, Configuracion!A:B, 2, FALSE)</f>
        <v>6</v>
      </c>
      <c r="C82">
        <f>SUMIFS(lunes!D:D, lunes!A:A, A82, lunes!C:C, "VENTA") +
 SUMIFS(martes!D:D, martes!A:A, A82, martes!C:C, "VENTA") +
 SUMIFS(miercoles!D:D, miercoles!A:A, A82, miercoles!C:C, "VENTA") +
 SUMIFS(jueves!D:D, jueves!A:A, A82, jueves!C:C, "VENTA") +
 SUMIFS(viernes!D:D, viernes!A:A, A82, viernes!C:C, "VENTA") +
 SUMIFS(sabado!D:D, sabado!A:A, A82, sabado!C:C, "VENTA")</f>
        <v>0</v>
      </c>
      <c r="D82">
        <f>SUMIFS(lunes!$D:$D, lunes!$A:$A, $A82, lunes!$C:$C, "ENTRADA") +
 SUMIFS(martes!$D:$D, martes!$A:$A, $A82, martes!$C:$C, "ENTRADA") +
 SUMIFS(miercoles!$D:$D, miercoles!$A:$A, $A82, miercoles!$C:$C, "ENTRADA") +
 SUMIFS(jueves!$D:$D, jueves!$A:$A, $A82, jueves!$C:$C, "ENTRADA") +
 SUMIFS(viernes!$D:$D, viernes!$A:$A, $A82, viernes!$C:$C, "ENTRADA") +
 SUMIFS(sabado!$D:$D, sabado!$A:$A, $A82, sabado!$C:$C, "ENTRADA")</f>
        <v>0</v>
      </c>
      <c r="E82">
        <f>SUMIFS(lunes!$D:$D, lunes!$A:$A, $A82, lunes!$C:$C, "SALIDA") +
 SUMIFS(martes!$D:$D, martes!$A:$A, $A82, martes!$C:$C, "SALIDA") +
 SUMIFS(miercoles!$D:$D, miercoles!$A:$A, $A82, miercoles!$C:$C, "SALIDA") +
 SUMIFS(jueves!$D:$D, jueves!$A:$A, $A82, jueves!$C:$C, "SALIDA") +
 SUMIFS(viernes!$D:$D, viernes!$A:$A, $A82, viernes!$C:$C, "SALIDA") +
 SUMIFS(sabado!$D:$D, sabado!$A:$A, $A82, sabado!$C:$C, "SALIDA")</f>
        <v>0</v>
      </c>
      <c r="F82">
        <f t="shared" si="6"/>
        <v>6</v>
      </c>
      <c r="G82">
        <f>IFERROR(VLOOKUP(A82, sabado!A:I, 9, 0),
 IFERROR(VLOOKUP(A82, viernes!A:I, 9, 0),
 IFERROR(VLOOKUP(A82, jueves!A:I, 9, 0),
 IFERROR(VLOOKUP(A82, miercoles!A:I, 9, 0),
 IFERROR(VLOOKUP(A82, martes!A:I, 9, 0),
 IFERROR(VLOOKUP(A82, lunes!A:I, 9, 0),
 B82))))))</f>
        <v>6</v>
      </c>
      <c r="H82">
        <f>VLOOKUP(A82, Configuracion!A:C, 3, FALSE)</f>
        <v>190</v>
      </c>
      <c r="I82">
        <f t="shared" si="7"/>
        <v>0</v>
      </c>
      <c r="J82">
        <f>SUMIFS(lunes!$F:$F, lunes!$A:$A, $A82, lunes!$C:$C, "VENTA") +
 SUMIFS(martes!$F:$F, martes!$A:$A, $A82, martes!$C:$C, "VENTA") +
 SUMIFS(miercoles!$F:$F, miercoles!$A:$A, $A82, miercoles!$C:$C, "VENTA") +
 SUMIFS(jueves!$F:$F, jueves!$A:$A, $A82, jueves!$C:$C, "VENTA") +
 SUMIFS(viernes!$F:$F, viernes!$A:$A, $A82, viernes!$C:$C, "VENTA") +
 SUMIFS(sabado!$F:$F, sabado!$A:$A, $A82, sabado!$C:$C, "VENTA")</f>
        <v>0</v>
      </c>
      <c r="K82">
        <f t="shared" si="8"/>
        <v>0</v>
      </c>
    </row>
    <row r="83" spans="1:11" x14ac:dyDescent="0.3">
      <c r="A83" s="1" t="str">
        <f>Configuracion!A83</f>
        <v>LICUADORA MILEXUS 3000W PLASTICA 2 EN 1</v>
      </c>
      <c r="B83">
        <f>VLOOKUP(A83, Configuracion!A:B, 2, FALSE)</f>
        <v>2</v>
      </c>
      <c r="C83">
        <f>SUMIFS(lunes!D:D, lunes!A:A, A83, lunes!C:C, "VENTA") +
 SUMIFS(martes!D:D, martes!A:A, A83, martes!C:C, "VENTA") +
 SUMIFS(miercoles!D:D, miercoles!A:A, A83, miercoles!C:C, "VENTA") +
 SUMIFS(jueves!D:D, jueves!A:A, A83, jueves!C:C, "VENTA") +
 SUMIFS(viernes!D:D, viernes!A:A, A83, viernes!C:C, "VENTA") +
 SUMIFS(sabado!D:D, sabado!A:A, A83, sabado!C:C, "VENTA")</f>
        <v>0</v>
      </c>
      <c r="D83">
        <f>SUMIFS(lunes!$D:$D, lunes!$A:$A, $A83, lunes!$C:$C, "ENTRADA") +
 SUMIFS(martes!$D:$D, martes!$A:$A, $A83, martes!$C:$C, "ENTRADA") +
 SUMIFS(miercoles!$D:$D, miercoles!$A:$A, $A83, miercoles!$C:$C, "ENTRADA") +
 SUMIFS(jueves!$D:$D, jueves!$A:$A, $A83, jueves!$C:$C, "ENTRADA") +
 SUMIFS(viernes!$D:$D, viernes!$A:$A, $A83, viernes!$C:$C, "ENTRADA") +
 SUMIFS(sabado!$D:$D, sabado!$A:$A, $A83, sabado!$C:$C, "ENTRADA")</f>
        <v>0</v>
      </c>
      <c r="E83">
        <f>SUMIFS(lunes!$D:$D, lunes!$A:$A, $A83, lunes!$C:$C, "SALIDA") +
 SUMIFS(martes!$D:$D, martes!$A:$A, $A83, martes!$C:$C, "SALIDA") +
 SUMIFS(miercoles!$D:$D, miercoles!$A:$A, $A83, miercoles!$C:$C, "SALIDA") +
 SUMIFS(jueves!$D:$D, jueves!$A:$A, $A83, jueves!$C:$C, "SALIDA") +
 SUMIFS(viernes!$D:$D, viernes!$A:$A, $A83, viernes!$C:$C, "SALIDA") +
 SUMIFS(sabado!$D:$D, sabado!$A:$A, $A83, sabado!$C:$C, "SALIDA")</f>
        <v>0</v>
      </c>
      <c r="F83">
        <f t="shared" si="6"/>
        <v>2</v>
      </c>
      <c r="G83">
        <f>IFERROR(VLOOKUP(A83, sabado!A:I, 9, 0),
 IFERROR(VLOOKUP(A83, viernes!A:I, 9, 0),
 IFERROR(VLOOKUP(A83, jueves!A:I, 9, 0),
 IFERROR(VLOOKUP(A83, miercoles!A:I, 9, 0),
 IFERROR(VLOOKUP(A83, martes!A:I, 9, 0),
 IFERROR(VLOOKUP(A83, lunes!A:I, 9, 0),
 B83))))))</f>
        <v>2</v>
      </c>
      <c r="H83">
        <f>VLOOKUP(A83, Configuracion!A:C, 3, FALSE)</f>
        <v>35</v>
      </c>
      <c r="I83">
        <f t="shared" si="7"/>
        <v>0</v>
      </c>
      <c r="J83">
        <f>SUMIFS(lunes!$F:$F, lunes!$A:$A, $A83, lunes!$C:$C, "VENTA") +
 SUMIFS(martes!$F:$F, martes!$A:$A, $A83, martes!$C:$C, "VENTA") +
 SUMIFS(miercoles!$F:$F, miercoles!$A:$A, $A83, miercoles!$C:$C, "VENTA") +
 SUMIFS(jueves!$F:$F, jueves!$A:$A, $A83, jueves!$C:$C, "VENTA") +
 SUMIFS(viernes!$F:$F, viernes!$A:$A, $A83, viernes!$C:$C, "VENTA") +
 SUMIFS(sabado!$F:$F, sabado!$A:$A, $A83, sabado!$C:$C, "VENTA")</f>
        <v>0</v>
      </c>
      <c r="K83">
        <f t="shared" si="8"/>
        <v>0</v>
      </c>
    </row>
    <row r="84" spans="1:11" x14ac:dyDescent="0.3">
      <c r="A84" s="1" t="str">
        <f>Configuracion!A84</f>
        <v>LICUADORA MILEXUS 400 W CRISTAL</v>
      </c>
      <c r="B84">
        <f>VLOOKUP(A84, Configuracion!A:B, 2, FALSE)</f>
        <v>3</v>
      </c>
      <c r="C84">
        <f>SUMIFS(lunes!D:D, lunes!A:A, A84, lunes!C:C, "VENTA") +
 SUMIFS(martes!D:D, martes!A:A, A84, martes!C:C, "VENTA") +
 SUMIFS(miercoles!D:D, miercoles!A:A, A84, miercoles!C:C, "VENTA") +
 SUMIFS(jueves!D:D, jueves!A:A, A84, jueves!C:C, "VENTA") +
 SUMIFS(viernes!D:D, viernes!A:A, A84, viernes!C:C, "VENTA") +
 SUMIFS(sabado!D:D, sabado!A:A, A84, sabado!C:C, "VENTA")</f>
        <v>0</v>
      </c>
      <c r="D84">
        <f>SUMIFS(lunes!$D:$D, lunes!$A:$A, $A84, lunes!$C:$C, "ENTRADA") +
 SUMIFS(martes!$D:$D, martes!$A:$A, $A84, martes!$C:$C, "ENTRADA") +
 SUMIFS(miercoles!$D:$D, miercoles!$A:$A, $A84, miercoles!$C:$C, "ENTRADA") +
 SUMIFS(jueves!$D:$D, jueves!$A:$A, $A84, jueves!$C:$C, "ENTRADA") +
 SUMIFS(viernes!$D:$D, viernes!$A:$A, $A84, viernes!$C:$C, "ENTRADA") +
 SUMIFS(sabado!$D:$D, sabado!$A:$A, $A84, sabado!$C:$C, "ENTRADA")</f>
        <v>0</v>
      </c>
      <c r="E84">
        <f>SUMIFS(lunes!$D:$D, lunes!$A:$A, $A84, lunes!$C:$C, "SALIDA") +
 SUMIFS(martes!$D:$D, martes!$A:$A, $A84, martes!$C:$C, "SALIDA") +
 SUMIFS(miercoles!$D:$D, miercoles!$A:$A, $A84, miercoles!$C:$C, "SALIDA") +
 SUMIFS(jueves!$D:$D, jueves!$A:$A, $A84, jueves!$C:$C, "SALIDA") +
 SUMIFS(viernes!$D:$D, viernes!$A:$A, $A84, viernes!$C:$C, "SALIDA") +
 SUMIFS(sabado!$D:$D, sabado!$A:$A, $A84, sabado!$C:$C, "SALIDA")</f>
        <v>0</v>
      </c>
      <c r="F84">
        <f t="shared" si="6"/>
        <v>3</v>
      </c>
      <c r="G84">
        <f>IFERROR(VLOOKUP(A84, sabado!A:I, 9, 0),
 IFERROR(VLOOKUP(A84, viernes!A:I, 9, 0),
 IFERROR(VLOOKUP(A84, jueves!A:I, 9, 0),
 IFERROR(VLOOKUP(A84, miercoles!A:I, 9, 0),
 IFERROR(VLOOKUP(A84, martes!A:I, 9, 0),
 IFERROR(VLOOKUP(A84, lunes!A:I, 9, 0),
 B84))))))</f>
        <v>3</v>
      </c>
      <c r="H84">
        <f>VLOOKUP(A84, Configuracion!A:C, 3, FALSE)</f>
        <v>40</v>
      </c>
      <c r="I84">
        <f t="shared" si="7"/>
        <v>0</v>
      </c>
      <c r="J84">
        <f>SUMIFS(lunes!$F:$F, lunes!$A:$A, $A84, lunes!$C:$C, "VENTA") +
 SUMIFS(martes!$F:$F, martes!$A:$A, $A84, martes!$C:$C, "VENTA") +
 SUMIFS(miercoles!$F:$F, miercoles!$A:$A, $A84, miercoles!$C:$C, "VENTA") +
 SUMIFS(jueves!$F:$F, jueves!$A:$A, $A84, jueves!$C:$C, "VENTA") +
 SUMIFS(viernes!$F:$F, viernes!$A:$A, $A84, viernes!$C:$C, "VENTA") +
 SUMIFS(sabado!$F:$F, sabado!$A:$A, $A84, sabado!$C:$C, "VENTA")</f>
        <v>0</v>
      </c>
      <c r="K84">
        <f t="shared" si="8"/>
        <v>0</v>
      </c>
    </row>
    <row r="85" spans="1:11" x14ac:dyDescent="0.3">
      <c r="A85" s="1" t="str">
        <f>Configuracion!A85</f>
        <v>LICUADORA MILEXUS 550W CRISTAL</v>
      </c>
      <c r="B85">
        <f>VLOOKUP(A85, Configuracion!A:B, 2, FALSE)</f>
        <v>3</v>
      </c>
      <c r="C85">
        <f>SUMIFS(lunes!D:D, lunes!A:A, A85, lunes!C:C, "VENTA") +
 SUMIFS(martes!D:D, martes!A:A, A85, martes!C:C, "VENTA") +
 SUMIFS(miercoles!D:D, miercoles!A:A, A85, miercoles!C:C, "VENTA") +
 SUMIFS(jueves!D:D, jueves!A:A, A85, jueves!C:C, "VENTA") +
 SUMIFS(viernes!D:D, viernes!A:A, A85, viernes!C:C, "VENTA") +
 SUMIFS(sabado!D:D, sabado!A:A, A85, sabado!C:C, "VENTA")</f>
        <v>0</v>
      </c>
      <c r="D85">
        <f>SUMIFS(lunes!$D:$D, lunes!$A:$A, $A85, lunes!$C:$C, "ENTRADA") +
 SUMIFS(martes!$D:$D, martes!$A:$A, $A85, martes!$C:$C, "ENTRADA") +
 SUMIFS(miercoles!$D:$D, miercoles!$A:$A, $A85, miercoles!$C:$C, "ENTRADA") +
 SUMIFS(jueves!$D:$D, jueves!$A:$A, $A85, jueves!$C:$C, "ENTRADA") +
 SUMIFS(viernes!$D:$D, viernes!$A:$A, $A85, viernes!$C:$C, "ENTRADA") +
 SUMIFS(sabado!$D:$D, sabado!$A:$A, $A85, sabado!$C:$C, "ENTRADA")</f>
        <v>0</v>
      </c>
      <c r="E85">
        <f>SUMIFS(lunes!$D:$D, lunes!$A:$A, $A85, lunes!$C:$C, "SALIDA") +
 SUMIFS(martes!$D:$D, martes!$A:$A, $A85, martes!$C:$C, "SALIDA") +
 SUMIFS(miercoles!$D:$D, miercoles!$A:$A, $A85, miercoles!$C:$C, "SALIDA") +
 SUMIFS(jueves!$D:$D, jueves!$A:$A, $A85, jueves!$C:$C, "SALIDA") +
 SUMIFS(viernes!$D:$D, viernes!$A:$A, $A85, viernes!$C:$C, "SALIDA") +
 SUMIFS(sabado!$D:$D, sabado!$A:$A, $A85, sabado!$C:$C, "SALIDA")</f>
        <v>0</v>
      </c>
      <c r="F85">
        <f t="shared" si="6"/>
        <v>3</v>
      </c>
      <c r="G85">
        <f>IFERROR(VLOOKUP(A85, sabado!A:I, 9, 0),
 IFERROR(VLOOKUP(A85, viernes!A:I, 9, 0),
 IFERROR(VLOOKUP(A85, jueves!A:I, 9, 0),
 IFERROR(VLOOKUP(A85, miercoles!A:I, 9, 0),
 IFERROR(VLOOKUP(A85, martes!A:I, 9, 0),
 IFERROR(VLOOKUP(A85, lunes!A:I, 9, 0),
 B85))))))</f>
        <v>3</v>
      </c>
      <c r="H85">
        <f>VLOOKUP(A85, Configuracion!A:C, 3, FALSE)</f>
        <v>40</v>
      </c>
      <c r="I85">
        <f t="shared" si="7"/>
        <v>0</v>
      </c>
      <c r="J85">
        <f>SUMIFS(lunes!$F:$F, lunes!$A:$A, $A85, lunes!$C:$C, "VENTA") +
 SUMIFS(martes!$F:$F, martes!$A:$A, $A85, martes!$C:$C, "VENTA") +
 SUMIFS(miercoles!$F:$F, miercoles!$A:$A, $A85, miercoles!$C:$C, "VENTA") +
 SUMIFS(jueves!$F:$F, jueves!$A:$A, $A85, jueves!$C:$C, "VENTA") +
 SUMIFS(viernes!$F:$F, viernes!$A:$A, $A85, viernes!$C:$C, "VENTA") +
 SUMIFS(sabado!$F:$F, sabado!$A:$A, $A85, sabado!$C:$C, "VENTA")</f>
        <v>0</v>
      </c>
      <c r="K85">
        <f t="shared" si="8"/>
        <v>0</v>
      </c>
    </row>
    <row r="86" spans="1:11" x14ac:dyDescent="0.3">
      <c r="A86" s="1" t="str">
        <f>Configuracion!A86</f>
        <v>LUZ LED EXTERIORES 100 W</v>
      </c>
      <c r="B86">
        <f>VLOOKUP(A86, Configuracion!A:B, 2, FALSE)</f>
        <v>10</v>
      </c>
      <c r="C86">
        <f>SUMIFS(lunes!D:D, lunes!A:A, A86, lunes!C:C, "VENTA") +
 SUMIFS(martes!D:D, martes!A:A, A86, martes!C:C, "VENTA") +
 SUMIFS(miercoles!D:D, miercoles!A:A, A86, miercoles!C:C, "VENTA") +
 SUMIFS(jueves!D:D, jueves!A:A, A86, jueves!C:C, "VENTA") +
 SUMIFS(viernes!D:D, viernes!A:A, A86, viernes!C:C, "VENTA") +
 SUMIFS(sabado!D:D, sabado!A:A, A86, sabado!C:C, "VENTA")</f>
        <v>0</v>
      </c>
      <c r="D86">
        <f>SUMIFS(lunes!$D:$D, lunes!$A:$A, $A86, lunes!$C:$C, "ENTRADA") +
 SUMIFS(martes!$D:$D, martes!$A:$A, $A86, martes!$C:$C, "ENTRADA") +
 SUMIFS(miercoles!$D:$D, miercoles!$A:$A, $A86, miercoles!$C:$C, "ENTRADA") +
 SUMIFS(jueves!$D:$D, jueves!$A:$A, $A86, jueves!$C:$C, "ENTRADA") +
 SUMIFS(viernes!$D:$D, viernes!$A:$A, $A86, viernes!$C:$C, "ENTRADA") +
 SUMIFS(sabado!$D:$D, sabado!$A:$A, $A86, sabado!$C:$C, "ENTRADA")</f>
        <v>0</v>
      </c>
      <c r="E86">
        <f>SUMIFS(lunes!$D:$D, lunes!$A:$A, $A86, lunes!$C:$C, "SALIDA") +
 SUMIFS(martes!$D:$D, martes!$A:$A, $A86, martes!$C:$C, "SALIDA") +
 SUMIFS(miercoles!$D:$D, miercoles!$A:$A, $A86, miercoles!$C:$C, "SALIDA") +
 SUMIFS(jueves!$D:$D, jueves!$A:$A, $A86, jueves!$C:$C, "SALIDA") +
 SUMIFS(viernes!$D:$D, viernes!$A:$A, $A86, viernes!$C:$C, "SALIDA") +
 SUMIFS(sabado!$D:$D, sabado!$A:$A, $A86, sabado!$C:$C, "SALIDA")</f>
        <v>0</v>
      </c>
      <c r="F86">
        <f t="shared" si="6"/>
        <v>10</v>
      </c>
      <c r="G86">
        <f>IFERROR(VLOOKUP(A86, sabado!A:I, 9, 0),
 IFERROR(VLOOKUP(A86, viernes!A:I, 9, 0),
 IFERROR(VLOOKUP(A86, jueves!A:I, 9, 0),
 IFERROR(VLOOKUP(A86, miercoles!A:I, 9, 0),
 IFERROR(VLOOKUP(A86, martes!A:I, 9, 0),
 IFERROR(VLOOKUP(A86, lunes!A:I, 9, 0),
 B86))))))</f>
        <v>10</v>
      </c>
      <c r="H86">
        <f>VLOOKUP(A86, Configuracion!A:C, 3, FALSE)</f>
        <v>65</v>
      </c>
      <c r="I86">
        <f t="shared" si="7"/>
        <v>0</v>
      </c>
      <c r="J86">
        <f>SUMIFS(lunes!$F:$F, lunes!$A:$A, $A86, lunes!$C:$C, "VENTA") +
 SUMIFS(martes!$F:$F, martes!$A:$A, $A86, martes!$C:$C, "VENTA") +
 SUMIFS(miercoles!$F:$F, miercoles!$A:$A, $A86, miercoles!$C:$C, "VENTA") +
 SUMIFS(jueves!$F:$F, jueves!$A:$A, $A86, jueves!$C:$C, "VENTA") +
 SUMIFS(viernes!$F:$F, viernes!$A:$A, $A86, viernes!$C:$C, "VENTA") +
 SUMIFS(sabado!$F:$F, sabado!$A:$A, $A86, sabado!$C:$C, "VENTA")</f>
        <v>0</v>
      </c>
      <c r="K86">
        <f t="shared" si="8"/>
        <v>0</v>
      </c>
    </row>
    <row r="87" spans="1:11" x14ac:dyDescent="0.3">
      <c r="A87" s="1" t="str">
        <f>Configuracion!A87</f>
        <v>LUZ LED EXTERIORES 200 W</v>
      </c>
      <c r="B87">
        <f>VLOOKUP(A87, Configuracion!A:B, 2, FALSE)</f>
        <v>0</v>
      </c>
      <c r="C87">
        <f>SUMIFS(lunes!D:D, lunes!A:A, A87, lunes!C:C, "VENTA") +
 SUMIFS(martes!D:D, martes!A:A, A87, martes!C:C, "VENTA") +
 SUMIFS(miercoles!D:D, miercoles!A:A, A87, miercoles!C:C, "VENTA") +
 SUMIFS(jueves!D:D, jueves!A:A, A87, jueves!C:C, "VENTA") +
 SUMIFS(viernes!D:D, viernes!A:A, A87, viernes!C:C, "VENTA") +
 SUMIFS(sabado!D:D, sabado!A:A, A87, sabado!C:C, "VENTA")</f>
        <v>0</v>
      </c>
      <c r="D87">
        <f>SUMIFS(lunes!$D:$D, lunes!$A:$A, $A87, lunes!$C:$C, "ENTRADA") +
 SUMIFS(martes!$D:$D, martes!$A:$A, $A87, martes!$C:$C, "ENTRADA") +
 SUMIFS(miercoles!$D:$D, miercoles!$A:$A, $A87, miercoles!$C:$C, "ENTRADA") +
 SUMIFS(jueves!$D:$D, jueves!$A:$A, $A87, jueves!$C:$C, "ENTRADA") +
 SUMIFS(viernes!$D:$D, viernes!$A:$A, $A87, viernes!$C:$C, "ENTRADA") +
 SUMIFS(sabado!$D:$D, sabado!$A:$A, $A87, sabado!$C:$C, "ENTRADA")</f>
        <v>0</v>
      </c>
      <c r="E87">
        <f>SUMIFS(lunes!$D:$D, lunes!$A:$A, $A87, lunes!$C:$C, "SALIDA") +
 SUMIFS(martes!$D:$D, martes!$A:$A, $A87, martes!$C:$C, "SALIDA") +
 SUMIFS(miercoles!$D:$D, miercoles!$A:$A, $A87, miercoles!$C:$C, "SALIDA") +
 SUMIFS(jueves!$D:$D, jueves!$A:$A, $A87, jueves!$C:$C, "SALIDA") +
 SUMIFS(viernes!$D:$D, viernes!$A:$A, $A87, viernes!$C:$C, "SALIDA") +
 SUMIFS(sabado!$D:$D, sabado!$A:$A, $A87, sabado!$C:$C, "SALIDA")</f>
        <v>0</v>
      </c>
      <c r="F87">
        <f t="shared" si="6"/>
        <v>0</v>
      </c>
      <c r="G87">
        <f>IFERROR(VLOOKUP(A87, sabado!A:I, 9, 0),
 IFERROR(VLOOKUP(A87, viernes!A:I, 9, 0),
 IFERROR(VLOOKUP(A87, jueves!A:I, 9, 0),
 IFERROR(VLOOKUP(A87, miercoles!A:I, 9, 0),
 IFERROR(VLOOKUP(A87, martes!A:I, 9, 0),
 IFERROR(VLOOKUP(A87, lunes!A:I, 9, 0),
 B87))))))</f>
        <v>0</v>
      </c>
      <c r="H87">
        <f>VLOOKUP(A87, Configuracion!A:C, 3, FALSE)</f>
        <v>80</v>
      </c>
      <c r="I87">
        <f t="shared" si="7"/>
        <v>0</v>
      </c>
      <c r="J87">
        <f>SUMIFS(lunes!$F:$F, lunes!$A:$A, $A87, lunes!$C:$C, "VENTA") +
 SUMIFS(martes!$F:$F, martes!$A:$A, $A87, martes!$C:$C, "VENTA") +
 SUMIFS(miercoles!$F:$F, miercoles!$A:$A, $A87, miercoles!$C:$C, "VENTA") +
 SUMIFS(jueves!$F:$F, jueves!$A:$A, $A87, jueves!$C:$C, "VENTA") +
 SUMIFS(viernes!$F:$F, viernes!$A:$A, $A87, viernes!$C:$C, "VENTA") +
 SUMIFS(sabado!$F:$F, sabado!$A:$A, $A87, sabado!$C:$C, "VENTA")</f>
        <v>0</v>
      </c>
      <c r="K87">
        <f t="shared" si="8"/>
        <v>0</v>
      </c>
    </row>
    <row r="88" spans="1:11" x14ac:dyDescent="0.3">
      <c r="A88" s="1" t="str">
        <f>Configuracion!A88</f>
        <v>LUCES SOLARES PEQUEÑAS</v>
      </c>
      <c r="B88">
        <f>VLOOKUP(A88, Configuracion!A:B, 2, FALSE)</f>
        <v>0</v>
      </c>
      <c r="C88">
        <f>SUMIFS(lunes!D:D, lunes!A:A, A88, lunes!C:C, "VENTA") +
 SUMIFS(martes!D:D, martes!A:A, A88, martes!C:C, "VENTA") +
 SUMIFS(miercoles!D:D, miercoles!A:A, A88, miercoles!C:C, "VENTA") +
 SUMIFS(jueves!D:D, jueves!A:A, A88, jueves!C:C, "VENTA") +
 SUMIFS(viernes!D:D, viernes!A:A, A88, viernes!C:C, "VENTA") +
 SUMIFS(sabado!D:D, sabado!A:A, A88, sabado!C:C, "VENTA")</f>
        <v>0</v>
      </c>
      <c r="D88">
        <f>SUMIFS(lunes!$D:$D, lunes!$A:$A, $A88, lunes!$C:$C, "ENTRADA") +
 SUMIFS(martes!$D:$D, martes!$A:$A, $A88, martes!$C:$C, "ENTRADA") +
 SUMIFS(miercoles!$D:$D, miercoles!$A:$A, $A88, miercoles!$C:$C, "ENTRADA") +
 SUMIFS(jueves!$D:$D, jueves!$A:$A, $A88, jueves!$C:$C, "ENTRADA") +
 SUMIFS(viernes!$D:$D, viernes!$A:$A, $A88, viernes!$C:$C, "ENTRADA") +
 SUMIFS(sabado!$D:$D, sabado!$A:$A, $A88, sabado!$C:$C, "ENTRADA")</f>
        <v>0</v>
      </c>
      <c r="E88">
        <f>SUMIFS(lunes!$D:$D, lunes!$A:$A, $A88, lunes!$C:$C, "SALIDA") +
 SUMIFS(martes!$D:$D, martes!$A:$A, $A88, martes!$C:$C, "SALIDA") +
 SUMIFS(miercoles!$D:$D, miercoles!$A:$A, $A88, miercoles!$C:$C, "SALIDA") +
 SUMIFS(jueves!$D:$D, jueves!$A:$A, $A88, jueves!$C:$C, "SALIDA") +
 SUMIFS(viernes!$D:$D, viernes!$A:$A, $A88, viernes!$C:$C, "SALIDA") +
 SUMIFS(sabado!$D:$D, sabado!$A:$A, $A88, sabado!$C:$C, "SALIDA")</f>
        <v>0</v>
      </c>
      <c r="F88">
        <f t="shared" si="6"/>
        <v>0</v>
      </c>
      <c r="G88">
        <f>IFERROR(VLOOKUP(A88, sabado!A:I, 9, 0),
 IFERROR(VLOOKUP(A88, viernes!A:I, 9, 0),
 IFERROR(VLOOKUP(A88, jueves!A:I, 9, 0),
 IFERROR(VLOOKUP(A88, miercoles!A:I, 9, 0),
 IFERROR(VLOOKUP(A88, martes!A:I, 9, 0),
 IFERROR(VLOOKUP(A88, lunes!A:I, 9, 0),
 B88))))))</f>
        <v>0</v>
      </c>
      <c r="H88">
        <f>VLOOKUP(A88, Configuracion!A:C, 3, FALSE)</f>
        <v>20</v>
      </c>
      <c r="I88">
        <f t="shared" si="7"/>
        <v>0</v>
      </c>
      <c r="J88">
        <f>SUMIFS(lunes!$F:$F, lunes!$A:$A, $A88, lunes!$C:$C, "VENTA") +
 SUMIFS(martes!$F:$F, martes!$A:$A, $A88, martes!$C:$C, "VENTA") +
 SUMIFS(miercoles!$F:$F, miercoles!$A:$A, $A88, miercoles!$C:$C, "VENTA") +
 SUMIFS(jueves!$F:$F, jueves!$A:$A, $A88, jueves!$C:$C, "VENTA") +
 SUMIFS(viernes!$F:$F, viernes!$A:$A, $A88, viernes!$C:$C, "VENTA") +
 SUMIFS(sabado!$F:$F, sabado!$A:$A, $A88, sabado!$C:$C, "VENTA")</f>
        <v>0</v>
      </c>
      <c r="K88">
        <f t="shared" si="8"/>
        <v>0</v>
      </c>
    </row>
    <row r="89" spans="1:11" x14ac:dyDescent="0.3">
      <c r="A89" s="1" t="str">
        <f>Configuracion!A89</f>
        <v>MICROONDAS 20 L MILEXUS</v>
      </c>
      <c r="B89">
        <f>VLOOKUP(A89, Configuracion!A:B, 2, FALSE)</f>
        <v>1</v>
      </c>
      <c r="C89">
        <f>SUMIFS(lunes!D:D, lunes!A:A, A89, lunes!C:C, "VENTA") +
 SUMIFS(martes!D:D, martes!A:A, A89, martes!C:C, "VENTA") +
 SUMIFS(miercoles!D:D, miercoles!A:A, A89, miercoles!C:C, "VENTA") +
 SUMIFS(jueves!D:D, jueves!A:A, A89, jueves!C:C, "VENTA") +
 SUMIFS(viernes!D:D, viernes!A:A, A89, viernes!C:C, "VENTA") +
 SUMIFS(sabado!D:D, sabado!A:A, A89, sabado!C:C, "VENTA")</f>
        <v>0</v>
      </c>
      <c r="D89">
        <f>SUMIFS(lunes!$D:$D, lunes!$A:$A, $A89, lunes!$C:$C, "ENTRADA") +
 SUMIFS(martes!$D:$D, martes!$A:$A, $A89, martes!$C:$C, "ENTRADA") +
 SUMIFS(miercoles!$D:$D, miercoles!$A:$A, $A89, miercoles!$C:$C, "ENTRADA") +
 SUMIFS(jueves!$D:$D, jueves!$A:$A, $A89, jueves!$C:$C, "ENTRADA") +
 SUMIFS(viernes!$D:$D, viernes!$A:$A, $A89, viernes!$C:$C, "ENTRADA") +
 SUMIFS(sabado!$D:$D, sabado!$A:$A, $A89, sabado!$C:$C, "ENTRADA")</f>
        <v>0</v>
      </c>
      <c r="E89">
        <f>SUMIFS(lunes!$D:$D, lunes!$A:$A, $A89, lunes!$C:$C, "SALIDA") +
 SUMIFS(martes!$D:$D, martes!$A:$A, $A89, martes!$C:$C, "SALIDA") +
 SUMIFS(miercoles!$D:$D, miercoles!$A:$A, $A89, miercoles!$C:$C, "SALIDA") +
 SUMIFS(jueves!$D:$D, jueves!$A:$A, $A89, jueves!$C:$C, "SALIDA") +
 SUMIFS(viernes!$D:$D, viernes!$A:$A, $A89, viernes!$C:$C, "SALIDA") +
 SUMIFS(sabado!$D:$D, sabado!$A:$A, $A89, sabado!$C:$C, "SALIDA")</f>
        <v>0</v>
      </c>
      <c r="F89">
        <f t="shared" si="6"/>
        <v>1</v>
      </c>
      <c r="G89">
        <f>IFERROR(VLOOKUP(A89, sabado!A:I, 9, 0),
 IFERROR(VLOOKUP(A89, viernes!A:I, 9, 0),
 IFERROR(VLOOKUP(A89, jueves!A:I, 9, 0),
 IFERROR(VLOOKUP(A89, miercoles!A:I, 9, 0),
 IFERROR(VLOOKUP(A89, martes!A:I, 9, 0),
 IFERROR(VLOOKUP(A89, lunes!A:I, 9, 0),
 B89))))))</f>
        <v>1</v>
      </c>
      <c r="H89">
        <f>VLOOKUP(A89, Configuracion!A:C, 3, FALSE)</f>
        <v>95</v>
      </c>
      <c r="I89">
        <f t="shared" si="7"/>
        <v>0</v>
      </c>
      <c r="J89">
        <f>SUMIFS(lunes!$F:$F, lunes!$A:$A, $A89, lunes!$C:$C, "VENTA") +
 SUMIFS(martes!$F:$F, martes!$A:$A, $A89, martes!$C:$C, "VENTA") +
 SUMIFS(miercoles!$F:$F, miercoles!$A:$A, $A89, miercoles!$C:$C, "VENTA") +
 SUMIFS(jueves!$F:$F, jueves!$A:$A, $A89, jueves!$C:$C, "VENTA") +
 SUMIFS(viernes!$F:$F, viernes!$A:$A, $A89, viernes!$C:$C, "VENTA") +
 SUMIFS(sabado!$F:$F, sabado!$A:$A, $A89, sabado!$C:$C, "VENTA")</f>
        <v>0</v>
      </c>
      <c r="K89">
        <f t="shared" si="8"/>
        <v>0</v>
      </c>
    </row>
    <row r="90" spans="1:11" x14ac:dyDescent="0.3">
      <c r="A90" s="1" t="str">
        <f>Configuracion!A90</f>
        <v>MICROONDAS 40 L</v>
      </c>
      <c r="B90">
        <f>VLOOKUP(A90, Configuracion!A:B, 2, FALSE)</f>
        <v>0</v>
      </c>
      <c r="C90">
        <f>SUMIFS(lunes!D:D, lunes!A:A, A90, lunes!C:C, "VENTA") +
 SUMIFS(martes!D:D, martes!A:A, A90, martes!C:C, "VENTA") +
 SUMIFS(miercoles!D:D, miercoles!A:A, A90, miercoles!C:C, "VENTA") +
 SUMIFS(jueves!D:D, jueves!A:A, A90, jueves!C:C, "VENTA") +
 SUMIFS(viernes!D:D, viernes!A:A, A90, viernes!C:C, "VENTA") +
 SUMIFS(sabado!D:D, sabado!A:A, A90, sabado!C:C, "VENTA")</f>
        <v>0</v>
      </c>
      <c r="D90">
        <f>SUMIFS(lunes!$D:$D, lunes!$A:$A, $A90, lunes!$C:$C, "ENTRADA") +
 SUMIFS(martes!$D:$D, martes!$A:$A, $A90, martes!$C:$C, "ENTRADA") +
 SUMIFS(miercoles!$D:$D, miercoles!$A:$A, $A90, miercoles!$C:$C, "ENTRADA") +
 SUMIFS(jueves!$D:$D, jueves!$A:$A, $A90, jueves!$C:$C, "ENTRADA") +
 SUMIFS(viernes!$D:$D, viernes!$A:$A, $A90, viernes!$C:$C, "ENTRADA") +
 SUMIFS(sabado!$D:$D, sabado!$A:$A, $A90, sabado!$C:$C, "ENTRADA")</f>
        <v>0</v>
      </c>
      <c r="E90">
        <f>SUMIFS(lunes!$D:$D, lunes!$A:$A, $A90, lunes!$C:$C, "SALIDA") +
 SUMIFS(martes!$D:$D, martes!$A:$A, $A90, martes!$C:$C, "SALIDA") +
 SUMIFS(miercoles!$D:$D, miercoles!$A:$A, $A90, miercoles!$C:$C, "SALIDA") +
 SUMIFS(jueves!$D:$D, jueves!$A:$A, $A90, jueves!$C:$C, "SALIDA") +
 SUMIFS(viernes!$D:$D, viernes!$A:$A, $A90, viernes!$C:$C, "SALIDA") +
 SUMIFS(sabado!$D:$D, sabado!$A:$A, $A90, sabado!$C:$C, "SALIDA")</f>
        <v>0</v>
      </c>
      <c r="F90">
        <f t="shared" si="6"/>
        <v>0</v>
      </c>
      <c r="G90">
        <f>IFERROR(VLOOKUP(A90, sabado!A:I, 9, 0),
 IFERROR(VLOOKUP(A90, viernes!A:I, 9, 0),
 IFERROR(VLOOKUP(A90, jueves!A:I, 9, 0),
 IFERROR(VLOOKUP(A90, miercoles!A:I, 9, 0),
 IFERROR(VLOOKUP(A90, martes!A:I, 9, 0),
 IFERROR(VLOOKUP(A90, lunes!A:I, 9, 0),
 B90))))))</f>
        <v>0</v>
      </c>
      <c r="H90">
        <f>VLOOKUP(A90, Configuracion!A:C, 3, FALSE)</f>
        <v>160</v>
      </c>
      <c r="I90">
        <f t="shared" si="7"/>
        <v>0</v>
      </c>
      <c r="J90">
        <f>SUMIFS(lunes!$F:$F, lunes!$A:$A, $A90, lunes!$C:$C, "VENTA") +
 SUMIFS(martes!$F:$F, martes!$A:$A, $A90, martes!$C:$C, "VENTA") +
 SUMIFS(miercoles!$F:$F, miercoles!$A:$A, $A90, miercoles!$C:$C, "VENTA") +
 SUMIFS(jueves!$F:$F, jueves!$A:$A, $A90, jueves!$C:$C, "VENTA") +
 SUMIFS(viernes!$F:$F, viernes!$A:$A, $A90, viernes!$C:$C, "VENTA") +
 SUMIFS(sabado!$F:$F, sabado!$A:$A, $A90, sabado!$C:$C, "VENTA")</f>
        <v>0</v>
      </c>
      <c r="K90">
        <f t="shared" si="8"/>
        <v>0</v>
      </c>
    </row>
    <row r="91" spans="1:11" x14ac:dyDescent="0.3">
      <c r="A91" s="1" t="str">
        <f>Configuracion!A91</f>
        <v>MICROONDAS 20 L PREMIER</v>
      </c>
      <c r="B91">
        <f>VLOOKUP(A91, Configuracion!A:B, 2, FALSE)</f>
        <v>0</v>
      </c>
      <c r="C91">
        <f>SUMIFS(lunes!D:D, lunes!A:A, A91, lunes!C:C, "VENTA") +
 SUMIFS(martes!D:D, martes!A:A, A91, martes!C:C, "VENTA") +
 SUMIFS(miercoles!D:D, miercoles!A:A, A91, miercoles!C:C, "VENTA") +
 SUMIFS(jueves!D:D, jueves!A:A, A91, jueves!C:C, "VENTA") +
 SUMIFS(viernes!D:D, viernes!A:A, A91, viernes!C:C, "VENTA") +
 SUMIFS(sabado!D:D, sabado!A:A, A91, sabado!C:C, "VENTA")</f>
        <v>0</v>
      </c>
      <c r="D91">
        <f>SUMIFS(lunes!$D:$D, lunes!$A:$A, $A91, lunes!$C:$C, "ENTRADA") +
 SUMIFS(martes!$D:$D, martes!$A:$A, $A91, martes!$C:$C, "ENTRADA") +
 SUMIFS(miercoles!$D:$D, miercoles!$A:$A, $A91, miercoles!$C:$C, "ENTRADA") +
 SUMIFS(jueves!$D:$D, jueves!$A:$A, $A91, jueves!$C:$C, "ENTRADA") +
 SUMIFS(viernes!$D:$D, viernes!$A:$A, $A91, viernes!$C:$C, "ENTRADA") +
 SUMIFS(sabado!$D:$D, sabado!$A:$A, $A91, sabado!$C:$C, "ENTRADA")</f>
        <v>0</v>
      </c>
      <c r="E91">
        <f>SUMIFS(lunes!$D:$D, lunes!$A:$A, $A91, lunes!$C:$C, "SALIDA") +
 SUMIFS(martes!$D:$D, martes!$A:$A, $A91, martes!$C:$C, "SALIDA") +
 SUMIFS(miercoles!$D:$D, miercoles!$A:$A, $A91, miercoles!$C:$C, "SALIDA") +
 SUMIFS(jueves!$D:$D, jueves!$A:$A, $A91, jueves!$C:$C, "SALIDA") +
 SUMIFS(viernes!$D:$D, viernes!$A:$A, $A91, viernes!$C:$C, "SALIDA") +
 SUMIFS(sabado!$D:$D, sabado!$A:$A, $A91, sabado!$C:$C, "SALIDA")</f>
        <v>0</v>
      </c>
      <c r="F91">
        <f t="shared" si="6"/>
        <v>0</v>
      </c>
      <c r="G91">
        <f>IFERROR(VLOOKUP(A91, sabado!A:I, 9, 0),
 IFERROR(VLOOKUP(A91, viernes!A:I, 9, 0),
 IFERROR(VLOOKUP(A91, jueves!A:I, 9, 0),
 IFERROR(VLOOKUP(A91, miercoles!A:I, 9, 0),
 IFERROR(VLOOKUP(A91, martes!A:I, 9, 0),
 IFERROR(VLOOKUP(A91, lunes!A:I, 9, 0),
 B91))))))</f>
        <v>0</v>
      </c>
      <c r="H91">
        <f>VLOOKUP(A91, Configuracion!A:C, 3, FALSE)</f>
        <v>120</v>
      </c>
      <c r="I91">
        <f t="shared" si="7"/>
        <v>0</v>
      </c>
      <c r="J91">
        <f>SUMIFS(lunes!$F:$F, lunes!$A:$A, $A91, lunes!$C:$C, "VENTA") +
 SUMIFS(martes!$F:$F, martes!$A:$A, $A91, martes!$C:$C, "VENTA") +
 SUMIFS(miercoles!$F:$F, miercoles!$A:$A, $A91, miercoles!$C:$C, "VENTA") +
 SUMIFS(jueves!$F:$F, jueves!$A:$A, $A91, jueves!$C:$C, "VENTA") +
 SUMIFS(viernes!$F:$F, viernes!$A:$A, $A91, viernes!$C:$C, "VENTA") +
 SUMIFS(sabado!$F:$F, sabado!$A:$A, $A91, sabado!$C:$C, "VENTA")</f>
        <v>0</v>
      </c>
      <c r="K91">
        <f t="shared" si="8"/>
        <v>0</v>
      </c>
    </row>
    <row r="92" spans="1:11" x14ac:dyDescent="0.3">
      <c r="A92" s="1" t="str">
        <f>Configuracion!A92</f>
        <v>MINIBAR MILEXUS</v>
      </c>
      <c r="B92">
        <f>VLOOKUP(A92, Configuracion!A:B, 2, FALSE)</f>
        <v>0</v>
      </c>
      <c r="C92">
        <f>SUMIFS(lunes!D:D, lunes!A:A, A92, lunes!C:C, "VENTA") +
 SUMIFS(martes!D:D, martes!A:A, A92, martes!C:C, "VENTA") +
 SUMIFS(miercoles!D:D, miercoles!A:A, A92, miercoles!C:C, "VENTA") +
 SUMIFS(jueves!D:D, jueves!A:A, A92, jueves!C:C, "VENTA") +
 SUMIFS(viernes!D:D, viernes!A:A, A92, viernes!C:C, "VENTA") +
 SUMIFS(sabado!D:D, sabado!A:A, A92, sabado!C:C, "VENTA")</f>
        <v>0</v>
      </c>
      <c r="D92">
        <f>SUMIFS(lunes!$D:$D, lunes!$A:$A, $A92, lunes!$C:$C, "ENTRADA") +
 SUMIFS(martes!$D:$D, martes!$A:$A, $A92, martes!$C:$C, "ENTRADA") +
 SUMIFS(miercoles!$D:$D, miercoles!$A:$A, $A92, miercoles!$C:$C, "ENTRADA") +
 SUMIFS(jueves!$D:$D, jueves!$A:$A, $A92, jueves!$C:$C, "ENTRADA") +
 SUMIFS(viernes!$D:$D, viernes!$A:$A, $A92, viernes!$C:$C, "ENTRADA") +
 SUMIFS(sabado!$D:$D, sabado!$A:$A, $A92, sabado!$C:$C, "ENTRADA")</f>
        <v>0</v>
      </c>
      <c r="E92">
        <f>SUMIFS(lunes!$D:$D, lunes!$A:$A, $A92, lunes!$C:$C, "SALIDA") +
 SUMIFS(martes!$D:$D, martes!$A:$A, $A92, martes!$C:$C, "SALIDA") +
 SUMIFS(miercoles!$D:$D, miercoles!$A:$A, $A92, miercoles!$C:$C, "SALIDA") +
 SUMIFS(jueves!$D:$D, jueves!$A:$A, $A92, jueves!$C:$C, "SALIDA") +
 SUMIFS(viernes!$D:$D, viernes!$A:$A, $A92, viernes!$C:$C, "SALIDA") +
 SUMIFS(sabado!$D:$D, sabado!$A:$A, $A92, sabado!$C:$C, "SALIDA")</f>
        <v>0</v>
      </c>
      <c r="F92">
        <f t="shared" si="6"/>
        <v>0</v>
      </c>
      <c r="G92">
        <f>IFERROR(VLOOKUP(A92, sabado!A:I, 9, 0),
 IFERROR(VLOOKUP(A92, viernes!A:I, 9, 0),
 IFERROR(VLOOKUP(A92, jueves!A:I, 9, 0),
 IFERROR(VLOOKUP(A92, miercoles!A:I, 9, 0),
 IFERROR(VLOOKUP(A92, martes!A:I, 9, 0),
 IFERROR(VLOOKUP(A92, lunes!A:I, 9, 0),
 B92))))))</f>
        <v>0</v>
      </c>
      <c r="H92">
        <f>VLOOKUP(A92, Configuracion!A:C, 3, FALSE)</f>
        <v>200</v>
      </c>
      <c r="I92">
        <f t="shared" si="7"/>
        <v>0</v>
      </c>
      <c r="J92">
        <f>SUMIFS(lunes!$F:$F, lunes!$A:$A, $A92, lunes!$C:$C, "VENTA") +
 SUMIFS(martes!$F:$F, martes!$A:$A, $A92, martes!$C:$C, "VENTA") +
 SUMIFS(miercoles!$F:$F, miercoles!$A:$A, $A92, miercoles!$C:$C, "VENTA") +
 SUMIFS(jueves!$F:$F, jueves!$A:$A, $A92, jueves!$C:$C, "VENTA") +
 SUMIFS(viernes!$F:$F, viernes!$A:$A, $A92, viernes!$C:$C, "VENTA") +
 SUMIFS(sabado!$F:$F, sabado!$A:$A, $A92, sabado!$C:$C, "VENTA")</f>
        <v>0</v>
      </c>
      <c r="K92">
        <f t="shared" si="8"/>
        <v>0</v>
      </c>
    </row>
    <row r="93" spans="1:11" x14ac:dyDescent="0.3">
      <c r="A93" s="1" t="str">
        <f>Configuracion!A93</f>
        <v>HORNO ELECTRICO EKO 22L</v>
      </c>
      <c r="B93">
        <f>VLOOKUP(A93, Configuracion!A:B, 2, FALSE)</f>
        <v>0</v>
      </c>
      <c r="C93">
        <f>SUMIFS(lunes!D:D, lunes!A:A, A93, lunes!C:C, "VENTA") +
 SUMIFS(martes!D:D, martes!A:A, A93, martes!C:C, "VENTA") +
 SUMIFS(miercoles!D:D, miercoles!A:A, A93, miercoles!C:C, "VENTA") +
 SUMIFS(jueves!D:D, jueves!A:A, A93, jueves!C:C, "VENTA") +
 SUMIFS(viernes!D:D, viernes!A:A, A93, viernes!C:C, "VENTA") +
 SUMIFS(sabado!D:D, sabado!A:A, A93, sabado!C:C, "VENTA")</f>
        <v>0</v>
      </c>
      <c r="D93">
        <f>SUMIFS(lunes!$D:$D, lunes!$A:$A, $A93, lunes!$C:$C, "ENTRADA") +
 SUMIFS(martes!$D:$D, martes!$A:$A, $A93, martes!$C:$C, "ENTRADA") +
 SUMIFS(miercoles!$D:$D, miercoles!$A:$A, $A93, miercoles!$C:$C, "ENTRADA") +
 SUMIFS(jueves!$D:$D, jueves!$A:$A, $A93, jueves!$C:$C, "ENTRADA") +
 SUMIFS(viernes!$D:$D, viernes!$A:$A, $A93, viernes!$C:$C, "ENTRADA") +
 SUMIFS(sabado!$D:$D, sabado!$A:$A, $A93, sabado!$C:$C, "ENTRADA")</f>
        <v>0</v>
      </c>
      <c r="E93">
        <f>SUMIFS(lunes!$D:$D, lunes!$A:$A, $A93, lunes!$C:$C, "SALIDA") +
 SUMIFS(martes!$D:$D, martes!$A:$A, $A93, martes!$C:$C, "SALIDA") +
 SUMIFS(miercoles!$D:$D, miercoles!$A:$A, $A93, miercoles!$C:$C, "SALIDA") +
 SUMIFS(jueves!$D:$D, jueves!$A:$A, $A93, jueves!$C:$C, "SALIDA") +
 SUMIFS(viernes!$D:$D, viernes!$A:$A, $A93, viernes!$C:$C, "SALIDA") +
 SUMIFS(sabado!$D:$D, sabado!$A:$A, $A93, sabado!$C:$C, "SALIDA")</f>
        <v>0</v>
      </c>
      <c r="F93">
        <f t="shared" si="6"/>
        <v>0</v>
      </c>
      <c r="G93">
        <f>IFERROR(VLOOKUP(A93, sabado!A:I, 9, 0),
 IFERROR(VLOOKUP(A93, viernes!A:I, 9, 0),
 IFERROR(VLOOKUP(A93, jueves!A:I, 9, 0),
 IFERROR(VLOOKUP(A93, miercoles!A:I, 9, 0),
 IFERROR(VLOOKUP(A93, martes!A:I, 9, 0),
 IFERROR(VLOOKUP(A93, lunes!A:I, 9, 0),
 B93))))))</f>
        <v>0</v>
      </c>
      <c r="H93">
        <f>VLOOKUP(A93, Configuracion!A:C, 3, FALSE)</f>
        <v>100</v>
      </c>
      <c r="I93">
        <f t="shared" si="7"/>
        <v>0</v>
      </c>
      <c r="J93">
        <f>SUMIFS(lunes!$F:$F, lunes!$A:$A, $A93, lunes!$C:$C, "VENTA") +
 SUMIFS(martes!$F:$F, martes!$A:$A, $A93, martes!$C:$C, "VENTA") +
 SUMIFS(miercoles!$F:$F, miercoles!$A:$A, $A93, miercoles!$C:$C, "VENTA") +
 SUMIFS(jueves!$F:$F, jueves!$A:$A, $A93, jueves!$C:$C, "VENTA") +
 SUMIFS(viernes!$F:$F, viernes!$A:$A, $A93, viernes!$C:$C, "VENTA") +
 SUMIFS(sabado!$F:$F, sabado!$A:$A, $A93, sabado!$C:$C, "VENTA")</f>
        <v>0</v>
      </c>
      <c r="K93">
        <f t="shared" si="8"/>
        <v>0</v>
      </c>
    </row>
    <row r="94" spans="1:11" x14ac:dyDescent="0.3">
      <c r="A94" s="1" t="str">
        <f>Configuracion!A94</f>
        <v xml:space="preserve">MESCLADORA AMASADORA </v>
      </c>
      <c r="B94">
        <f>VLOOKUP(A94, Configuracion!A:B, 2, FALSE)</f>
        <v>0</v>
      </c>
      <c r="C94">
        <f>SUMIFS(lunes!D:D, lunes!A:A, A94, lunes!C:C, "VENTA") +
 SUMIFS(martes!D:D, martes!A:A, A94, martes!C:C, "VENTA") +
 SUMIFS(miercoles!D:D, miercoles!A:A, A94, miercoles!C:C, "VENTA") +
 SUMIFS(jueves!D:D, jueves!A:A, A94, jueves!C:C, "VENTA") +
 SUMIFS(viernes!D:D, viernes!A:A, A94, viernes!C:C, "VENTA") +
 SUMIFS(sabado!D:D, sabado!A:A, A94, sabado!C:C, "VENTA")</f>
        <v>0</v>
      </c>
      <c r="D94">
        <f>SUMIFS(lunes!$D:$D, lunes!$A:$A, $A94, lunes!$C:$C, "ENTRADA") +
 SUMIFS(martes!$D:$D, martes!$A:$A, $A94, martes!$C:$C, "ENTRADA") +
 SUMIFS(miercoles!$D:$D, miercoles!$A:$A, $A94, miercoles!$C:$C, "ENTRADA") +
 SUMIFS(jueves!$D:$D, jueves!$A:$A, $A94, jueves!$C:$C, "ENTRADA") +
 SUMIFS(viernes!$D:$D, viernes!$A:$A, $A94, viernes!$C:$C, "ENTRADA") +
 SUMIFS(sabado!$D:$D, sabado!$A:$A, $A94, sabado!$C:$C, "ENTRADA")</f>
        <v>0</v>
      </c>
      <c r="E94">
        <f>SUMIFS(lunes!$D:$D, lunes!$A:$A, $A94, lunes!$C:$C, "SALIDA") +
 SUMIFS(martes!$D:$D, martes!$A:$A, $A94, martes!$C:$C, "SALIDA") +
 SUMIFS(miercoles!$D:$D, miercoles!$A:$A, $A94, miercoles!$C:$C, "SALIDA") +
 SUMIFS(jueves!$D:$D, jueves!$A:$A, $A94, jueves!$C:$C, "SALIDA") +
 SUMIFS(viernes!$D:$D, viernes!$A:$A, $A94, viernes!$C:$C, "SALIDA") +
 SUMIFS(sabado!$D:$D, sabado!$A:$A, $A94, sabado!$C:$C, "SALIDA")</f>
        <v>0</v>
      </c>
      <c r="F94">
        <f t="shared" si="6"/>
        <v>0</v>
      </c>
      <c r="G94">
        <f>IFERROR(VLOOKUP(A94, sabado!A:I, 9, 0),
 IFERROR(VLOOKUP(A94, viernes!A:I, 9, 0),
 IFERROR(VLOOKUP(A94, jueves!A:I, 9, 0),
 IFERROR(VLOOKUP(A94, miercoles!A:I, 9, 0),
 IFERROR(VLOOKUP(A94, martes!A:I, 9, 0),
 IFERROR(VLOOKUP(A94, lunes!A:I, 9, 0),
 B94))))))</f>
        <v>0</v>
      </c>
      <c r="H94">
        <f>VLOOKUP(A94, Configuracion!A:C, 3, FALSE)</f>
        <v>70</v>
      </c>
      <c r="I94">
        <f t="shared" si="7"/>
        <v>0</v>
      </c>
      <c r="J94">
        <f>SUMIFS(lunes!$F:$F, lunes!$A:$A, $A94, lunes!$C:$C, "VENTA") +
 SUMIFS(martes!$F:$F, martes!$A:$A, $A94, martes!$C:$C, "VENTA") +
 SUMIFS(miercoles!$F:$F, miercoles!$A:$A, $A94, miercoles!$C:$C, "VENTA") +
 SUMIFS(jueves!$F:$F, jueves!$A:$A, $A94, jueves!$C:$C, "VENTA") +
 SUMIFS(viernes!$F:$F, viernes!$A:$A, $A94, viernes!$C:$C, "VENTA") +
 SUMIFS(sabado!$F:$F, sabado!$A:$A, $A94, sabado!$C:$C, "VENTA")</f>
        <v>0</v>
      </c>
      <c r="K94">
        <f t="shared" si="8"/>
        <v>0</v>
      </c>
    </row>
    <row r="95" spans="1:11" x14ac:dyDescent="0.3">
      <c r="A95" s="1" t="str">
        <f>Configuracion!A95</f>
        <v>NEVERA ROYAL 3.5</v>
      </c>
      <c r="B95">
        <f>VLOOKUP(A95, Configuracion!A:B, 2, FALSE)</f>
        <v>0</v>
      </c>
      <c r="C95">
        <f>SUMIFS(lunes!D:D, lunes!A:A, A95, lunes!C:C, "VENTA") +
 SUMIFS(martes!D:D, martes!A:A, A95, martes!C:C, "VENTA") +
 SUMIFS(miercoles!D:D, miercoles!A:A, A95, miercoles!C:C, "VENTA") +
 SUMIFS(jueves!D:D, jueves!A:A, A95, jueves!C:C, "VENTA") +
 SUMIFS(viernes!D:D, viernes!A:A, A95, viernes!C:C, "VENTA") +
 SUMIFS(sabado!D:D, sabado!A:A, A95, sabado!C:C, "VENTA")</f>
        <v>0</v>
      </c>
      <c r="D95">
        <f>SUMIFS(lunes!$D:$D, lunes!$A:$A, $A95, lunes!$C:$C, "ENTRADA") +
 SUMIFS(martes!$D:$D, martes!$A:$A, $A95, martes!$C:$C, "ENTRADA") +
 SUMIFS(miercoles!$D:$D, miercoles!$A:$A, $A95, miercoles!$C:$C, "ENTRADA") +
 SUMIFS(jueves!$D:$D, jueves!$A:$A, $A95, jueves!$C:$C, "ENTRADA") +
 SUMIFS(viernes!$D:$D, viernes!$A:$A, $A95, viernes!$C:$C, "ENTRADA") +
 SUMIFS(sabado!$D:$D, sabado!$A:$A, $A95, sabado!$C:$C, "ENTRADA")</f>
        <v>0</v>
      </c>
      <c r="E95">
        <f>SUMIFS(lunes!$D:$D, lunes!$A:$A, $A95, lunes!$C:$C, "SALIDA") +
 SUMIFS(martes!$D:$D, martes!$A:$A, $A95, martes!$C:$C, "SALIDA") +
 SUMIFS(miercoles!$D:$D, miercoles!$A:$A, $A95, miercoles!$C:$C, "SALIDA") +
 SUMIFS(jueves!$D:$D, jueves!$A:$A, $A95, jueves!$C:$C, "SALIDA") +
 SUMIFS(viernes!$D:$D, viernes!$A:$A, $A95, viernes!$C:$C, "SALIDA") +
 SUMIFS(sabado!$D:$D, sabado!$A:$A, $A95, sabado!$C:$C, "SALIDA")</f>
        <v>0</v>
      </c>
      <c r="F95">
        <f t="shared" si="6"/>
        <v>0</v>
      </c>
      <c r="G95">
        <f>IFERROR(VLOOKUP(A95, sabado!A:I, 9, 0),
 IFERROR(VLOOKUP(A95, viernes!A:I, 9, 0),
 IFERROR(VLOOKUP(A95, jueves!A:I, 9, 0),
 IFERROR(VLOOKUP(A95, miercoles!A:I, 9, 0),
 IFERROR(VLOOKUP(A95, martes!A:I, 9, 0),
 IFERROR(VLOOKUP(A95, lunes!A:I, 9, 0),
 B95))))))</f>
        <v>0</v>
      </c>
      <c r="H95">
        <f>VLOOKUP(A95, Configuracion!A:C, 3, FALSE)</f>
        <v>175</v>
      </c>
      <c r="I95">
        <f t="shared" si="7"/>
        <v>0</v>
      </c>
      <c r="J95">
        <f>SUMIFS(lunes!$F:$F, lunes!$A:$A, $A95, lunes!$C:$C, "VENTA") +
 SUMIFS(martes!$F:$F, martes!$A:$A, $A95, martes!$C:$C, "VENTA") +
 SUMIFS(miercoles!$F:$F, miercoles!$A:$A, $A95, miercoles!$C:$C, "VENTA") +
 SUMIFS(jueves!$F:$F, jueves!$A:$A, $A95, jueves!$C:$C, "VENTA") +
 SUMIFS(viernes!$F:$F, viernes!$A:$A, $A95, viernes!$C:$C, "VENTA") +
 SUMIFS(sabado!$F:$F, sabado!$A:$A, $A95, sabado!$C:$C, "VENTA")</f>
        <v>0</v>
      </c>
      <c r="K95">
        <f t="shared" si="8"/>
        <v>0</v>
      </c>
    </row>
    <row r="96" spans="1:11" x14ac:dyDescent="0.3">
      <c r="A96" s="1" t="str">
        <f>Configuracion!A96</f>
        <v>NEVERA ROYAL 5.5</v>
      </c>
      <c r="B96">
        <f>VLOOKUP(A96, Configuracion!A:B, 2, FALSE)</f>
        <v>0</v>
      </c>
      <c r="C96">
        <f>SUMIFS(lunes!D:D, lunes!A:A, A96, lunes!C:C, "VENTA") +
 SUMIFS(martes!D:D, martes!A:A, A96, martes!C:C, "VENTA") +
 SUMIFS(miercoles!D:D, miercoles!A:A, A96, miercoles!C:C, "VENTA") +
 SUMIFS(jueves!D:D, jueves!A:A, A96, jueves!C:C, "VENTA") +
 SUMIFS(viernes!D:D, viernes!A:A, A96, viernes!C:C, "VENTA") +
 SUMIFS(sabado!D:D, sabado!A:A, A96, sabado!C:C, "VENTA")</f>
        <v>0</v>
      </c>
      <c r="D96">
        <f>SUMIFS(lunes!$D:$D, lunes!$A:$A, $A96, lunes!$C:$C, "ENTRADA") +
 SUMIFS(martes!$D:$D, martes!$A:$A, $A96, martes!$C:$C, "ENTRADA") +
 SUMIFS(miercoles!$D:$D, miercoles!$A:$A, $A96, miercoles!$C:$C, "ENTRADA") +
 SUMIFS(jueves!$D:$D, jueves!$A:$A, $A96, jueves!$C:$C, "ENTRADA") +
 SUMIFS(viernes!$D:$D, viernes!$A:$A, $A96, viernes!$C:$C, "ENTRADA") +
 SUMIFS(sabado!$D:$D, sabado!$A:$A, $A96, sabado!$C:$C, "ENTRADA")</f>
        <v>0</v>
      </c>
      <c r="E96">
        <f>SUMIFS(lunes!$D:$D, lunes!$A:$A, $A96, lunes!$C:$C, "SALIDA") +
 SUMIFS(martes!$D:$D, martes!$A:$A, $A96, martes!$C:$C, "SALIDA") +
 SUMIFS(miercoles!$D:$D, miercoles!$A:$A, $A96, miercoles!$C:$C, "SALIDA") +
 SUMIFS(jueves!$D:$D, jueves!$A:$A, $A96, jueves!$C:$C, "SALIDA") +
 SUMIFS(viernes!$D:$D, viernes!$A:$A, $A96, viernes!$C:$C, "SALIDA") +
 SUMIFS(sabado!$D:$D, sabado!$A:$A, $A96, sabado!$C:$C, "SALIDA")</f>
        <v>0</v>
      </c>
      <c r="F96">
        <f t="shared" si="6"/>
        <v>0</v>
      </c>
      <c r="G96">
        <f>IFERROR(VLOOKUP(A96, sabado!A:I, 9, 0),
 IFERROR(VLOOKUP(A96, viernes!A:I, 9, 0),
 IFERROR(VLOOKUP(A96, jueves!A:I, 9, 0),
 IFERROR(VLOOKUP(A96, miercoles!A:I, 9, 0),
 IFERROR(VLOOKUP(A96, martes!A:I, 9, 0),
 IFERROR(VLOOKUP(A96, lunes!A:I, 9, 0),
 B96))))))</f>
        <v>0</v>
      </c>
      <c r="H96">
        <f>VLOOKUP(A96, Configuracion!A:C, 3, FALSE)</f>
        <v>210</v>
      </c>
      <c r="I96">
        <f t="shared" si="7"/>
        <v>0</v>
      </c>
      <c r="J96">
        <f>SUMIFS(lunes!$F:$F, lunes!$A:$A, $A96, lunes!$C:$C, "VENTA") +
 SUMIFS(martes!$F:$F, martes!$A:$A, $A96, martes!$C:$C, "VENTA") +
 SUMIFS(miercoles!$F:$F, miercoles!$A:$A, $A96, miercoles!$C:$C, "VENTA") +
 SUMIFS(jueves!$F:$F, jueves!$A:$A, $A96, jueves!$C:$C, "VENTA") +
 SUMIFS(viernes!$F:$F, viernes!$A:$A, $A96, viernes!$C:$C, "VENTA") +
 SUMIFS(sabado!$F:$F, sabado!$A:$A, $A96, sabado!$C:$C, "VENTA")</f>
        <v>0</v>
      </c>
      <c r="K96">
        <f t="shared" si="8"/>
        <v>0</v>
      </c>
    </row>
    <row r="97" spans="1:11" x14ac:dyDescent="0.3">
      <c r="A97" s="1" t="str">
        <f>Configuracion!A97</f>
        <v>NEVERA ROYAL 7.8 220L</v>
      </c>
      <c r="B97">
        <f>VLOOKUP(A97, Configuracion!A:B, 2, FALSE)</f>
        <v>0</v>
      </c>
      <c r="C97">
        <f>SUMIFS(lunes!D:D, lunes!A:A, A97, lunes!C:C, "VENTA") +
 SUMIFS(martes!D:D, martes!A:A, A97, martes!C:C, "VENTA") +
 SUMIFS(miercoles!D:D, miercoles!A:A, A97, miercoles!C:C, "VENTA") +
 SUMIFS(jueves!D:D, jueves!A:A, A97, jueves!C:C, "VENTA") +
 SUMIFS(viernes!D:D, viernes!A:A, A97, viernes!C:C, "VENTA") +
 SUMIFS(sabado!D:D, sabado!A:A, A97, sabado!C:C, "VENTA")</f>
        <v>0</v>
      </c>
      <c r="D97">
        <f>SUMIFS(lunes!$D:$D, lunes!$A:$A, $A97, lunes!$C:$C, "ENTRADA") +
 SUMIFS(martes!$D:$D, martes!$A:$A, $A97, martes!$C:$C, "ENTRADA") +
 SUMIFS(miercoles!$D:$D, miercoles!$A:$A, $A97, miercoles!$C:$C, "ENTRADA") +
 SUMIFS(jueves!$D:$D, jueves!$A:$A, $A97, jueves!$C:$C, "ENTRADA") +
 SUMIFS(viernes!$D:$D, viernes!$A:$A, $A97, viernes!$C:$C, "ENTRADA") +
 SUMIFS(sabado!$D:$D, sabado!$A:$A, $A97, sabado!$C:$C, "ENTRADA")</f>
        <v>0</v>
      </c>
      <c r="E97">
        <f>SUMIFS(lunes!$D:$D, lunes!$A:$A, $A97, lunes!$C:$C, "SALIDA") +
 SUMIFS(martes!$D:$D, martes!$A:$A, $A97, martes!$C:$C, "SALIDA") +
 SUMIFS(miercoles!$D:$D, miercoles!$A:$A, $A97, miercoles!$C:$C, "SALIDA") +
 SUMIFS(jueves!$D:$D, jueves!$A:$A, $A97, jueves!$C:$C, "SALIDA") +
 SUMIFS(viernes!$D:$D, viernes!$A:$A, $A97, viernes!$C:$C, "SALIDA") +
 SUMIFS(sabado!$D:$D, sabado!$A:$A, $A97, sabado!$C:$C, "SALIDA")</f>
        <v>0</v>
      </c>
      <c r="F97">
        <f t="shared" si="6"/>
        <v>0</v>
      </c>
      <c r="G97">
        <f>IFERROR(VLOOKUP(A97, sabado!A:I, 9, 0),
 IFERROR(VLOOKUP(A97, viernes!A:I, 9, 0),
 IFERROR(VLOOKUP(A97, jueves!A:I, 9, 0),
 IFERROR(VLOOKUP(A97, miercoles!A:I, 9, 0),
 IFERROR(VLOOKUP(A97, martes!A:I, 9, 0),
 IFERROR(VLOOKUP(A97, lunes!A:I, 9, 0),
 B97))))))</f>
        <v>0</v>
      </c>
      <c r="H97">
        <f>VLOOKUP(A97, Configuracion!A:C, 3, FALSE)</f>
        <v>270</v>
      </c>
      <c r="I97">
        <f t="shared" si="7"/>
        <v>0</v>
      </c>
      <c r="J97">
        <f>SUMIFS(lunes!$F:$F, lunes!$A:$A, $A97, lunes!$C:$C, "VENTA") +
 SUMIFS(martes!$F:$F, martes!$A:$A, $A97, martes!$C:$C, "VENTA") +
 SUMIFS(miercoles!$F:$F, miercoles!$A:$A, $A97, miercoles!$C:$C, "VENTA") +
 SUMIFS(jueves!$F:$F, jueves!$A:$A, $A97, jueves!$C:$C, "VENTA") +
 SUMIFS(viernes!$F:$F, viernes!$A:$A, $A97, viernes!$C:$C, "VENTA") +
 SUMIFS(sabado!$F:$F, sabado!$A:$A, $A97, sabado!$C:$C, "VENTA")</f>
        <v>0</v>
      </c>
      <c r="K97">
        <f t="shared" si="8"/>
        <v>0</v>
      </c>
    </row>
    <row r="98" spans="1:11" x14ac:dyDescent="0.3">
      <c r="A98" s="1" t="str">
        <f>Configuracion!A98</f>
        <v>NEVERA ROYAL 10 P</v>
      </c>
      <c r="B98">
        <f>VLOOKUP(A98, Configuracion!A:B, 2, FALSE)</f>
        <v>0</v>
      </c>
      <c r="C98">
        <f>SUMIFS(lunes!D:D, lunes!A:A, A98, lunes!C:C, "VENTA") +
 SUMIFS(martes!D:D, martes!A:A, A98, martes!C:C, "VENTA") +
 SUMIFS(miercoles!D:D, miercoles!A:A, A98, miercoles!C:C, "VENTA") +
 SUMIFS(jueves!D:D, jueves!A:A, A98, jueves!C:C, "VENTA") +
 SUMIFS(viernes!D:D, viernes!A:A, A98, viernes!C:C, "VENTA") +
 SUMIFS(sabado!D:D, sabado!A:A, A98, sabado!C:C, "VENTA")</f>
        <v>0</v>
      </c>
      <c r="D98">
        <f>SUMIFS(lunes!$D:$D, lunes!$A:$A, $A98, lunes!$C:$C, "ENTRADA") +
 SUMIFS(martes!$D:$D, martes!$A:$A, $A98, martes!$C:$C, "ENTRADA") +
 SUMIFS(miercoles!$D:$D, miercoles!$A:$A, $A98, miercoles!$C:$C, "ENTRADA") +
 SUMIFS(jueves!$D:$D, jueves!$A:$A, $A98, jueves!$C:$C, "ENTRADA") +
 SUMIFS(viernes!$D:$D, viernes!$A:$A, $A98, viernes!$C:$C, "ENTRADA") +
 SUMIFS(sabado!$D:$D, sabado!$A:$A, $A98, sabado!$C:$C, "ENTRADA")</f>
        <v>0</v>
      </c>
      <c r="E98">
        <f>SUMIFS(lunes!$D:$D, lunes!$A:$A, $A98, lunes!$C:$C, "SALIDA") +
 SUMIFS(martes!$D:$D, martes!$A:$A, $A98, martes!$C:$C, "SALIDA") +
 SUMIFS(miercoles!$D:$D, miercoles!$A:$A, $A98, miercoles!$C:$C, "SALIDA") +
 SUMIFS(jueves!$D:$D, jueves!$A:$A, $A98, jueves!$C:$C, "SALIDA") +
 SUMIFS(viernes!$D:$D, viernes!$A:$A, $A98, viernes!$C:$C, "SALIDA") +
 SUMIFS(sabado!$D:$D, sabado!$A:$A, $A98, sabado!$C:$C, "SALIDA")</f>
        <v>0</v>
      </c>
      <c r="F98">
        <f t="shared" ref="F98:F129" si="9">B98-C98+D98-E98</f>
        <v>0</v>
      </c>
      <c r="G98">
        <f>IFERROR(VLOOKUP(A98, sabado!A:I, 9, 0),
 IFERROR(VLOOKUP(A98, viernes!A:I, 9, 0),
 IFERROR(VLOOKUP(A98, jueves!A:I, 9, 0),
 IFERROR(VLOOKUP(A98, miercoles!A:I, 9, 0),
 IFERROR(VLOOKUP(A98, martes!A:I, 9, 0),
 IFERROR(VLOOKUP(A98, lunes!A:I, 9, 0),
 B98))))))</f>
        <v>0</v>
      </c>
      <c r="H98">
        <f>VLOOKUP(A98, Configuracion!A:C, 3, FALSE)</f>
        <v>370</v>
      </c>
      <c r="I98">
        <f t="shared" ref="I98:I129" si="10">C98*H98</f>
        <v>0</v>
      </c>
      <c r="J98">
        <f>SUMIFS(lunes!$F:$F, lunes!$A:$A, $A98, lunes!$C:$C, "VENTA") +
 SUMIFS(martes!$F:$F, martes!$A:$A, $A98, martes!$C:$C, "VENTA") +
 SUMIFS(miercoles!$F:$F, miercoles!$A:$A, $A98, miercoles!$C:$C, "VENTA") +
 SUMIFS(jueves!$F:$F, jueves!$A:$A, $A98, jueves!$C:$C, "VENTA") +
 SUMIFS(viernes!$F:$F, viernes!$A:$A, $A98, viernes!$C:$C, "VENTA") +
 SUMIFS(sabado!$F:$F, sabado!$A:$A, $A98, sabado!$C:$C, "VENTA")</f>
        <v>0</v>
      </c>
      <c r="K98">
        <f t="shared" ref="K98:K129" si="11">I98-J98</f>
        <v>0</v>
      </c>
    </row>
    <row r="99" spans="1:11" x14ac:dyDescent="0.3">
      <c r="A99" s="1" t="str">
        <f>Configuracion!A99</f>
        <v>NEVERA 11.2 PIES MILEXUS</v>
      </c>
      <c r="B99">
        <f>VLOOKUP(A99, Configuracion!A:B, 2, FALSE)</f>
        <v>0</v>
      </c>
      <c r="C99">
        <f>SUMIFS(lunes!D:D, lunes!A:A, A99, lunes!C:C, "VENTA") +
 SUMIFS(martes!D:D, martes!A:A, A99, martes!C:C, "VENTA") +
 SUMIFS(miercoles!D:D, miercoles!A:A, A99, miercoles!C:C, "VENTA") +
 SUMIFS(jueves!D:D, jueves!A:A, A99, jueves!C:C, "VENTA") +
 SUMIFS(viernes!D:D, viernes!A:A, A99, viernes!C:C, "VENTA") +
 SUMIFS(sabado!D:D, sabado!A:A, A99, sabado!C:C, "VENTA")</f>
        <v>0</v>
      </c>
      <c r="D99">
        <f>SUMIFS(lunes!$D:$D, lunes!$A:$A, $A99, lunes!$C:$C, "ENTRADA") +
 SUMIFS(martes!$D:$D, martes!$A:$A, $A99, martes!$C:$C, "ENTRADA") +
 SUMIFS(miercoles!$D:$D, miercoles!$A:$A, $A99, miercoles!$C:$C, "ENTRADA") +
 SUMIFS(jueves!$D:$D, jueves!$A:$A, $A99, jueves!$C:$C, "ENTRADA") +
 SUMIFS(viernes!$D:$D, viernes!$A:$A, $A99, viernes!$C:$C, "ENTRADA") +
 SUMIFS(sabado!$D:$D, sabado!$A:$A, $A99, sabado!$C:$C, "ENTRADA")</f>
        <v>0</v>
      </c>
      <c r="E99">
        <f>SUMIFS(lunes!$D:$D, lunes!$A:$A, $A99, lunes!$C:$C, "SALIDA") +
 SUMIFS(martes!$D:$D, martes!$A:$A, $A99, martes!$C:$C, "SALIDA") +
 SUMIFS(miercoles!$D:$D, miercoles!$A:$A, $A99, miercoles!$C:$C, "SALIDA") +
 SUMIFS(jueves!$D:$D, jueves!$A:$A, $A99, jueves!$C:$C, "SALIDA") +
 SUMIFS(viernes!$D:$D, viernes!$A:$A, $A99, viernes!$C:$C, "SALIDA") +
 SUMIFS(sabado!$D:$D, sabado!$A:$A, $A99, sabado!$C:$C, "SALIDA")</f>
        <v>0</v>
      </c>
      <c r="F99">
        <f t="shared" si="9"/>
        <v>0</v>
      </c>
      <c r="G99">
        <f>IFERROR(VLOOKUP(A99, sabado!A:I, 9, 0),
 IFERROR(VLOOKUP(A99, viernes!A:I, 9, 0),
 IFERROR(VLOOKUP(A99, jueves!A:I, 9, 0),
 IFERROR(VLOOKUP(A99, miercoles!A:I, 9, 0),
 IFERROR(VLOOKUP(A99, martes!A:I, 9, 0),
 IFERROR(VLOOKUP(A99, lunes!A:I, 9, 0),
 B99))))))</f>
        <v>0</v>
      </c>
      <c r="H99">
        <f>VLOOKUP(A99, Configuracion!A:C, 3, FALSE)</f>
        <v>370</v>
      </c>
      <c r="I99">
        <f t="shared" si="10"/>
        <v>0</v>
      </c>
      <c r="J99">
        <f>SUMIFS(lunes!$F:$F, lunes!$A:$A, $A99, lunes!$C:$C, "VENTA") +
 SUMIFS(martes!$F:$F, martes!$A:$A, $A99, martes!$C:$C, "VENTA") +
 SUMIFS(miercoles!$F:$F, miercoles!$A:$A, $A99, miercoles!$C:$C, "VENTA") +
 SUMIFS(jueves!$F:$F, jueves!$A:$A, $A99, jueves!$C:$C, "VENTA") +
 SUMIFS(viernes!$F:$F, viernes!$A:$A, $A99, viernes!$C:$C, "VENTA") +
 SUMIFS(sabado!$F:$F, sabado!$A:$A, $A99, sabado!$C:$C, "VENTA")</f>
        <v>0</v>
      </c>
      <c r="K99">
        <f t="shared" si="11"/>
        <v>0</v>
      </c>
    </row>
    <row r="100" spans="1:11" x14ac:dyDescent="0.3">
      <c r="A100" s="1" t="str">
        <f>Configuracion!A100</f>
        <v>NEVERA 6 PIES MILEXUS 170L</v>
      </c>
      <c r="B100">
        <f>VLOOKUP(A100, Configuracion!A:B, 2, FALSE)</f>
        <v>0</v>
      </c>
      <c r="C100">
        <f>SUMIFS(lunes!D:D, lunes!A:A, A100, lunes!C:C, "VENTA") +
 SUMIFS(martes!D:D, martes!A:A, A100, martes!C:C, "VENTA") +
 SUMIFS(miercoles!D:D, miercoles!A:A, A100, miercoles!C:C, "VENTA") +
 SUMIFS(jueves!D:D, jueves!A:A, A100, jueves!C:C, "VENTA") +
 SUMIFS(viernes!D:D, viernes!A:A, A100, viernes!C:C, "VENTA") +
 SUMIFS(sabado!D:D, sabado!A:A, A100, sabado!C:C, "VENTA")</f>
        <v>0</v>
      </c>
      <c r="D100">
        <f>SUMIFS(lunes!$D:$D, lunes!$A:$A, $A100, lunes!$C:$C, "ENTRADA") +
 SUMIFS(martes!$D:$D, martes!$A:$A, $A100, martes!$C:$C, "ENTRADA") +
 SUMIFS(miercoles!$D:$D, miercoles!$A:$A, $A100, miercoles!$C:$C, "ENTRADA") +
 SUMIFS(jueves!$D:$D, jueves!$A:$A, $A100, jueves!$C:$C, "ENTRADA") +
 SUMIFS(viernes!$D:$D, viernes!$A:$A, $A100, viernes!$C:$C, "ENTRADA") +
 SUMIFS(sabado!$D:$D, sabado!$A:$A, $A100, sabado!$C:$C, "ENTRADA")</f>
        <v>0</v>
      </c>
      <c r="E100">
        <f>SUMIFS(lunes!$D:$D, lunes!$A:$A, $A100, lunes!$C:$C, "SALIDA") +
 SUMIFS(martes!$D:$D, martes!$A:$A, $A100, martes!$C:$C, "SALIDA") +
 SUMIFS(miercoles!$D:$D, miercoles!$A:$A, $A100, miercoles!$C:$C, "SALIDA") +
 SUMIFS(jueves!$D:$D, jueves!$A:$A, $A100, jueves!$C:$C, "SALIDA") +
 SUMIFS(viernes!$D:$D, viernes!$A:$A, $A100, viernes!$C:$C, "SALIDA") +
 SUMIFS(sabado!$D:$D, sabado!$A:$A, $A100, sabado!$C:$C, "SALIDA")</f>
        <v>0</v>
      </c>
      <c r="F100">
        <f t="shared" si="9"/>
        <v>0</v>
      </c>
      <c r="G100">
        <f>IFERROR(VLOOKUP(A100, sabado!A:I, 9, 0),
 IFERROR(VLOOKUP(A100, viernes!A:I, 9, 0),
 IFERROR(VLOOKUP(A100, jueves!A:I, 9, 0),
 IFERROR(VLOOKUP(A100, miercoles!A:I, 9, 0),
 IFERROR(VLOOKUP(A100, martes!A:I, 9, 0),
 IFERROR(VLOOKUP(A100, lunes!A:I, 9, 0),
 B100))))))</f>
        <v>0</v>
      </c>
      <c r="H100">
        <f>VLOOKUP(A100, Configuracion!A:C, 3, FALSE)</f>
        <v>230</v>
      </c>
      <c r="I100">
        <f t="shared" si="10"/>
        <v>0</v>
      </c>
      <c r="J100">
        <f>SUMIFS(lunes!$F:$F, lunes!$A:$A, $A100, lunes!$C:$C, "VENTA") +
 SUMIFS(martes!$F:$F, martes!$A:$A, $A100, martes!$C:$C, "VENTA") +
 SUMIFS(miercoles!$F:$F, miercoles!$A:$A, $A100, miercoles!$C:$C, "VENTA") +
 SUMIFS(jueves!$F:$F, jueves!$A:$A, $A100, jueves!$C:$C, "VENTA") +
 SUMIFS(viernes!$F:$F, viernes!$A:$A, $A100, viernes!$C:$C, "VENTA") +
 SUMIFS(sabado!$F:$F, sabado!$A:$A, $A100, sabado!$C:$C, "VENTA")</f>
        <v>0</v>
      </c>
      <c r="K100">
        <f t="shared" si="11"/>
        <v>0</v>
      </c>
    </row>
    <row r="101" spans="1:11" x14ac:dyDescent="0.3">
      <c r="A101" s="1" t="str">
        <f>Configuracion!A101</f>
        <v>NEVERA MILEXUS 3.5 PIES  100L</v>
      </c>
      <c r="B101">
        <f>VLOOKUP(A101, Configuracion!A:B, 2, FALSE)</f>
        <v>0</v>
      </c>
      <c r="C101">
        <f>SUMIFS(lunes!D:D, lunes!A:A, A101, lunes!C:C, "VENTA") +
 SUMIFS(martes!D:D, martes!A:A, A101, martes!C:C, "VENTA") +
 SUMIFS(miercoles!D:D, miercoles!A:A, A101, miercoles!C:C, "VENTA") +
 SUMIFS(jueves!D:D, jueves!A:A, A101, jueves!C:C, "VENTA") +
 SUMIFS(viernes!D:D, viernes!A:A, A101, viernes!C:C, "VENTA") +
 SUMIFS(sabado!D:D, sabado!A:A, A101, sabado!C:C, "VENTA")</f>
        <v>0</v>
      </c>
      <c r="D101">
        <f>SUMIFS(lunes!$D:$D, lunes!$A:$A, $A101, lunes!$C:$C, "ENTRADA") +
 SUMIFS(martes!$D:$D, martes!$A:$A, $A101, martes!$C:$C, "ENTRADA") +
 SUMIFS(miercoles!$D:$D, miercoles!$A:$A, $A101, miercoles!$C:$C, "ENTRADA") +
 SUMIFS(jueves!$D:$D, jueves!$A:$A, $A101, jueves!$C:$C, "ENTRADA") +
 SUMIFS(viernes!$D:$D, viernes!$A:$A, $A101, viernes!$C:$C, "ENTRADA") +
 SUMIFS(sabado!$D:$D, sabado!$A:$A, $A101, sabado!$C:$C, "ENTRADA")</f>
        <v>0</v>
      </c>
      <c r="E101">
        <f>SUMIFS(lunes!$D:$D, lunes!$A:$A, $A101, lunes!$C:$C, "SALIDA") +
 SUMIFS(martes!$D:$D, martes!$A:$A, $A101, martes!$C:$C, "SALIDA") +
 SUMIFS(miercoles!$D:$D, miercoles!$A:$A, $A101, miercoles!$C:$C, "SALIDA") +
 SUMIFS(jueves!$D:$D, jueves!$A:$A, $A101, jueves!$C:$C, "SALIDA") +
 SUMIFS(viernes!$D:$D, viernes!$A:$A, $A101, viernes!$C:$C, "SALIDA") +
 SUMIFS(sabado!$D:$D, sabado!$A:$A, $A101, sabado!$C:$C, "SALIDA")</f>
        <v>0</v>
      </c>
      <c r="F101">
        <f t="shared" si="9"/>
        <v>0</v>
      </c>
      <c r="G101">
        <f>IFERROR(VLOOKUP(A101, sabado!A:I, 9, 0),
 IFERROR(VLOOKUP(A101, viernes!A:I, 9, 0),
 IFERROR(VLOOKUP(A101, jueves!A:I, 9, 0),
 IFERROR(VLOOKUP(A101, miercoles!A:I, 9, 0),
 IFERROR(VLOOKUP(A101, martes!A:I, 9, 0),
 IFERROR(VLOOKUP(A101, lunes!A:I, 9, 0),
 B101))))))</f>
        <v>0</v>
      </c>
      <c r="H101">
        <f>VLOOKUP(A101, Configuracion!A:C, 3, FALSE)</f>
        <v>210</v>
      </c>
      <c r="I101">
        <f t="shared" si="10"/>
        <v>0</v>
      </c>
      <c r="J101">
        <f>SUMIFS(lunes!$F:$F, lunes!$A:$A, $A101, lunes!$C:$C, "VENTA") +
 SUMIFS(martes!$F:$F, martes!$A:$A, $A101, martes!$C:$C, "VENTA") +
 SUMIFS(miercoles!$F:$F, miercoles!$A:$A, $A101, miercoles!$C:$C, "VENTA") +
 SUMIFS(jueves!$F:$F, jueves!$A:$A, $A101, jueves!$C:$C, "VENTA") +
 SUMIFS(viernes!$F:$F, viernes!$A:$A, $A101, viernes!$C:$C, "VENTA") +
 SUMIFS(sabado!$F:$F, sabado!$A:$A, $A101, sabado!$C:$C, "VENTA")</f>
        <v>0</v>
      </c>
      <c r="K101">
        <f t="shared" si="11"/>
        <v>0</v>
      </c>
    </row>
    <row r="102" spans="1:11" x14ac:dyDescent="0.3">
      <c r="A102" s="1" t="str">
        <f>Configuracion!A102</f>
        <v>NEVERA SANKEY 9 P</v>
      </c>
      <c r="B102">
        <f>VLOOKUP(A102, Configuracion!A:B, 2, FALSE)</f>
        <v>2</v>
      </c>
      <c r="C102">
        <f>SUMIFS(lunes!D:D, lunes!A:A, A102, lunes!C:C, "VENTA") +
 SUMIFS(martes!D:D, martes!A:A, A102, martes!C:C, "VENTA") +
 SUMIFS(miercoles!D:D, miercoles!A:A, A102, miercoles!C:C, "VENTA") +
 SUMIFS(jueves!D:D, jueves!A:A, A102, jueves!C:C, "VENTA") +
 SUMIFS(viernes!D:D, viernes!A:A, A102, viernes!C:C, "VENTA") +
 SUMIFS(sabado!D:D, sabado!A:A, A102, sabado!C:C, "VENTA")</f>
        <v>1</v>
      </c>
      <c r="D102">
        <f>SUMIFS(lunes!$D:$D, lunes!$A:$A, $A102, lunes!$C:$C, "ENTRADA") +
 SUMIFS(martes!$D:$D, martes!$A:$A, $A102, martes!$C:$C, "ENTRADA") +
 SUMIFS(miercoles!$D:$D, miercoles!$A:$A, $A102, miercoles!$C:$C, "ENTRADA") +
 SUMIFS(jueves!$D:$D, jueves!$A:$A, $A102, jueves!$C:$C, "ENTRADA") +
 SUMIFS(viernes!$D:$D, viernes!$A:$A, $A102, viernes!$C:$C, "ENTRADA") +
 SUMIFS(sabado!$D:$D, sabado!$A:$A, $A102, sabado!$C:$C, "ENTRADA")</f>
        <v>0</v>
      </c>
      <c r="E102">
        <f>SUMIFS(lunes!$D:$D, lunes!$A:$A, $A102, lunes!$C:$C, "SALIDA") +
 SUMIFS(martes!$D:$D, martes!$A:$A, $A102, martes!$C:$C, "SALIDA") +
 SUMIFS(miercoles!$D:$D, miercoles!$A:$A, $A102, miercoles!$C:$C, "SALIDA") +
 SUMIFS(jueves!$D:$D, jueves!$A:$A, $A102, jueves!$C:$C, "SALIDA") +
 SUMIFS(viernes!$D:$D, viernes!$A:$A, $A102, viernes!$C:$C, "SALIDA") +
 SUMIFS(sabado!$D:$D, sabado!$A:$A, $A102, sabado!$C:$C, "SALIDA")</f>
        <v>0</v>
      </c>
      <c r="F102">
        <f t="shared" si="9"/>
        <v>1</v>
      </c>
      <c r="G102">
        <f>IFERROR(VLOOKUP(A102, sabado!A:I, 9, 0),
 IFERROR(VLOOKUP(A102, viernes!A:I, 9, 0),
 IFERROR(VLOOKUP(A102, jueves!A:I, 9, 0),
 IFERROR(VLOOKUP(A102, miercoles!A:I, 9, 0),
 IFERROR(VLOOKUP(A102, martes!A:I, 9, 0),
 IFERROR(VLOOKUP(A102, lunes!A:I, 9, 0),
 B102))))))</f>
        <v>1</v>
      </c>
      <c r="H102">
        <f>VLOOKUP(A102, Configuracion!A:C, 3, FALSE)</f>
        <v>320</v>
      </c>
      <c r="I102">
        <f t="shared" si="10"/>
        <v>320</v>
      </c>
      <c r="J102">
        <f>SUMIFS(lunes!$F:$F, lunes!$A:$A, $A102, lunes!$C:$C, "VENTA") +
 SUMIFS(martes!$F:$F, martes!$A:$A, $A102, martes!$C:$C, "VENTA") +
 SUMIFS(miercoles!$F:$F, miercoles!$A:$A, $A102, miercoles!$C:$C, "VENTA") +
 SUMIFS(jueves!$F:$F, jueves!$A:$A, $A102, jueves!$C:$C, "VENTA") +
 SUMIFS(viernes!$F:$F, viernes!$A:$A, $A102, viernes!$C:$C, "VENTA") +
 SUMIFS(sabado!$F:$F, sabado!$A:$A, $A102, sabado!$C:$C, "VENTA")</f>
        <v>320</v>
      </c>
      <c r="K102">
        <f t="shared" si="11"/>
        <v>0</v>
      </c>
    </row>
    <row r="103" spans="1:11" x14ac:dyDescent="0.3">
      <c r="A103" s="1" t="str">
        <f>Configuracion!A103</f>
        <v>NEVERA MILEXUS 4.2</v>
      </c>
      <c r="B103">
        <f>VLOOKUP(A103, Configuracion!A:B, 2, FALSE)</f>
        <v>0</v>
      </c>
      <c r="C103">
        <f>SUMIFS(lunes!D:D, lunes!A:A, A103, lunes!C:C, "VENTA") +
 SUMIFS(martes!D:D, martes!A:A, A103, martes!C:C, "VENTA") +
 SUMIFS(miercoles!D:D, miercoles!A:A, A103, miercoles!C:C, "VENTA") +
 SUMIFS(jueves!D:D, jueves!A:A, A103, jueves!C:C, "VENTA") +
 SUMIFS(viernes!D:D, viernes!A:A, A103, viernes!C:C, "VENTA") +
 SUMIFS(sabado!D:D, sabado!A:A, A103, sabado!C:C, "VENTA")</f>
        <v>0</v>
      </c>
      <c r="D103">
        <f>SUMIFS(lunes!$D:$D, lunes!$A:$A, $A103, lunes!$C:$C, "ENTRADA") +
 SUMIFS(martes!$D:$D, martes!$A:$A, $A103, martes!$C:$C, "ENTRADA") +
 SUMIFS(miercoles!$D:$D, miercoles!$A:$A, $A103, miercoles!$C:$C, "ENTRADA") +
 SUMIFS(jueves!$D:$D, jueves!$A:$A, $A103, jueves!$C:$C, "ENTRADA") +
 SUMIFS(viernes!$D:$D, viernes!$A:$A, $A103, viernes!$C:$C, "ENTRADA") +
 SUMIFS(sabado!$D:$D, sabado!$A:$A, $A103, sabado!$C:$C, "ENTRADA")</f>
        <v>0</v>
      </c>
      <c r="E103">
        <f>SUMIFS(lunes!$D:$D, lunes!$A:$A, $A103, lunes!$C:$C, "SALIDA") +
 SUMIFS(martes!$D:$D, martes!$A:$A, $A103, martes!$C:$C, "SALIDA") +
 SUMIFS(miercoles!$D:$D, miercoles!$A:$A, $A103, miercoles!$C:$C, "SALIDA") +
 SUMIFS(jueves!$D:$D, jueves!$A:$A, $A103, jueves!$C:$C, "SALIDA") +
 SUMIFS(viernes!$D:$D, viernes!$A:$A, $A103, viernes!$C:$C, "SALIDA") +
 SUMIFS(sabado!$D:$D, sabado!$A:$A, $A103, sabado!$C:$C, "SALIDA")</f>
        <v>0</v>
      </c>
      <c r="F103">
        <f t="shared" si="9"/>
        <v>0</v>
      </c>
      <c r="G103">
        <f>IFERROR(VLOOKUP(A103, sabado!A:I, 9, 0),
 IFERROR(VLOOKUP(A103, viernes!A:I, 9, 0),
 IFERROR(VLOOKUP(A103, jueves!A:I, 9, 0),
 IFERROR(VLOOKUP(A103, miercoles!A:I, 9, 0),
 IFERROR(VLOOKUP(A103, martes!A:I, 9, 0),
 IFERROR(VLOOKUP(A103, lunes!A:I, 9, 0),
 B103))))))</f>
        <v>0</v>
      </c>
      <c r="H103">
        <f>VLOOKUP(A103, Configuracion!A:C, 3, FALSE)</f>
        <v>190</v>
      </c>
      <c r="I103">
        <f t="shared" si="10"/>
        <v>0</v>
      </c>
      <c r="J103">
        <f>SUMIFS(lunes!$F:$F, lunes!$A:$A, $A103, lunes!$C:$C, "VENTA") +
 SUMIFS(martes!$F:$F, martes!$A:$A, $A103, martes!$C:$C, "VENTA") +
 SUMIFS(miercoles!$F:$F, miercoles!$A:$A, $A103, miercoles!$C:$C, "VENTA") +
 SUMIFS(jueves!$F:$F, jueves!$A:$A, $A103, jueves!$C:$C, "VENTA") +
 SUMIFS(viernes!$F:$F, viernes!$A:$A, $A103, viernes!$C:$C, "VENTA") +
 SUMIFS(sabado!$F:$F, sabado!$A:$A, $A103, sabado!$C:$C, "VENTA")</f>
        <v>0</v>
      </c>
      <c r="K103">
        <f t="shared" si="11"/>
        <v>0</v>
      </c>
    </row>
    <row r="104" spans="1:11" x14ac:dyDescent="0.3">
      <c r="A104" s="1" t="str">
        <f>Configuracion!A104</f>
        <v>NEVERA  7 PIES MILEXUS 200L</v>
      </c>
      <c r="B104">
        <f>VLOOKUP(A104, Configuracion!A:B, 2, FALSE)</f>
        <v>0</v>
      </c>
      <c r="C104">
        <f>SUMIFS(lunes!D:D, lunes!A:A, A104, lunes!C:C, "VENTA") +
 SUMIFS(martes!D:D, martes!A:A, A104, martes!C:C, "VENTA") +
 SUMIFS(miercoles!D:D, miercoles!A:A, A104, miercoles!C:C, "VENTA") +
 SUMIFS(jueves!D:D, jueves!A:A, A104, jueves!C:C, "VENTA") +
 SUMIFS(viernes!D:D, viernes!A:A, A104, viernes!C:C, "VENTA") +
 SUMIFS(sabado!D:D, sabado!A:A, A104, sabado!C:C, "VENTA")</f>
        <v>0</v>
      </c>
      <c r="D104">
        <f>SUMIFS(lunes!$D:$D, lunes!$A:$A, $A104, lunes!$C:$C, "ENTRADA") +
 SUMIFS(martes!$D:$D, martes!$A:$A, $A104, martes!$C:$C, "ENTRADA") +
 SUMIFS(miercoles!$D:$D, miercoles!$A:$A, $A104, miercoles!$C:$C, "ENTRADA") +
 SUMIFS(jueves!$D:$D, jueves!$A:$A, $A104, jueves!$C:$C, "ENTRADA") +
 SUMIFS(viernes!$D:$D, viernes!$A:$A, $A104, viernes!$C:$C, "ENTRADA") +
 SUMIFS(sabado!$D:$D, sabado!$A:$A, $A104, sabado!$C:$C, "ENTRADA")</f>
        <v>0</v>
      </c>
      <c r="E104">
        <f>SUMIFS(lunes!$D:$D, lunes!$A:$A, $A104, lunes!$C:$C, "SALIDA") +
 SUMIFS(martes!$D:$D, martes!$A:$A, $A104, martes!$C:$C, "SALIDA") +
 SUMIFS(miercoles!$D:$D, miercoles!$A:$A, $A104, miercoles!$C:$C, "SALIDA") +
 SUMIFS(jueves!$D:$D, jueves!$A:$A, $A104, jueves!$C:$C, "SALIDA") +
 SUMIFS(viernes!$D:$D, viernes!$A:$A, $A104, viernes!$C:$C, "SALIDA") +
 SUMIFS(sabado!$D:$D, sabado!$A:$A, $A104, sabado!$C:$C, "SALIDA")</f>
        <v>0</v>
      </c>
      <c r="F104">
        <f t="shared" si="9"/>
        <v>0</v>
      </c>
      <c r="G104">
        <f>IFERROR(VLOOKUP(A104, sabado!A:I, 9, 0),
 IFERROR(VLOOKUP(A104, viernes!A:I, 9, 0),
 IFERROR(VLOOKUP(A104, jueves!A:I, 9, 0),
 IFERROR(VLOOKUP(A104, miercoles!A:I, 9, 0),
 IFERROR(VLOOKUP(A104, martes!A:I, 9, 0),
 IFERROR(VLOOKUP(A104, lunes!A:I, 9, 0),
 B104))))))</f>
        <v>0</v>
      </c>
      <c r="H104">
        <f>VLOOKUP(A104, Configuracion!A:C, 3, FALSE)</f>
        <v>255</v>
      </c>
      <c r="I104">
        <f t="shared" si="10"/>
        <v>0</v>
      </c>
      <c r="J104">
        <f>SUMIFS(lunes!$F:$F, lunes!$A:$A, $A104, lunes!$C:$C, "VENTA") +
 SUMIFS(martes!$F:$F, martes!$A:$A, $A104, martes!$C:$C, "VENTA") +
 SUMIFS(miercoles!$F:$F, miercoles!$A:$A, $A104, miercoles!$C:$C, "VENTA") +
 SUMIFS(jueves!$F:$F, jueves!$A:$A, $A104, jueves!$C:$C, "VENTA") +
 SUMIFS(viernes!$F:$F, viernes!$A:$A, $A104, viernes!$C:$C, "VENTA") +
 SUMIFS(sabado!$F:$F, sabado!$A:$A, $A104, sabado!$C:$C, "VENTA")</f>
        <v>0</v>
      </c>
      <c r="K104">
        <f t="shared" si="11"/>
        <v>0</v>
      </c>
    </row>
    <row r="105" spans="1:11" x14ac:dyDescent="0.3">
      <c r="A105" s="1" t="str">
        <f>Configuracion!A105</f>
        <v xml:space="preserve">NEVERA MILEXUS 11.2 PIES </v>
      </c>
      <c r="B105">
        <f>VLOOKUP(A105, Configuracion!A:B, 2, FALSE)</f>
        <v>0</v>
      </c>
      <c r="C105">
        <f>SUMIFS(lunes!D:D, lunes!A:A, A105, lunes!C:C, "VENTA") +
 SUMIFS(martes!D:D, martes!A:A, A105, martes!C:C, "VENTA") +
 SUMIFS(miercoles!D:D, miercoles!A:A, A105, miercoles!C:C, "VENTA") +
 SUMIFS(jueves!D:D, jueves!A:A, A105, jueves!C:C, "VENTA") +
 SUMIFS(viernes!D:D, viernes!A:A, A105, viernes!C:C, "VENTA") +
 SUMIFS(sabado!D:D, sabado!A:A, A105, sabado!C:C, "VENTA")</f>
        <v>0</v>
      </c>
      <c r="D105">
        <f>SUMIFS(lunes!$D:$D, lunes!$A:$A, $A105, lunes!$C:$C, "ENTRADA") +
 SUMIFS(martes!$D:$D, martes!$A:$A, $A105, martes!$C:$C, "ENTRADA") +
 SUMIFS(miercoles!$D:$D, miercoles!$A:$A, $A105, miercoles!$C:$C, "ENTRADA") +
 SUMIFS(jueves!$D:$D, jueves!$A:$A, $A105, jueves!$C:$C, "ENTRADA") +
 SUMIFS(viernes!$D:$D, viernes!$A:$A, $A105, viernes!$C:$C, "ENTRADA") +
 SUMIFS(sabado!$D:$D, sabado!$A:$A, $A105, sabado!$C:$C, "ENTRADA")</f>
        <v>0</v>
      </c>
      <c r="E105">
        <f>SUMIFS(lunes!$D:$D, lunes!$A:$A, $A105, lunes!$C:$C, "SALIDA") +
 SUMIFS(martes!$D:$D, martes!$A:$A, $A105, martes!$C:$C, "SALIDA") +
 SUMIFS(miercoles!$D:$D, miercoles!$A:$A, $A105, miercoles!$C:$C, "SALIDA") +
 SUMIFS(jueves!$D:$D, jueves!$A:$A, $A105, jueves!$C:$C, "SALIDA") +
 SUMIFS(viernes!$D:$D, viernes!$A:$A, $A105, viernes!$C:$C, "SALIDA") +
 SUMIFS(sabado!$D:$D, sabado!$A:$A, $A105, sabado!$C:$C, "SALIDA")</f>
        <v>0</v>
      </c>
      <c r="F105">
        <f t="shared" si="9"/>
        <v>0</v>
      </c>
      <c r="G105">
        <f>IFERROR(VLOOKUP(A105, sabado!A:I, 9, 0),
 IFERROR(VLOOKUP(A105, viernes!A:I, 9, 0),
 IFERROR(VLOOKUP(A105, jueves!A:I, 9, 0),
 IFERROR(VLOOKUP(A105, miercoles!A:I, 9, 0),
 IFERROR(VLOOKUP(A105, martes!A:I, 9, 0),
 IFERROR(VLOOKUP(A105, lunes!A:I, 9, 0),
 B105))))))</f>
        <v>0</v>
      </c>
      <c r="H105">
        <f>VLOOKUP(A105, Configuracion!A:C, 3, FALSE)</f>
        <v>640</v>
      </c>
      <c r="I105">
        <f t="shared" si="10"/>
        <v>0</v>
      </c>
      <c r="J105">
        <f>SUMIFS(lunes!$F:$F, lunes!$A:$A, $A105, lunes!$C:$C, "VENTA") +
 SUMIFS(martes!$F:$F, martes!$A:$A, $A105, martes!$C:$C, "VENTA") +
 SUMIFS(miercoles!$F:$F, miercoles!$A:$A, $A105, miercoles!$C:$C, "VENTA") +
 SUMIFS(jueves!$F:$F, jueves!$A:$A, $A105, jueves!$C:$C, "VENTA") +
 SUMIFS(viernes!$F:$F, viernes!$A:$A, $A105, viernes!$C:$C, "VENTA") +
 SUMIFS(sabado!$F:$F, sabado!$A:$A, $A105, sabado!$C:$C, "VENTA")</f>
        <v>0</v>
      </c>
      <c r="K105">
        <f t="shared" si="11"/>
        <v>0</v>
      </c>
    </row>
    <row r="106" spans="1:11" x14ac:dyDescent="0.3">
      <c r="A106" s="1" t="str">
        <f>Configuracion!A106</f>
        <v>NEVERA 17 PIES  ROYAL</v>
      </c>
      <c r="B106">
        <f>VLOOKUP(A106, Configuracion!A:B, 2, FALSE)</f>
        <v>0</v>
      </c>
      <c r="C106">
        <f>SUMIFS(lunes!D:D, lunes!A:A, A106, lunes!C:C, "VENTA") +
 SUMIFS(martes!D:D, martes!A:A, A106, martes!C:C, "VENTA") +
 SUMIFS(miercoles!D:D, miercoles!A:A, A106, miercoles!C:C, "VENTA") +
 SUMIFS(jueves!D:D, jueves!A:A, A106, jueves!C:C, "VENTA") +
 SUMIFS(viernes!D:D, viernes!A:A, A106, viernes!C:C, "VENTA") +
 SUMIFS(sabado!D:D, sabado!A:A, A106, sabado!C:C, "VENTA")</f>
        <v>0</v>
      </c>
      <c r="D106">
        <f>SUMIFS(lunes!$D:$D, lunes!$A:$A, $A106, lunes!$C:$C, "ENTRADA") +
 SUMIFS(martes!$D:$D, martes!$A:$A, $A106, martes!$C:$C, "ENTRADA") +
 SUMIFS(miercoles!$D:$D, miercoles!$A:$A, $A106, miercoles!$C:$C, "ENTRADA") +
 SUMIFS(jueves!$D:$D, jueves!$A:$A, $A106, jueves!$C:$C, "ENTRADA") +
 SUMIFS(viernes!$D:$D, viernes!$A:$A, $A106, viernes!$C:$C, "ENTRADA") +
 SUMIFS(sabado!$D:$D, sabado!$A:$A, $A106, sabado!$C:$C, "ENTRADA")</f>
        <v>0</v>
      </c>
      <c r="E106">
        <f>SUMIFS(lunes!$D:$D, lunes!$A:$A, $A106, lunes!$C:$C, "SALIDA") +
 SUMIFS(martes!$D:$D, martes!$A:$A, $A106, martes!$C:$C, "SALIDA") +
 SUMIFS(miercoles!$D:$D, miercoles!$A:$A, $A106, miercoles!$C:$C, "SALIDA") +
 SUMIFS(jueves!$D:$D, jueves!$A:$A, $A106, jueves!$C:$C, "SALIDA") +
 SUMIFS(viernes!$D:$D, viernes!$A:$A, $A106, viernes!$C:$C, "SALIDA") +
 SUMIFS(sabado!$D:$D, sabado!$A:$A, $A106, sabado!$C:$C, "SALIDA")</f>
        <v>0</v>
      </c>
      <c r="F106">
        <f t="shared" si="9"/>
        <v>0</v>
      </c>
      <c r="G106">
        <f>IFERROR(VLOOKUP(A106, sabado!A:I, 9, 0),
 IFERROR(VLOOKUP(A106, viernes!A:I, 9, 0),
 IFERROR(VLOOKUP(A106, jueves!A:I, 9, 0),
 IFERROR(VLOOKUP(A106, miercoles!A:I, 9, 0),
 IFERROR(VLOOKUP(A106, martes!A:I, 9, 0),
 IFERROR(VLOOKUP(A106, lunes!A:I, 9, 0),
 B106))))))</f>
        <v>0</v>
      </c>
      <c r="H106">
        <f>VLOOKUP(A106, Configuracion!A:C, 3, FALSE)</f>
        <v>670</v>
      </c>
      <c r="I106">
        <f t="shared" si="10"/>
        <v>0</v>
      </c>
      <c r="J106">
        <f>SUMIFS(lunes!$F:$F, lunes!$A:$A, $A106, lunes!$C:$C, "VENTA") +
 SUMIFS(martes!$F:$F, martes!$A:$A, $A106, martes!$C:$C, "VENTA") +
 SUMIFS(miercoles!$F:$F, miercoles!$A:$A, $A106, miercoles!$C:$C, "VENTA") +
 SUMIFS(jueves!$F:$F, jueves!$A:$A, $A106, jueves!$C:$C, "VENTA") +
 SUMIFS(viernes!$F:$F, viernes!$A:$A, $A106, viernes!$C:$C, "VENTA") +
 SUMIFS(sabado!$F:$F, sabado!$A:$A, $A106, sabado!$C:$C, "VENTA")</f>
        <v>0</v>
      </c>
      <c r="K106">
        <f t="shared" si="11"/>
        <v>0</v>
      </c>
    </row>
    <row r="107" spans="1:11" x14ac:dyDescent="0.3">
      <c r="A107" s="1" t="str">
        <f>Configuracion!A107</f>
        <v>NEVERA 20 PIES  MILEXUS</v>
      </c>
      <c r="B107">
        <f>VLOOKUP(A107, Configuracion!A:B, 2, FALSE)</f>
        <v>0</v>
      </c>
      <c r="C107">
        <f>SUMIFS(lunes!D:D, lunes!A:A, A107, lunes!C:C, "VENTA") +
 SUMIFS(martes!D:D, martes!A:A, A107, martes!C:C, "VENTA") +
 SUMIFS(miercoles!D:D, miercoles!A:A, A107, miercoles!C:C, "VENTA") +
 SUMIFS(jueves!D:D, jueves!A:A, A107, jueves!C:C, "VENTA") +
 SUMIFS(viernes!D:D, viernes!A:A, A107, viernes!C:C, "VENTA") +
 SUMIFS(sabado!D:D, sabado!A:A, A107, sabado!C:C, "VENTA")</f>
        <v>0</v>
      </c>
      <c r="D107">
        <f>SUMIFS(lunes!$D:$D, lunes!$A:$A, $A107, lunes!$C:$C, "ENTRADA") +
 SUMIFS(martes!$D:$D, martes!$A:$A, $A107, martes!$C:$C, "ENTRADA") +
 SUMIFS(miercoles!$D:$D, miercoles!$A:$A, $A107, miercoles!$C:$C, "ENTRADA") +
 SUMIFS(jueves!$D:$D, jueves!$A:$A, $A107, jueves!$C:$C, "ENTRADA") +
 SUMIFS(viernes!$D:$D, viernes!$A:$A, $A107, viernes!$C:$C, "ENTRADA") +
 SUMIFS(sabado!$D:$D, sabado!$A:$A, $A107, sabado!$C:$C, "ENTRADA")</f>
        <v>0</v>
      </c>
      <c r="E107">
        <f>SUMIFS(lunes!$D:$D, lunes!$A:$A, $A107, lunes!$C:$C, "SALIDA") +
 SUMIFS(martes!$D:$D, martes!$A:$A, $A107, martes!$C:$C, "SALIDA") +
 SUMIFS(miercoles!$D:$D, miercoles!$A:$A, $A107, miercoles!$C:$C, "SALIDA") +
 SUMIFS(jueves!$D:$D, jueves!$A:$A, $A107, jueves!$C:$C, "SALIDA") +
 SUMIFS(viernes!$D:$D, viernes!$A:$A, $A107, viernes!$C:$C, "SALIDA") +
 SUMIFS(sabado!$D:$D, sabado!$A:$A, $A107, sabado!$C:$C, "SALIDA")</f>
        <v>0</v>
      </c>
      <c r="F107">
        <f t="shared" si="9"/>
        <v>0</v>
      </c>
      <c r="G107">
        <f>IFERROR(VLOOKUP(A107, sabado!A:I, 9, 0),
 IFERROR(VLOOKUP(A107, viernes!A:I, 9, 0),
 IFERROR(VLOOKUP(A107, jueves!A:I, 9, 0),
 IFERROR(VLOOKUP(A107, miercoles!A:I, 9, 0),
 IFERROR(VLOOKUP(A107, martes!A:I, 9, 0),
 IFERROR(VLOOKUP(A107, lunes!A:I, 9, 0),
 B107))))))</f>
        <v>0</v>
      </c>
      <c r="H107">
        <f>VLOOKUP(A107, Configuracion!A:C, 3, FALSE)</f>
        <v>760</v>
      </c>
      <c r="I107">
        <f t="shared" si="10"/>
        <v>0</v>
      </c>
      <c r="J107">
        <f>SUMIFS(lunes!$F:$F, lunes!$A:$A, $A107, lunes!$C:$C, "VENTA") +
 SUMIFS(martes!$F:$F, martes!$A:$A, $A107, martes!$C:$C, "VENTA") +
 SUMIFS(miercoles!$F:$F, miercoles!$A:$A, $A107, miercoles!$C:$C, "VENTA") +
 SUMIFS(jueves!$F:$F, jueves!$A:$A, $A107, jueves!$C:$C, "VENTA") +
 SUMIFS(viernes!$F:$F, viernes!$A:$A, $A107, viernes!$C:$C, "VENTA") +
 SUMIFS(sabado!$F:$F, sabado!$A:$A, $A107, sabado!$C:$C, "VENTA")</f>
        <v>0</v>
      </c>
      <c r="K107">
        <f t="shared" si="11"/>
        <v>0</v>
      </c>
    </row>
    <row r="108" spans="1:11" x14ac:dyDescent="0.3">
      <c r="A108" s="1" t="str">
        <f>Configuracion!A108</f>
        <v>NEVERA 8.8 PIES  MILEXUS 250 L</v>
      </c>
      <c r="B108">
        <f>VLOOKUP(A108, Configuracion!A:B, 2, FALSE)</f>
        <v>0</v>
      </c>
      <c r="C108">
        <f>SUMIFS(lunes!D:D, lunes!A:A, A108, lunes!C:C, "VENTA") +
 SUMIFS(martes!D:D, martes!A:A, A108, martes!C:C, "VENTA") +
 SUMIFS(miercoles!D:D, miercoles!A:A, A108, miercoles!C:C, "VENTA") +
 SUMIFS(jueves!D:D, jueves!A:A, A108, jueves!C:C, "VENTA") +
 SUMIFS(viernes!D:D, viernes!A:A, A108, viernes!C:C, "VENTA") +
 SUMIFS(sabado!D:D, sabado!A:A, A108, sabado!C:C, "VENTA")</f>
        <v>0</v>
      </c>
      <c r="D108">
        <f>SUMIFS(lunes!$D:$D, lunes!$A:$A, $A108, lunes!$C:$C, "ENTRADA") +
 SUMIFS(martes!$D:$D, martes!$A:$A, $A108, martes!$C:$C, "ENTRADA") +
 SUMIFS(miercoles!$D:$D, miercoles!$A:$A, $A108, miercoles!$C:$C, "ENTRADA") +
 SUMIFS(jueves!$D:$D, jueves!$A:$A, $A108, jueves!$C:$C, "ENTRADA") +
 SUMIFS(viernes!$D:$D, viernes!$A:$A, $A108, viernes!$C:$C, "ENTRADA") +
 SUMIFS(sabado!$D:$D, sabado!$A:$A, $A108, sabado!$C:$C, "ENTRADA")</f>
        <v>0</v>
      </c>
      <c r="E108">
        <f>SUMIFS(lunes!$D:$D, lunes!$A:$A, $A108, lunes!$C:$C, "SALIDA") +
 SUMIFS(martes!$D:$D, martes!$A:$A, $A108, martes!$C:$C, "SALIDA") +
 SUMIFS(miercoles!$D:$D, miercoles!$A:$A, $A108, miercoles!$C:$C, "SALIDA") +
 SUMIFS(jueves!$D:$D, jueves!$A:$A, $A108, jueves!$C:$C, "SALIDA") +
 SUMIFS(viernes!$D:$D, viernes!$A:$A, $A108, viernes!$C:$C, "SALIDA") +
 SUMIFS(sabado!$D:$D, sabado!$A:$A, $A108, sabado!$C:$C, "SALIDA")</f>
        <v>0</v>
      </c>
      <c r="F108">
        <f t="shared" si="9"/>
        <v>0</v>
      </c>
      <c r="G108">
        <f>IFERROR(VLOOKUP(A108, sabado!A:I, 9, 0),
 IFERROR(VLOOKUP(A108, viernes!A:I, 9, 0),
 IFERROR(VLOOKUP(A108, jueves!A:I, 9, 0),
 IFERROR(VLOOKUP(A108, miercoles!A:I, 9, 0),
 IFERROR(VLOOKUP(A108, martes!A:I, 9, 0),
 IFERROR(VLOOKUP(A108, lunes!A:I, 9, 0),
 B108))))))</f>
        <v>0</v>
      </c>
      <c r="H108">
        <f>VLOOKUP(A108, Configuracion!A:C, 3, FALSE)</f>
        <v>40</v>
      </c>
      <c r="I108">
        <f t="shared" si="10"/>
        <v>0</v>
      </c>
      <c r="J108">
        <f>SUMIFS(lunes!$F:$F, lunes!$A:$A, $A108, lunes!$C:$C, "VENTA") +
 SUMIFS(martes!$F:$F, martes!$A:$A, $A108, martes!$C:$C, "VENTA") +
 SUMIFS(miercoles!$F:$F, miercoles!$A:$A, $A108, miercoles!$C:$C, "VENTA") +
 SUMIFS(jueves!$F:$F, jueves!$A:$A, $A108, jueves!$C:$C, "VENTA") +
 SUMIFS(viernes!$F:$F, viernes!$A:$A, $A108, viernes!$C:$C, "VENTA") +
 SUMIFS(sabado!$F:$F, sabado!$A:$A, $A108, sabado!$C:$C, "VENTA")</f>
        <v>0</v>
      </c>
      <c r="K108">
        <f t="shared" si="11"/>
        <v>0</v>
      </c>
    </row>
    <row r="109" spans="1:11" x14ac:dyDescent="0.3">
      <c r="A109" s="1" t="str">
        <f>Configuracion!A109</f>
        <v>HIDROLAVADORA ROYAL</v>
      </c>
      <c r="B109">
        <f>VLOOKUP(A109, Configuracion!A:B, 2, FALSE)</f>
        <v>0</v>
      </c>
      <c r="C109">
        <f>SUMIFS(lunes!D:D, lunes!A:A, A109, lunes!C:C, "VENTA") +
 SUMIFS(martes!D:D, martes!A:A, A109, martes!C:C, "VENTA") +
 SUMIFS(miercoles!D:D, miercoles!A:A, A109, miercoles!C:C, "VENTA") +
 SUMIFS(jueves!D:D, jueves!A:A, A109, jueves!C:C, "VENTA") +
 SUMIFS(viernes!D:D, viernes!A:A, A109, viernes!C:C, "VENTA") +
 SUMIFS(sabado!D:D, sabado!A:A, A109, sabado!C:C, "VENTA")</f>
        <v>0</v>
      </c>
      <c r="D109">
        <f>SUMIFS(lunes!$D:$D, lunes!$A:$A, $A109, lunes!$C:$C, "ENTRADA") +
 SUMIFS(martes!$D:$D, martes!$A:$A, $A109, martes!$C:$C, "ENTRADA") +
 SUMIFS(miercoles!$D:$D, miercoles!$A:$A, $A109, miercoles!$C:$C, "ENTRADA") +
 SUMIFS(jueves!$D:$D, jueves!$A:$A, $A109, jueves!$C:$C, "ENTRADA") +
 SUMIFS(viernes!$D:$D, viernes!$A:$A, $A109, viernes!$C:$C, "ENTRADA") +
 SUMIFS(sabado!$D:$D, sabado!$A:$A, $A109, sabado!$C:$C, "ENTRADA")</f>
        <v>0</v>
      </c>
      <c r="E109">
        <f>SUMIFS(lunes!$D:$D, lunes!$A:$A, $A109, lunes!$C:$C, "SALIDA") +
 SUMIFS(martes!$D:$D, martes!$A:$A, $A109, martes!$C:$C, "SALIDA") +
 SUMIFS(miercoles!$D:$D, miercoles!$A:$A, $A109, miercoles!$C:$C, "SALIDA") +
 SUMIFS(jueves!$D:$D, jueves!$A:$A, $A109, jueves!$C:$C, "SALIDA") +
 SUMIFS(viernes!$D:$D, viernes!$A:$A, $A109, viernes!$C:$C, "SALIDA") +
 SUMIFS(sabado!$D:$D, sabado!$A:$A, $A109, sabado!$C:$C, "SALIDA")</f>
        <v>0</v>
      </c>
      <c r="F109">
        <f t="shared" si="9"/>
        <v>0</v>
      </c>
      <c r="G109">
        <f>IFERROR(VLOOKUP(A109, sabado!A:I, 9, 0),
 IFERROR(VLOOKUP(A109, viernes!A:I, 9, 0),
 IFERROR(VLOOKUP(A109, jueves!A:I, 9, 0),
 IFERROR(VLOOKUP(A109, miercoles!A:I, 9, 0),
 IFERROR(VLOOKUP(A109, martes!A:I, 9, 0),
 IFERROR(VLOOKUP(A109, lunes!A:I, 9, 0),
 B109))))))</f>
        <v>0</v>
      </c>
      <c r="H109">
        <f>VLOOKUP(A109, Configuracion!A:C, 3, FALSE)</f>
        <v>150</v>
      </c>
      <c r="I109">
        <f t="shared" si="10"/>
        <v>0</v>
      </c>
      <c r="J109">
        <f>SUMIFS(lunes!$F:$F, lunes!$A:$A, $A109, lunes!$C:$C, "VENTA") +
 SUMIFS(martes!$F:$F, martes!$A:$A, $A109, martes!$C:$C, "VENTA") +
 SUMIFS(miercoles!$F:$F, miercoles!$A:$A, $A109, miercoles!$C:$C, "VENTA") +
 SUMIFS(jueves!$F:$F, jueves!$A:$A, $A109, jueves!$C:$C, "VENTA") +
 SUMIFS(viernes!$F:$F, viernes!$A:$A, $A109, viernes!$C:$C, "VENTA") +
 SUMIFS(sabado!$F:$F, sabado!$A:$A, $A109, sabado!$C:$C, "VENTA")</f>
        <v>0</v>
      </c>
      <c r="K109">
        <f t="shared" si="11"/>
        <v>0</v>
      </c>
    </row>
    <row r="110" spans="1:11" x14ac:dyDescent="0.3">
      <c r="A110" s="1" t="str">
        <f>Configuracion!A110</f>
        <v>OLLA ARROCERA 2.2 L MILEXUS</v>
      </c>
      <c r="B110">
        <f>VLOOKUP(A110, Configuracion!A:B, 2, FALSE)</f>
        <v>7</v>
      </c>
      <c r="C110">
        <f>SUMIFS(lunes!D:D, lunes!A:A, A110, lunes!C:C, "VENTA") +
 SUMIFS(martes!D:D, martes!A:A, A110, martes!C:C, "VENTA") +
 SUMIFS(miercoles!D:D, miercoles!A:A, A110, miercoles!C:C, "VENTA") +
 SUMIFS(jueves!D:D, jueves!A:A, A110, jueves!C:C, "VENTA") +
 SUMIFS(viernes!D:D, viernes!A:A, A110, viernes!C:C, "VENTA") +
 SUMIFS(sabado!D:D, sabado!A:A, A110, sabado!C:C, "VENTA")</f>
        <v>0</v>
      </c>
      <c r="D110">
        <f>SUMIFS(lunes!$D:$D, lunes!$A:$A, $A110, lunes!$C:$C, "ENTRADA") +
 SUMIFS(martes!$D:$D, martes!$A:$A, $A110, martes!$C:$C, "ENTRADA") +
 SUMIFS(miercoles!$D:$D, miercoles!$A:$A, $A110, miercoles!$C:$C, "ENTRADA") +
 SUMIFS(jueves!$D:$D, jueves!$A:$A, $A110, jueves!$C:$C, "ENTRADA") +
 SUMIFS(viernes!$D:$D, viernes!$A:$A, $A110, viernes!$C:$C, "ENTRADA") +
 SUMIFS(sabado!$D:$D, sabado!$A:$A, $A110, sabado!$C:$C, "ENTRADA")</f>
        <v>0</v>
      </c>
      <c r="E110">
        <f>SUMIFS(lunes!$D:$D, lunes!$A:$A, $A110, lunes!$C:$C, "SALIDA") +
 SUMIFS(martes!$D:$D, martes!$A:$A, $A110, martes!$C:$C, "SALIDA") +
 SUMIFS(miercoles!$D:$D, miercoles!$A:$A, $A110, miercoles!$C:$C, "SALIDA") +
 SUMIFS(jueves!$D:$D, jueves!$A:$A, $A110, jueves!$C:$C, "SALIDA") +
 SUMIFS(viernes!$D:$D, viernes!$A:$A, $A110, viernes!$C:$C, "SALIDA") +
 SUMIFS(sabado!$D:$D, sabado!$A:$A, $A110, sabado!$C:$C, "SALIDA")</f>
        <v>0</v>
      </c>
      <c r="F110">
        <f t="shared" si="9"/>
        <v>7</v>
      </c>
      <c r="G110">
        <f>IFERROR(VLOOKUP(A110, sabado!A:I, 9, 0),
 IFERROR(VLOOKUP(A110, viernes!A:I, 9, 0),
 IFERROR(VLOOKUP(A110, jueves!A:I, 9, 0),
 IFERROR(VLOOKUP(A110, miercoles!A:I, 9, 0),
 IFERROR(VLOOKUP(A110, martes!A:I, 9, 0),
 IFERROR(VLOOKUP(A110, lunes!A:I, 9, 0),
 B110))))))</f>
        <v>7</v>
      </c>
      <c r="H110">
        <f>VLOOKUP(A110, Configuracion!A:C, 3, FALSE)</f>
        <v>45</v>
      </c>
      <c r="I110">
        <f t="shared" si="10"/>
        <v>0</v>
      </c>
      <c r="J110">
        <f>SUMIFS(lunes!$F:$F, lunes!$A:$A, $A110, lunes!$C:$C, "VENTA") +
 SUMIFS(martes!$F:$F, martes!$A:$A, $A110, martes!$C:$C, "VENTA") +
 SUMIFS(miercoles!$F:$F, miercoles!$A:$A, $A110, miercoles!$C:$C, "VENTA") +
 SUMIFS(jueves!$F:$F, jueves!$A:$A, $A110, jueves!$C:$C, "VENTA") +
 SUMIFS(viernes!$F:$F, viernes!$A:$A, $A110, viernes!$C:$C, "VENTA") +
 SUMIFS(sabado!$F:$F, sabado!$A:$A, $A110, sabado!$C:$C, "VENTA")</f>
        <v>0</v>
      </c>
      <c r="K110">
        <f t="shared" si="11"/>
        <v>0</v>
      </c>
    </row>
    <row r="111" spans="1:11" x14ac:dyDescent="0.3">
      <c r="A111" s="1" t="str">
        <f>Configuracion!A111</f>
        <v>OLLA ARROCERA 1.8 L EKO</v>
      </c>
      <c r="B111">
        <f>VLOOKUP(A111, Configuracion!A:B, 2, FALSE)</f>
        <v>12</v>
      </c>
      <c r="C111">
        <f>SUMIFS(lunes!D:D, lunes!A:A, A111, lunes!C:C, "VENTA") +
 SUMIFS(martes!D:D, martes!A:A, A111, martes!C:C, "VENTA") +
 SUMIFS(miercoles!D:D, miercoles!A:A, A111, miercoles!C:C, "VENTA") +
 SUMIFS(jueves!D:D, jueves!A:A, A111, jueves!C:C, "VENTA") +
 SUMIFS(viernes!D:D, viernes!A:A, A111, viernes!C:C, "VENTA") +
 SUMIFS(sabado!D:D, sabado!A:A, A111, sabado!C:C, "VENTA")</f>
        <v>0</v>
      </c>
      <c r="D111">
        <f>SUMIFS(lunes!$D:$D, lunes!$A:$A, $A111, lunes!$C:$C, "ENTRADA") +
 SUMIFS(martes!$D:$D, martes!$A:$A, $A111, martes!$C:$C, "ENTRADA") +
 SUMIFS(miercoles!$D:$D, miercoles!$A:$A, $A111, miercoles!$C:$C, "ENTRADA") +
 SUMIFS(jueves!$D:$D, jueves!$A:$A, $A111, jueves!$C:$C, "ENTRADA") +
 SUMIFS(viernes!$D:$D, viernes!$A:$A, $A111, viernes!$C:$C, "ENTRADA") +
 SUMIFS(sabado!$D:$D, sabado!$A:$A, $A111, sabado!$C:$C, "ENTRADA")</f>
        <v>0</v>
      </c>
      <c r="E111">
        <f>SUMIFS(lunes!$D:$D, lunes!$A:$A, $A111, lunes!$C:$C, "SALIDA") +
 SUMIFS(martes!$D:$D, martes!$A:$A, $A111, martes!$C:$C, "SALIDA") +
 SUMIFS(miercoles!$D:$D, miercoles!$A:$A, $A111, miercoles!$C:$C, "SALIDA") +
 SUMIFS(jueves!$D:$D, jueves!$A:$A, $A111, jueves!$C:$C, "SALIDA") +
 SUMIFS(viernes!$D:$D, viernes!$A:$A, $A111, viernes!$C:$C, "SALIDA") +
 SUMIFS(sabado!$D:$D, sabado!$A:$A, $A111, sabado!$C:$C, "SALIDA")</f>
        <v>0</v>
      </c>
      <c r="F111">
        <f t="shared" si="9"/>
        <v>12</v>
      </c>
      <c r="G111">
        <f>IFERROR(VLOOKUP(A111, sabado!A:I, 9, 0),
 IFERROR(VLOOKUP(A111, viernes!A:I, 9, 0),
 IFERROR(VLOOKUP(A111, jueves!A:I, 9, 0),
 IFERROR(VLOOKUP(A111, miercoles!A:I, 9, 0),
 IFERROR(VLOOKUP(A111, martes!A:I, 9, 0),
 IFERROR(VLOOKUP(A111, lunes!A:I, 9, 0),
 B111))))))</f>
        <v>12</v>
      </c>
      <c r="H111">
        <f>VLOOKUP(A111, Configuracion!A:C, 3, FALSE)</f>
        <v>40</v>
      </c>
      <c r="I111">
        <f t="shared" si="10"/>
        <v>0</v>
      </c>
      <c r="J111">
        <f>SUMIFS(lunes!$F:$F, lunes!$A:$A, $A111, lunes!$C:$C, "VENTA") +
 SUMIFS(martes!$F:$F, martes!$A:$A, $A111, martes!$C:$C, "VENTA") +
 SUMIFS(miercoles!$F:$F, miercoles!$A:$A, $A111, miercoles!$C:$C, "VENTA") +
 SUMIFS(jueves!$F:$F, jueves!$A:$A, $A111, jueves!$C:$C, "VENTA") +
 SUMIFS(viernes!$F:$F, viernes!$A:$A, $A111, viernes!$C:$C, "VENTA") +
 SUMIFS(sabado!$F:$F, sabado!$A:$A, $A111, sabado!$C:$C, "VENTA")</f>
        <v>0</v>
      </c>
      <c r="K111">
        <f t="shared" si="11"/>
        <v>0</v>
      </c>
    </row>
    <row r="112" spans="1:11" x14ac:dyDescent="0.3">
      <c r="A112" s="1" t="str">
        <f>Configuracion!A112</f>
        <v>OLLA ARROCERA 1.8 L WYNWOOD</v>
      </c>
      <c r="B112">
        <f>VLOOKUP(A112, Configuracion!A:B, 2, FALSE)</f>
        <v>0</v>
      </c>
      <c r="C112">
        <f>SUMIFS(lunes!D:D, lunes!A:A, A112, lunes!C:C, "VENTA") +
 SUMIFS(martes!D:D, martes!A:A, A112, martes!C:C, "VENTA") +
 SUMIFS(miercoles!D:D, miercoles!A:A, A112, miercoles!C:C, "VENTA") +
 SUMIFS(jueves!D:D, jueves!A:A, A112, jueves!C:C, "VENTA") +
 SUMIFS(viernes!D:D, viernes!A:A, A112, viernes!C:C, "VENTA") +
 SUMIFS(sabado!D:D, sabado!A:A, A112, sabado!C:C, "VENTA")</f>
        <v>0</v>
      </c>
      <c r="D112">
        <f>SUMIFS(lunes!$D:$D, lunes!$A:$A, $A112, lunes!$C:$C, "ENTRADA") +
 SUMIFS(martes!$D:$D, martes!$A:$A, $A112, martes!$C:$C, "ENTRADA") +
 SUMIFS(miercoles!$D:$D, miercoles!$A:$A, $A112, miercoles!$C:$C, "ENTRADA") +
 SUMIFS(jueves!$D:$D, jueves!$A:$A, $A112, jueves!$C:$C, "ENTRADA") +
 SUMIFS(viernes!$D:$D, viernes!$A:$A, $A112, viernes!$C:$C, "ENTRADA") +
 SUMIFS(sabado!$D:$D, sabado!$A:$A, $A112, sabado!$C:$C, "ENTRADA")</f>
        <v>0</v>
      </c>
      <c r="E112">
        <f>SUMIFS(lunes!$D:$D, lunes!$A:$A, $A112, lunes!$C:$C, "SALIDA") +
 SUMIFS(martes!$D:$D, martes!$A:$A, $A112, martes!$C:$C, "SALIDA") +
 SUMIFS(miercoles!$D:$D, miercoles!$A:$A, $A112, miercoles!$C:$C, "SALIDA") +
 SUMIFS(jueves!$D:$D, jueves!$A:$A, $A112, jueves!$C:$C, "SALIDA") +
 SUMIFS(viernes!$D:$D, viernes!$A:$A, $A112, viernes!$C:$C, "SALIDA") +
 SUMIFS(sabado!$D:$D, sabado!$A:$A, $A112, sabado!$C:$C, "SALIDA")</f>
        <v>0</v>
      </c>
      <c r="F112">
        <f t="shared" si="9"/>
        <v>0</v>
      </c>
      <c r="G112">
        <f>IFERROR(VLOOKUP(A112, sabado!A:I, 9, 0),
 IFERROR(VLOOKUP(A112, viernes!A:I, 9, 0),
 IFERROR(VLOOKUP(A112, jueves!A:I, 9, 0),
 IFERROR(VLOOKUP(A112, miercoles!A:I, 9, 0),
 IFERROR(VLOOKUP(A112, martes!A:I, 9, 0),
 IFERROR(VLOOKUP(A112, lunes!A:I, 9, 0),
 B112))))))</f>
        <v>0</v>
      </c>
      <c r="H112">
        <f>VLOOKUP(A112, Configuracion!A:C, 3, FALSE)</f>
        <v>45</v>
      </c>
      <c r="I112">
        <f t="shared" si="10"/>
        <v>0</v>
      </c>
      <c r="J112">
        <f>SUMIFS(lunes!$F:$F, lunes!$A:$A, $A112, lunes!$C:$C, "VENTA") +
 SUMIFS(martes!$F:$F, martes!$A:$A, $A112, martes!$C:$C, "VENTA") +
 SUMIFS(miercoles!$F:$F, miercoles!$A:$A, $A112, miercoles!$C:$C, "VENTA") +
 SUMIFS(jueves!$F:$F, jueves!$A:$A, $A112, jueves!$C:$C, "VENTA") +
 SUMIFS(viernes!$F:$F, viernes!$A:$A, $A112, viernes!$C:$C, "VENTA") +
 SUMIFS(sabado!$F:$F, sabado!$A:$A, $A112, sabado!$C:$C, "VENTA")</f>
        <v>0</v>
      </c>
      <c r="K112">
        <f t="shared" si="11"/>
        <v>0</v>
      </c>
    </row>
    <row r="113" spans="1:11" x14ac:dyDescent="0.3">
      <c r="A113" s="1" t="str">
        <f>Configuracion!A113</f>
        <v>OLLA ARROCERA 1.8 L ELECSTAR</v>
      </c>
      <c r="B113">
        <f>VLOOKUP(A113, Configuracion!A:B, 2, FALSE)</f>
        <v>0</v>
      </c>
      <c r="C113">
        <f>SUMIFS(lunes!D:D, lunes!A:A, A113, lunes!C:C, "VENTA") +
 SUMIFS(martes!D:D, martes!A:A, A113, martes!C:C, "VENTA") +
 SUMIFS(miercoles!D:D, miercoles!A:A, A113, miercoles!C:C, "VENTA") +
 SUMIFS(jueves!D:D, jueves!A:A, A113, jueves!C:C, "VENTA") +
 SUMIFS(viernes!D:D, viernes!A:A, A113, viernes!C:C, "VENTA") +
 SUMIFS(sabado!D:D, sabado!A:A, A113, sabado!C:C, "VENTA")</f>
        <v>0</v>
      </c>
      <c r="D113">
        <f>SUMIFS(lunes!$D:$D, lunes!$A:$A, $A113, lunes!$C:$C, "ENTRADA") +
 SUMIFS(martes!$D:$D, martes!$A:$A, $A113, martes!$C:$C, "ENTRADA") +
 SUMIFS(miercoles!$D:$D, miercoles!$A:$A, $A113, miercoles!$C:$C, "ENTRADA") +
 SUMIFS(jueves!$D:$D, jueves!$A:$A, $A113, jueves!$C:$C, "ENTRADA") +
 SUMIFS(viernes!$D:$D, viernes!$A:$A, $A113, viernes!$C:$C, "ENTRADA") +
 SUMIFS(sabado!$D:$D, sabado!$A:$A, $A113, sabado!$C:$C, "ENTRADA")</f>
        <v>0</v>
      </c>
      <c r="E113">
        <f>SUMIFS(lunes!$D:$D, lunes!$A:$A, $A113, lunes!$C:$C, "SALIDA") +
 SUMIFS(martes!$D:$D, martes!$A:$A, $A113, martes!$C:$C, "SALIDA") +
 SUMIFS(miercoles!$D:$D, miercoles!$A:$A, $A113, miercoles!$C:$C, "SALIDA") +
 SUMIFS(jueves!$D:$D, jueves!$A:$A, $A113, jueves!$C:$C, "SALIDA") +
 SUMIFS(viernes!$D:$D, viernes!$A:$A, $A113, viernes!$C:$C, "SALIDA") +
 SUMIFS(sabado!$D:$D, sabado!$A:$A, $A113, sabado!$C:$C, "SALIDA")</f>
        <v>0</v>
      </c>
      <c r="F113">
        <f t="shared" si="9"/>
        <v>0</v>
      </c>
      <c r="G113">
        <f>IFERROR(VLOOKUP(A113, sabado!A:I, 9, 0),
 IFERROR(VLOOKUP(A113, viernes!A:I, 9, 0),
 IFERROR(VLOOKUP(A113, jueves!A:I, 9, 0),
 IFERROR(VLOOKUP(A113, miercoles!A:I, 9, 0),
 IFERROR(VLOOKUP(A113, martes!A:I, 9, 0),
 IFERROR(VLOOKUP(A113, lunes!A:I, 9, 0),
 B113))))))</f>
        <v>0</v>
      </c>
      <c r="H113">
        <f>VLOOKUP(A113, Configuracion!A:C, 3, FALSE)</f>
        <v>40</v>
      </c>
      <c r="I113">
        <f t="shared" si="10"/>
        <v>0</v>
      </c>
      <c r="J113">
        <f>SUMIFS(lunes!$F:$F, lunes!$A:$A, $A113, lunes!$C:$C, "VENTA") +
 SUMIFS(martes!$F:$F, martes!$A:$A, $A113, martes!$C:$C, "VENTA") +
 SUMIFS(miercoles!$F:$F, miercoles!$A:$A, $A113, miercoles!$C:$C, "VENTA") +
 SUMIFS(jueves!$F:$F, jueves!$A:$A, $A113, jueves!$C:$C, "VENTA") +
 SUMIFS(viernes!$F:$F, viernes!$A:$A, $A113, viernes!$C:$C, "VENTA") +
 SUMIFS(sabado!$F:$F, sabado!$A:$A, $A113, sabado!$C:$C, "VENTA")</f>
        <v>0</v>
      </c>
      <c r="K113">
        <f t="shared" si="11"/>
        <v>0</v>
      </c>
    </row>
    <row r="114" spans="1:11" x14ac:dyDescent="0.3">
      <c r="A114" s="1" t="str">
        <f>Configuracion!A114</f>
        <v>OLLA ARROCERA 0.6 L MILEXUS</v>
      </c>
      <c r="B114">
        <f>VLOOKUP(A114, Configuracion!A:B, 2, FALSE)</f>
        <v>0</v>
      </c>
      <c r="C114">
        <f>SUMIFS(lunes!D:D, lunes!A:A, A114, lunes!C:C, "VENTA") +
 SUMIFS(martes!D:D, martes!A:A, A114, martes!C:C, "VENTA") +
 SUMIFS(miercoles!D:D, miercoles!A:A, A114, miercoles!C:C, "VENTA") +
 SUMIFS(jueves!D:D, jueves!A:A, A114, jueves!C:C, "VENTA") +
 SUMIFS(viernes!D:D, viernes!A:A, A114, viernes!C:C, "VENTA") +
 SUMIFS(sabado!D:D, sabado!A:A, A114, sabado!C:C, "VENTA")</f>
        <v>0</v>
      </c>
      <c r="D114">
        <f>SUMIFS(lunes!$D:$D, lunes!$A:$A, $A114, lunes!$C:$C, "ENTRADA") +
 SUMIFS(martes!$D:$D, martes!$A:$A, $A114, martes!$C:$C, "ENTRADA") +
 SUMIFS(miercoles!$D:$D, miercoles!$A:$A, $A114, miercoles!$C:$C, "ENTRADA") +
 SUMIFS(jueves!$D:$D, jueves!$A:$A, $A114, jueves!$C:$C, "ENTRADA") +
 SUMIFS(viernes!$D:$D, viernes!$A:$A, $A114, viernes!$C:$C, "ENTRADA") +
 SUMIFS(sabado!$D:$D, sabado!$A:$A, $A114, sabado!$C:$C, "ENTRADA")</f>
        <v>0</v>
      </c>
      <c r="E114">
        <f>SUMIFS(lunes!$D:$D, lunes!$A:$A, $A114, lunes!$C:$C, "SALIDA") +
 SUMIFS(martes!$D:$D, martes!$A:$A, $A114, martes!$C:$C, "SALIDA") +
 SUMIFS(miercoles!$D:$D, miercoles!$A:$A, $A114, miercoles!$C:$C, "SALIDA") +
 SUMIFS(jueves!$D:$D, jueves!$A:$A, $A114, jueves!$C:$C, "SALIDA") +
 SUMIFS(viernes!$D:$D, viernes!$A:$A, $A114, viernes!$C:$C, "SALIDA") +
 SUMIFS(sabado!$D:$D, sabado!$A:$A, $A114, sabado!$C:$C, "SALIDA")</f>
        <v>0</v>
      </c>
      <c r="F114">
        <f t="shared" si="9"/>
        <v>0</v>
      </c>
      <c r="G114">
        <f>IFERROR(VLOOKUP(A114, sabado!A:I, 9, 0),
 IFERROR(VLOOKUP(A114, viernes!A:I, 9, 0),
 IFERROR(VLOOKUP(A114, jueves!A:I, 9, 0),
 IFERROR(VLOOKUP(A114, miercoles!A:I, 9, 0),
 IFERROR(VLOOKUP(A114, martes!A:I, 9, 0),
 IFERROR(VLOOKUP(A114, lunes!A:I, 9, 0),
 B114))))))</f>
        <v>0</v>
      </c>
      <c r="H114">
        <f>VLOOKUP(A114, Configuracion!A:C, 3, FALSE)</f>
        <v>30</v>
      </c>
      <c r="I114">
        <f t="shared" si="10"/>
        <v>0</v>
      </c>
      <c r="J114">
        <f>SUMIFS(lunes!$F:$F, lunes!$A:$A, $A114, lunes!$C:$C, "VENTA") +
 SUMIFS(martes!$F:$F, martes!$A:$A, $A114, martes!$C:$C, "VENTA") +
 SUMIFS(miercoles!$F:$F, miercoles!$A:$A, $A114, miercoles!$C:$C, "VENTA") +
 SUMIFS(jueves!$F:$F, jueves!$A:$A, $A114, jueves!$C:$C, "VENTA") +
 SUMIFS(viernes!$F:$F, viernes!$A:$A, $A114, viernes!$C:$C, "VENTA") +
 SUMIFS(sabado!$F:$F, sabado!$A:$A, $A114, sabado!$C:$C, "VENTA")</f>
        <v>0</v>
      </c>
      <c r="K114">
        <f t="shared" si="11"/>
        <v>0</v>
      </c>
    </row>
    <row r="115" spans="1:11" x14ac:dyDescent="0.3">
      <c r="A115" s="1" t="str">
        <f>Configuracion!A115</f>
        <v>OLLA DE PRESION 5 L INDUCCION BRYDERK</v>
      </c>
      <c r="B115">
        <f>VLOOKUP(A115, Configuracion!A:B, 2, FALSE)</f>
        <v>5</v>
      </c>
      <c r="C115">
        <f>SUMIFS(lunes!D:D, lunes!A:A, A115, lunes!C:C, "VENTA") +
 SUMIFS(martes!D:D, martes!A:A, A115, martes!C:C, "VENTA") +
 SUMIFS(miercoles!D:D, miercoles!A:A, A115, miercoles!C:C, "VENTA") +
 SUMIFS(jueves!D:D, jueves!A:A, A115, jueves!C:C, "VENTA") +
 SUMIFS(viernes!D:D, viernes!A:A, A115, viernes!C:C, "VENTA") +
 SUMIFS(sabado!D:D, sabado!A:A, A115, sabado!C:C, "VENTA")</f>
        <v>0</v>
      </c>
      <c r="D115">
        <f>SUMIFS(lunes!$D:$D, lunes!$A:$A, $A115, lunes!$C:$C, "ENTRADA") +
 SUMIFS(martes!$D:$D, martes!$A:$A, $A115, martes!$C:$C, "ENTRADA") +
 SUMIFS(miercoles!$D:$D, miercoles!$A:$A, $A115, miercoles!$C:$C, "ENTRADA") +
 SUMIFS(jueves!$D:$D, jueves!$A:$A, $A115, jueves!$C:$C, "ENTRADA") +
 SUMIFS(viernes!$D:$D, viernes!$A:$A, $A115, viernes!$C:$C, "ENTRADA") +
 SUMIFS(sabado!$D:$D, sabado!$A:$A, $A115, sabado!$C:$C, "ENTRADA")</f>
        <v>0</v>
      </c>
      <c r="E115">
        <f>SUMIFS(lunes!$D:$D, lunes!$A:$A, $A115, lunes!$C:$C, "SALIDA") +
 SUMIFS(martes!$D:$D, martes!$A:$A, $A115, martes!$C:$C, "SALIDA") +
 SUMIFS(miercoles!$D:$D, miercoles!$A:$A, $A115, miercoles!$C:$C, "SALIDA") +
 SUMIFS(jueves!$D:$D, jueves!$A:$A, $A115, jueves!$C:$C, "SALIDA") +
 SUMIFS(viernes!$D:$D, viernes!$A:$A, $A115, viernes!$C:$C, "SALIDA") +
 SUMIFS(sabado!$D:$D, sabado!$A:$A, $A115, sabado!$C:$C, "SALIDA")</f>
        <v>0</v>
      </c>
      <c r="F115">
        <f t="shared" si="9"/>
        <v>5</v>
      </c>
      <c r="G115">
        <f>IFERROR(VLOOKUP(A115, sabado!A:I, 9, 0),
 IFERROR(VLOOKUP(A115, viernes!A:I, 9, 0),
 IFERROR(VLOOKUP(A115, jueves!A:I, 9, 0),
 IFERROR(VLOOKUP(A115, miercoles!A:I, 9, 0),
 IFERROR(VLOOKUP(A115, martes!A:I, 9, 0),
 IFERROR(VLOOKUP(A115, lunes!A:I, 9, 0),
 B115))))))</f>
        <v>5</v>
      </c>
      <c r="H115">
        <f>VLOOKUP(A115, Configuracion!A:C, 3, FALSE)</f>
        <v>40</v>
      </c>
      <c r="I115">
        <f t="shared" si="10"/>
        <v>0</v>
      </c>
      <c r="J115">
        <f>SUMIFS(lunes!$F:$F, lunes!$A:$A, $A115, lunes!$C:$C, "VENTA") +
 SUMIFS(martes!$F:$F, martes!$A:$A, $A115, martes!$C:$C, "VENTA") +
 SUMIFS(miercoles!$F:$F, miercoles!$A:$A, $A115, miercoles!$C:$C, "VENTA") +
 SUMIFS(jueves!$F:$F, jueves!$A:$A, $A115, jueves!$C:$C, "VENTA") +
 SUMIFS(viernes!$F:$F, viernes!$A:$A, $A115, viernes!$C:$C, "VENTA") +
 SUMIFS(sabado!$F:$F, sabado!$A:$A, $A115, sabado!$C:$C, "VENTA")</f>
        <v>0</v>
      </c>
      <c r="K115">
        <f t="shared" si="11"/>
        <v>0</v>
      </c>
    </row>
    <row r="116" spans="1:11" x14ac:dyDescent="0.3">
      <c r="A116" s="1" t="str">
        <f>Configuracion!A116</f>
        <v>OLLA DE PRESION 7 L ELECSTAR</v>
      </c>
      <c r="B116">
        <f>VLOOKUP(A116, Configuracion!A:B, 2, FALSE)</f>
        <v>2</v>
      </c>
      <c r="C116">
        <f>SUMIFS(lunes!D:D, lunes!A:A, A116, lunes!C:C, "VENTA") +
 SUMIFS(martes!D:D, martes!A:A, A116, martes!C:C, "VENTA") +
 SUMIFS(miercoles!D:D, miercoles!A:A, A116, miercoles!C:C, "VENTA") +
 SUMIFS(jueves!D:D, jueves!A:A, A116, jueves!C:C, "VENTA") +
 SUMIFS(viernes!D:D, viernes!A:A, A116, viernes!C:C, "VENTA") +
 SUMIFS(sabado!D:D, sabado!A:A, A116, sabado!C:C, "VENTA")</f>
        <v>0</v>
      </c>
      <c r="D116">
        <f>SUMIFS(lunes!$D:$D, lunes!$A:$A, $A116, lunes!$C:$C, "ENTRADA") +
 SUMIFS(martes!$D:$D, martes!$A:$A, $A116, martes!$C:$C, "ENTRADA") +
 SUMIFS(miercoles!$D:$D, miercoles!$A:$A, $A116, miercoles!$C:$C, "ENTRADA") +
 SUMIFS(jueves!$D:$D, jueves!$A:$A, $A116, jueves!$C:$C, "ENTRADA") +
 SUMIFS(viernes!$D:$D, viernes!$A:$A, $A116, viernes!$C:$C, "ENTRADA") +
 SUMIFS(sabado!$D:$D, sabado!$A:$A, $A116, sabado!$C:$C, "ENTRADA")</f>
        <v>0</v>
      </c>
      <c r="E116">
        <f>SUMIFS(lunes!$D:$D, lunes!$A:$A, $A116, lunes!$C:$C, "SALIDA") +
 SUMIFS(martes!$D:$D, martes!$A:$A, $A116, martes!$C:$C, "SALIDA") +
 SUMIFS(miercoles!$D:$D, miercoles!$A:$A, $A116, miercoles!$C:$C, "SALIDA") +
 SUMIFS(jueves!$D:$D, jueves!$A:$A, $A116, jueves!$C:$C, "SALIDA") +
 SUMIFS(viernes!$D:$D, viernes!$A:$A, $A116, viernes!$C:$C, "SALIDA") +
 SUMIFS(sabado!$D:$D, sabado!$A:$A, $A116, sabado!$C:$C, "SALIDA")</f>
        <v>0</v>
      </c>
      <c r="F116">
        <f t="shared" si="9"/>
        <v>2</v>
      </c>
      <c r="G116">
        <f>IFERROR(VLOOKUP(A116, sabado!A:I, 9, 0),
 IFERROR(VLOOKUP(A116, viernes!A:I, 9, 0),
 IFERROR(VLOOKUP(A116, jueves!A:I, 9, 0),
 IFERROR(VLOOKUP(A116, miercoles!A:I, 9, 0),
 IFERROR(VLOOKUP(A116, martes!A:I, 9, 0),
 IFERROR(VLOOKUP(A116, lunes!A:I, 9, 0),
 B116))))))</f>
        <v>2</v>
      </c>
      <c r="H116">
        <f>VLOOKUP(A116, Configuracion!A:C, 3, FALSE)</f>
        <v>45</v>
      </c>
      <c r="I116">
        <f t="shared" si="10"/>
        <v>0</v>
      </c>
      <c r="J116">
        <f>SUMIFS(lunes!$F:$F, lunes!$A:$A, $A116, lunes!$C:$C, "VENTA") +
 SUMIFS(martes!$F:$F, martes!$A:$A, $A116, martes!$C:$C, "VENTA") +
 SUMIFS(miercoles!$F:$F, miercoles!$A:$A, $A116, miercoles!$C:$C, "VENTA") +
 SUMIFS(jueves!$F:$F, jueves!$A:$A, $A116, jueves!$C:$C, "VENTA") +
 SUMIFS(viernes!$F:$F, viernes!$A:$A, $A116, viernes!$C:$C, "VENTA") +
 SUMIFS(sabado!$F:$F, sabado!$A:$A, $A116, sabado!$C:$C, "VENTA")</f>
        <v>0</v>
      </c>
      <c r="K116">
        <f t="shared" si="11"/>
        <v>0</v>
      </c>
    </row>
    <row r="117" spans="1:11" x14ac:dyDescent="0.3">
      <c r="A117" s="1" t="str">
        <f>Configuracion!A117</f>
        <v>OLLA REINA 7 L REYAN</v>
      </c>
      <c r="B117">
        <f>VLOOKUP(A117, Configuracion!A:B, 2, FALSE)</f>
        <v>0</v>
      </c>
      <c r="C117">
        <f>SUMIFS(lunes!D:D, lunes!A:A, A117, lunes!C:C, "VENTA") +
 SUMIFS(martes!D:D, martes!A:A, A117, martes!C:C, "VENTA") +
 SUMIFS(miercoles!D:D, miercoles!A:A, A117, miercoles!C:C, "VENTA") +
 SUMIFS(jueves!D:D, jueves!A:A, A117, jueves!C:C, "VENTA") +
 SUMIFS(viernes!D:D, viernes!A:A, A117, viernes!C:C, "VENTA") +
 SUMIFS(sabado!D:D, sabado!A:A, A117, sabado!C:C, "VENTA")</f>
        <v>0</v>
      </c>
      <c r="D117">
        <f>SUMIFS(lunes!$D:$D, lunes!$A:$A, $A117, lunes!$C:$C, "ENTRADA") +
 SUMIFS(martes!$D:$D, martes!$A:$A, $A117, martes!$C:$C, "ENTRADA") +
 SUMIFS(miercoles!$D:$D, miercoles!$A:$A, $A117, miercoles!$C:$C, "ENTRADA") +
 SUMIFS(jueves!$D:$D, jueves!$A:$A, $A117, jueves!$C:$C, "ENTRADA") +
 SUMIFS(viernes!$D:$D, viernes!$A:$A, $A117, viernes!$C:$C, "ENTRADA") +
 SUMIFS(sabado!$D:$D, sabado!$A:$A, $A117, sabado!$C:$C, "ENTRADA")</f>
        <v>0</v>
      </c>
      <c r="E117">
        <f>SUMIFS(lunes!$D:$D, lunes!$A:$A, $A117, lunes!$C:$C, "SALIDA") +
 SUMIFS(martes!$D:$D, martes!$A:$A, $A117, martes!$C:$C, "SALIDA") +
 SUMIFS(miercoles!$D:$D, miercoles!$A:$A, $A117, miercoles!$C:$C, "SALIDA") +
 SUMIFS(jueves!$D:$D, jueves!$A:$A, $A117, jueves!$C:$C, "SALIDA") +
 SUMIFS(viernes!$D:$D, viernes!$A:$A, $A117, viernes!$C:$C, "SALIDA") +
 SUMIFS(sabado!$D:$D, sabado!$A:$A, $A117, sabado!$C:$C, "SALIDA")</f>
        <v>0</v>
      </c>
      <c r="F117">
        <f t="shared" si="9"/>
        <v>0</v>
      </c>
      <c r="G117">
        <f>IFERROR(VLOOKUP(A117, sabado!A:I, 9, 0),
 IFERROR(VLOOKUP(A117, viernes!A:I, 9, 0),
 IFERROR(VLOOKUP(A117, jueves!A:I, 9, 0),
 IFERROR(VLOOKUP(A117, miercoles!A:I, 9, 0),
 IFERROR(VLOOKUP(A117, martes!A:I, 9, 0),
 IFERROR(VLOOKUP(A117, lunes!A:I, 9, 0),
 B117))))))</f>
        <v>0</v>
      </c>
      <c r="H117">
        <f>VLOOKUP(A117, Configuracion!A:C, 3, FALSE)</f>
        <v>60</v>
      </c>
      <c r="I117">
        <f t="shared" si="10"/>
        <v>0</v>
      </c>
      <c r="J117">
        <f>SUMIFS(lunes!$F:$F, lunes!$A:$A, $A117, lunes!$C:$C, "VENTA") +
 SUMIFS(martes!$F:$F, martes!$A:$A, $A117, martes!$C:$C, "VENTA") +
 SUMIFS(miercoles!$F:$F, miercoles!$A:$A, $A117, miercoles!$C:$C, "VENTA") +
 SUMIFS(jueves!$F:$F, jueves!$A:$A, $A117, jueves!$C:$C, "VENTA") +
 SUMIFS(viernes!$F:$F, viernes!$A:$A, $A117, viernes!$C:$C, "VENTA") +
 SUMIFS(sabado!$F:$F, sabado!$A:$A, $A117, sabado!$C:$C, "VENTA")</f>
        <v>0</v>
      </c>
      <c r="K117">
        <f t="shared" si="11"/>
        <v>0</v>
      </c>
    </row>
    <row r="118" spans="1:11" x14ac:dyDescent="0.3">
      <c r="A118" s="1" t="str">
        <f>Configuracion!A118</f>
        <v>OLLA REINA CHALLENGER 7L</v>
      </c>
      <c r="B118">
        <f>VLOOKUP(A118, Configuracion!A:B, 2, FALSE)</f>
        <v>0</v>
      </c>
      <c r="C118">
        <f>SUMIFS(lunes!D:D, lunes!A:A, A118, lunes!C:C, "VENTA") +
 SUMIFS(martes!D:D, martes!A:A, A118, martes!C:C, "VENTA") +
 SUMIFS(miercoles!D:D, miercoles!A:A, A118, miercoles!C:C, "VENTA") +
 SUMIFS(jueves!D:D, jueves!A:A, A118, jueves!C:C, "VENTA") +
 SUMIFS(viernes!D:D, viernes!A:A, A118, viernes!C:C, "VENTA") +
 SUMIFS(sabado!D:D, sabado!A:A, A118, sabado!C:C, "VENTA")</f>
        <v>0</v>
      </c>
      <c r="D118">
        <f>SUMIFS(lunes!$D:$D, lunes!$A:$A, $A118, lunes!$C:$C, "ENTRADA") +
 SUMIFS(martes!$D:$D, martes!$A:$A, $A118, martes!$C:$C, "ENTRADA") +
 SUMIFS(miercoles!$D:$D, miercoles!$A:$A, $A118, miercoles!$C:$C, "ENTRADA") +
 SUMIFS(jueves!$D:$D, jueves!$A:$A, $A118, jueves!$C:$C, "ENTRADA") +
 SUMIFS(viernes!$D:$D, viernes!$A:$A, $A118, viernes!$C:$C, "ENTRADA") +
 SUMIFS(sabado!$D:$D, sabado!$A:$A, $A118, sabado!$C:$C, "ENTRADA")</f>
        <v>0</v>
      </c>
      <c r="E118">
        <f>SUMIFS(lunes!$D:$D, lunes!$A:$A, $A118, lunes!$C:$C, "SALIDA") +
 SUMIFS(martes!$D:$D, martes!$A:$A, $A118, martes!$C:$C, "SALIDA") +
 SUMIFS(miercoles!$D:$D, miercoles!$A:$A, $A118, miercoles!$C:$C, "SALIDA") +
 SUMIFS(jueves!$D:$D, jueves!$A:$A, $A118, jueves!$C:$C, "SALIDA") +
 SUMIFS(viernes!$D:$D, viernes!$A:$A, $A118, viernes!$C:$C, "SALIDA") +
 SUMIFS(sabado!$D:$D, sabado!$A:$A, $A118, sabado!$C:$C, "SALIDA")</f>
        <v>0</v>
      </c>
      <c r="F118">
        <f t="shared" si="9"/>
        <v>0</v>
      </c>
      <c r="G118">
        <f>IFERROR(VLOOKUP(A118, sabado!A:I, 9, 0),
 IFERROR(VLOOKUP(A118, viernes!A:I, 9, 0),
 IFERROR(VLOOKUP(A118, jueves!A:I, 9, 0),
 IFERROR(VLOOKUP(A118, miercoles!A:I, 9, 0),
 IFERROR(VLOOKUP(A118, martes!A:I, 9, 0),
 IFERROR(VLOOKUP(A118, lunes!A:I, 9, 0),
 B118))))))</f>
        <v>0</v>
      </c>
      <c r="H118">
        <f>VLOOKUP(A118, Configuracion!A:C, 3, FALSE)</f>
        <v>65</v>
      </c>
      <c r="I118">
        <f t="shared" si="10"/>
        <v>0</v>
      </c>
      <c r="J118">
        <f>SUMIFS(lunes!$F:$F, lunes!$A:$A, $A118, lunes!$C:$C, "VENTA") +
 SUMIFS(martes!$F:$F, martes!$A:$A, $A118, martes!$C:$C, "VENTA") +
 SUMIFS(miercoles!$F:$F, miercoles!$A:$A, $A118, miercoles!$C:$C, "VENTA") +
 SUMIFS(jueves!$F:$F, jueves!$A:$A, $A118, jueves!$C:$C, "VENTA") +
 SUMIFS(viernes!$F:$F, viernes!$A:$A, $A118, viernes!$C:$C, "VENTA") +
 SUMIFS(sabado!$F:$F, sabado!$A:$A, $A118, sabado!$C:$C, "VENTA")</f>
        <v>0</v>
      </c>
      <c r="K118">
        <f t="shared" si="11"/>
        <v>0</v>
      </c>
    </row>
    <row r="119" spans="1:11" x14ac:dyDescent="0.3">
      <c r="A119" s="1" t="str">
        <f>Configuracion!A119</f>
        <v>OLLA REINA 6 L MILEXUS</v>
      </c>
      <c r="B119">
        <f>VLOOKUP(A119, Configuracion!A:B, 2, FALSE)</f>
        <v>0</v>
      </c>
      <c r="C119">
        <f>SUMIFS(lunes!D:D, lunes!A:A, A119, lunes!C:C, "VENTA") +
 SUMIFS(martes!D:D, martes!A:A, A119, martes!C:C, "VENTA") +
 SUMIFS(miercoles!D:D, miercoles!A:A, A119, miercoles!C:C, "VENTA") +
 SUMIFS(jueves!D:D, jueves!A:A, A119, jueves!C:C, "VENTA") +
 SUMIFS(viernes!D:D, viernes!A:A, A119, viernes!C:C, "VENTA") +
 SUMIFS(sabado!D:D, sabado!A:A, A119, sabado!C:C, "VENTA")</f>
        <v>0</v>
      </c>
      <c r="D119">
        <f>SUMIFS(lunes!$D:$D, lunes!$A:$A, $A119, lunes!$C:$C, "ENTRADA") +
 SUMIFS(martes!$D:$D, martes!$A:$A, $A119, martes!$C:$C, "ENTRADA") +
 SUMIFS(miercoles!$D:$D, miercoles!$A:$A, $A119, miercoles!$C:$C, "ENTRADA") +
 SUMIFS(jueves!$D:$D, jueves!$A:$A, $A119, jueves!$C:$C, "ENTRADA") +
 SUMIFS(viernes!$D:$D, viernes!$A:$A, $A119, viernes!$C:$C, "ENTRADA") +
 SUMIFS(sabado!$D:$D, sabado!$A:$A, $A119, sabado!$C:$C, "ENTRADA")</f>
        <v>0</v>
      </c>
      <c r="E119">
        <f>SUMIFS(lunes!$D:$D, lunes!$A:$A, $A119, lunes!$C:$C, "SALIDA") +
 SUMIFS(martes!$D:$D, martes!$A:$A, $A119, martes!$C:$C, "SALIDA") +
 SUMIFS(miercoles!$D:$D, miercoles!$A:$A, $A119, miercoles!$C:$C, "SALIDA") +
 SUMIFS(jueves!$D:$D, jueves!$A:$A, $A119, jueves!$C:$C, "SALIDA") +
 SUMIFS(viernes!$D:$D, viernes!$A:$A, $A119, viernes!$C:$C, "SALIDA") +
 SUMIFS(sabado!$D:$D, sabado!$A:$A, $A119, sabado!$C:$C, "SALIDA")</f>
        <v>0</v>
      </c>
      <c r="F119">
        <f t="shared" si="9"/>
        <v>0</v>
      </c>
      <c r="G119">
        <f>IFERROR(VLOOKUP(A119, sabado!A:I, 9, 0),
 IFERROR(VLOOKUP(A119, viernes!A:I, 9, 0),
 IFERROR(VLOOKUP(A119, jueves!A:I, 9, 0),
 IFERROR(VLOOKUP(A119, miercoles!A:I, 9, 0),
 IFERROR(VLOOKUP(A119, martes!A:I, 9, 0),
 IFERROR(VLOOKUP(A119, lunes!A:I, 9, 0),
 B119))))))</f>
        <v>0</v>
      </c>
      <c r="H119">
        <f>VLOOKUP(A119, Configuracion!A:C, 3, FALSE)</f>
        <v>65</v>
      </c>
      <c r="I119">
        <f t="shared" si="10"/>
        <v>0</v>
      </c>
      <c r="J119">
        <f>SUMIFS(lunes!$F:$F, lunes!$A:$A, $A119, lunes!$C:$C, "VENTA") +
 SUMIFS(martes!$F:$F, martes!$A:$A, $A119, martes!$C:$C, "VENTA") +
 SUMIFS(miercoles!$F:$F, miercoles!$A:$A, $A119, miercoles!$C:$C, "VENTA") +
 SUMIFS(jueves!$F:$F, jueves!$A:$A, $A119, jueves!$C:$C, "VENTA") +
 SUMIFS(viernes!$F:$F, viernes!$A:$A, $A119, viernes!$C:$C, "VENTA") +
 SUMIFS(sabado!$F:$F, sabado!$A:$A, $A119, sabado!$C:$C, "VENTA")</f>
        <v>0</v>
      </c>
      <c r="K119">
        <f t="shared" si="11"/>
        <v>0</v>
      </c>
    </row>
    <row r="120" spans="1:11" x14ac:dyDescent="0.3">
      <c r="A120" s="1" t="str">
        <f>Configuracion!A120</f>
        <v>OLLA REINA WYNWOOD</v>
      </c>
      <c r="B120">
        <f>VLOOKUP(A120, Configuracion!A:B, 2, FALSE)</f>
        <v>0</v>
      </c>
      <c r="C120">
        <f>SUMIFS(lunes!D:D, lunes!A:A, A120, lunes!C:C, "VENTA") +
 SUMIFS(martes!D:D, martes!A:A, A120, martes!C:C, "VENTA") +
 SUMIFS(miercoles!D:D, miercoles!A:A, A120, miercoles!C:C, "VENTA") +
 SUMIFS(jueves!D:D, jueves!A:A, A120, jueves!C:C, "VENTA") +
 SUMIFS(viernes!D:D, viernes!A:A, A120, viernes!C:C, "VENTA") +
 SUMIFS(sabado!D:D, sabado!A:A, A120, sabado!C:C, "VENTA")</f>
        <v>0</v>
      </c>
      <c r="D120">
        <f>SUMIFS(lunes!$D:$D, lunes!$A:$A, $A120, lunes!$C:$C, "ENTRADA") +
 SUMIFS(martes!$D:$D, martes!$A:$A, $A120, martes!$C:$C, "ENTRADA") +
 SUMIFS(miercoles!$D:$D, miercoles!$A:$A, $A120, miercoles!$C:$C, "ENTRADA") +
 SUMIFS(jueves!$D:$D, jueves!$A:$A, $A120, jueves!$C:$C, "ENTRADA") +
 SUMIFS(viernes!$D:$D, viernes!$A:$A, $A120, viernes!$C:$C, "ENTRADA") +
 SUMIFS(sabado!$D:$D, sabado!$A:$A, $A120, sabado!$C:$C, "ENTRADA")</f>
        <v>0</v>
      </c>
      <c r="E120">
        <f>SUMIFS(lunes!$D:$D, lunes!$A:$A, $A120, lunes!$C:$C, "SALIDA") +
 SUMIFS(martes!$D:$D, martes!$A:$A, $A120, martes!$C:$C, "SALIDA") +
 SUMIFS(miercoles!$D:$D, miercoles!$A:$A, $A120, miercoles!$C:$C, "SALIDA") +
 SUMIFS(jueves!$D:$D, jueves!$A:$A, $A120, jueves!$C:$C, "SALIDA") +
 SUMIFS(viernes!$D:$D, viernes!$A:$A, $A120, viernes!$C:$C, "SALIDA") +
 SUMIFS(sabado!$D:$D, sabado!$A:$A, $A120, sabado!$C:$C, "SALIDA")</f>
        <v>0</v>
      </c>
      <c r="F120">
        <f t="shared" si="9"/>
        <v>0</v>
      </c>
      <c r="G120">
        <f>IFERROR(VLOOKUP(A120, sabado!A:I, 9, 0),
 IFERROR(VLOOKUP(A120, viernes!A:I, 9, 0),
 IFERROR(VLOOKUP(A120, jueves!A:I, 9, 0),
 IFERROR(VLOOKUP(A120, miercoles!A:I, 9, 0),
 IFERROR(VLOOKUP(A120, martes!A:I, 9, 0),
 IFERROR(VLOOKUP(A120, lunes!A:I, 9, 0),
 B120))))))</f>
        <v>0</v>
      </c>
      <c r="H120">
        <f>VLOOKUP(A120, Configuracion!A:C, 3, FALSE)</f>
        <v>60</v>
      </c>
      <c r="I120">
        <f t="shared" si="10"/>
        <v>0</v>
      </c>
      <c r="J120">
        <f>SUMIFS(lunes!$F:$F, lunes!$A:$A, $A120, lunes!$C:$C, "VENTA") +
 SUMIFS(martes!$F:$F, martes!$A:$A, $A120, martes!$C:$C, "VENTA") +
 SUMIFS(miercoles!$F:$F, miercoles!$A:$A, $A120, miercoles!$C:$C, "VENTA") +
 SUMIFS(jueves!$F:$F, jueves!$A:$A, $A120, jueves!$C:$C, "VENTA") +
 SUMIFS(viernes!$F:$F, viernes!$A:$A, $A120, viernes!$C:$C, "VENTA") +
 SUMIFS(sabado!$F:$F, sabado!$A:$A, $A120, sabado!$C:$C, "VENTA")</f>
        <v>0</v>
      </c>
      <c r="K120">
        <f t="shared" si="11"/>
        <v>0</v>
      </c>
    </row>
    <row r="121" spans="1:11" x14ac:dyDescent="0.3">
      <c r="A121" s="1" t="str">
        <f>Configuracion!A121</f>
        <v>OLLA REINA EON 6L</v>
      </c>
      <c r="B121">
        <f>VLOOKUP(A121, Configuracion!A:B, 2, FALSE)</f>
        <v>3</v>
      </c>
      <c r="C121">
        <f>SUMIFS(lunes!D:D, lunes!A:A, A121, lunes!C:C, "VENTA") +
 SUMIFS(martes!D:D, martes!A:A, A121, martes!C:C, "VENTA") +
 SUMIFS(miercoles!D:D, miercoles!A:A, A121, miercoles!C:C, "VENTA") +
 SUMIFS(jueves!D:D, jueves!A:A, A121, jueves!C:C, "VENTA") +
 SUMIFS(viernes!D:D, viernes!A:A, A121, viernes!C:C, "VENTA") +
 SUMIFS(sabado!D:D, sabado!A:A, A121, sabado!C:C, "VENTA")</f>
        <v>0</v>
      </c>
      <c r="D121">
        <f>SUMIFS(lunes!$D:$D, lunes!$A:$A, $A121, lunes!$C:$C, "ENTRADA") +
 SUMIFS(martes!$D:$D, martes!$A:$A, $A121, martes!$C:$C, "ENTRADA") +
 SUMIFS(miercoles!$D:$D, miercoles!$A:$A, $A121, miercoles!$C:$C, "ENTRADA") +
 SUMIFS(jueves!$D:$D, jueves!$A:$A, $A121, jueves!$C:$C, "ENTRADA") +
 SUMIFS(viernes!$D:$D, viernes!$A:$A, $A121, viernes!$C:$C, "ENTRADA") +
 SUMIFS(sabado!$D:$D, sabado!$A:$A, $A121, sabado!$C:$C, "ENTRADA")</f>
        <v>0</v>
      </c>
      <c r="E121">
        <f>SUMIFS(lunes!$D:$D, lunes!$A:$A, $A121, lunes!$C:$C, "SALIDA") +
 SUMIFS(martes!$D:$D, martes!$A:$A, $A121, martes!$C:$C, "SALIDA") +
 SUMIFS(miercoles!$D:$D, miercoles!$A:$A, $A121, miercoles!$C:$C, "SALIDA") +
 SUMIFS(jueves!$D:$D, jueves!$A:$A, $A121, jueves!$C:$C, "SALIDA") +
 SUMIFS(viernes!$D:$D, viernes!$A:$A, $A121, viernes!$C:$C, "SALIDA") +
 SUMIFS(sabado!$D:$D, sabado!$A:$A, $A121, sabado!$C:$C, "SALIDA")</f>
        <v>0</v>
      </c>
      <c r="F121">
        <f t="shared" si="9"/>
        <v>3</v>
      </c>
      <c r="G121">
        <f>IFERROR(VLOOKUP(A121, sabado!A:I, 9, 0),
 IFERROR(VLOOKUP(A121, viernes!A:I, 9, 0),
 IFERROR(VLOOKUP(A121, jueves!A:I, 9, 0),
 IFERROR(VLOOKUP(A121, miercoles!A:I, 9, 0),
 IFERROR(VLOOKUP(A121, martes!A:I, 9, 0),
 IFERROR(VLOOKUP(A121, lunes!A:I, 9, 0),
 B121))))))</f>
        <v>3</v>
      </c>
      <c r="H121">
        <f>VLOOKUP(A121, Configuracion!A:C, 3, FALSE)</f>
        <v>65</v>
      </c>
      <c r="I121">
        <f t="shared" si="10"/>
        <v>0</v>
      </c>
      <c r="J121">
        <f>SUMIFS(lunes!$F:$F, lunes!$A:$A, $A121, lunes!$C:$C, "VENTA") +
 SUMIFS(martes!$F:$F, martes!$A:$A, $A121, martes!$C:$C, "VENTA") +
 SUMIFS(miercoles!$F:$F, miercoles!$A:$A, $A121, miercoles!$C:$C, "VENTA") +
 SUMIFS(jueves!$F:$F, jueves!$A:$A, $A121, jueves!$C:$C, "VENTA") +
 SUMIFS(viernes!$F:$F, viernes!$A:$A, $A121, viernes!$C:$C, "VENTA") +
 SUMIFS(sabado!$F:$F, sabado!$A:$A, $A121, sabado!$C:$C, "VENTA")</f>
        <v>0</v>
      </c>
      <c r="K121">
        <f t="shared" si="11"/>
        <v>0</v>
      </c>
    </row>
    <row r="122" spans="1:11" x14ac:dyDescent="0.3">
      <c r="A122" s="1" t="str">
        <f>Configuracion!A122</f>
        <v>JUEGO CALDERO EON</v>
      </c>
      <c r="B122">
        <f>VLOOKUP(A122, Configuracion!A:B, 2, FALSE)</f>
        <v>7</v>
      </c>
      <c r="C122">
        <f>SUMIFS(lunes!D:D, lunes!A:A, A122, lunes!C:C, "VENTA") +
 SUMIFS(martes!D:D, martes!A:A, A122, martes!C:C, "VENTA") +
 SUMIFS(miercoles!D:D, miercoles!A:A, A122, miercoles!C:C, "VENTA") +
 SUMIFS(jueves!D:D, jueves!A:A, A122, jueves!C:C, "VENTA") +
 SUMIFS(viernes!D:D, viernes!A:A, A122, viernes!C:C, "VENTA") +
 SUMIFS(sabado!D:D, sabado!A:A, A122, sabado!C:C, "VENTA")</f>
        <v>0</v>
      </c>
      <c r="D122">
        <f>SUMIFS(lunes!$D:$D, lunes!$A:$A, $A122, lunes!$C:$C, "ENTRADA") +
 SUMIFS(martes!$D:$D, martes!$A:$A, $A122, martes!$C:$C, "ENTRADA") +
 SUMIFS(miercoles!$D:$D, miercoles!$A:$A, $A122, miercoles!$C:$C, "ENTRADA") +
 SUMIFS(jueves!$D:$D, jueves!$A:$A, $A122, jueves!$C:$C, "ENTRADA") +
 SUMIFS(viernes!$D:$D, viernes!$A:$A, $A122, viernes!$C:$C, "ENTRADA") +
 SUMIFS(sabado!$D:$D, sabado!$A:$A, $A122, sabado!$C:$C, "ENTRADA")</f>
        <v>0</v>
      </c>
      <c r="E122">
        <f>SUMIFS(lunes!$D:$D, lunes!$A:$A, $A122, lunes!$C:$C, "SALIDA") +
 SUMIFS(martes!$D:$D, martes!$A:$A, $A122, martes!$C:$C, "SALIDA") +
 SUMIFS(miercoles!$D:$D, miercoles!$A:$A, $A122, miercoles!$C:$C, "SALIDA") +
 SUMIFS(jueves!$D:$D, jueves!$A:$A, $A122, jueves!$C:$C, "SALIDA") +
 SUMIFS(viernes!$D:$D, viernes!$A:$A, $A122, viernes!$C:$C, "SALIDA") +
 SUMIFS(sabado!$D:$D, sabado!$A:$A, $A122, sabado!$C:$C, "SALIDA")</f>
        <v>0</v>
      </c>
      <c r="F122">
        <f t="shared" si="9"/>
        <v>7</v>
      </c>
      <c r="G122">
        <f>IFERROR(VLOOKUP(A122, sabado!A:I, 9, 0),
 IFERROR(VLOOKUP(A122, viernes!A:I, 9, 0),
 IFERROR(VLOOKUP(A122, jueves!A:I, 9, 0),
 IFERROR(VLOOKUP(A122, miercoles!A:I, 9, 0),
 IFERROR(VLOOKUP(A122, martes!A:I, 9, 0),
 IFERROR(VLOOKUP(A122, lunes!A:I, 9, 0),
 B122))))))</f>
        <v>7</v>
      </c>
      <c r="H122">
        <f>VLOOKUP(A122, Configuracion!A:C, 3, FALSE)</f>
        <v>50</v>
      </c>
      <c r="I122">
        <f t="shared" si="10"/>
        <v>0</v>
      </c>
      <c r="J122">
        <f>SUMIFS(lunes!$F:$F, lunes!$A:$A, $A122, lunes!$C:$C, "VENTA") +
 SUMIFS(martes!$F:$F, martes!$A:$A, $A122, martes!$C:$C, "VENTA") +
 SUMIFS(miercoles!$F:$F, miercoles!$A:$A, $A122, miercoles!$C:$C, "VENTA") +
 SUMIFS(jueves!$F:$F, jueves!$A:$A, $A122, jueves!$C:$C, "VENTA") +
 SUMIFS(viernes!$F:$F, viernes!$A:$A, $A122, viernes!$C:$C, "VENTA") +
 SUMIFS(sabado!$F:$F, sabado!$A:$A, $A122, sabado!$C:$C, "VENTA")</f>
        <v>0</v>
      </c>
      <c r="K122">
        <f t="shared" si="11"/>
        <v>0</v>
      </c>
    </row>
    <row r="123" spans="1:11" x14ac:dyDescent="0.3">
      <c r="A123" s="1" t="str">
        <f>Configuracion!A123</f>
        <v>JUEGO DE MESA Y SILLAS</v>
      </c>
      <c r="B123">
        <f>VLOOKUP(A123, Configuracion!A:B, 2, FALSE)</f>
        <v>0</v>
      </c>
      <c r="C123">
        <f>SUMIFS(lunes!D:D, lunes!A:A, A123, lunes!C:C, "VENTA") +
 SUMIFS(martes!D:D, martes!A:A, A123, martes!C:C, "VENTA") +
 SUMIFS(miercoles!D:D, miercoles!A:A, A123, miercoles!C:C, "VENTA") +
 SUMIFS(jueves!D:D, jueves!A:A, A123, jueves!C:C, "VENTA") +
 SUMIFS(viernes!D:D, viernes!A:A, A123, viernes!C:C, "VENTA") +
 SUMIFS(sabado!D:D, sabado!A:A, A123, sabado!C:C, "VENTA")</f>
        <v>0</v>
      </c>
      <c r="D123">
        <f>SUMIFS(lunes!$D:$D, lunes!$A:$A, $A123, lunes!$C:$C, "ENTRADA") +
 SUMIFS(martes!$D:$D, martes!$A:$A, $A123, martes!$C:$C, "ENTRADA") +
 SUMIFS(miercoles!$D:$D, miercoles!$A:$A, $A123, miercoles!$C:$C, "ENTRADA") +
 SUMIFS(jueves!$D:$D, jueves!$A:$A, $A123, jueves!$C:$C, "ENTRADA") +
 SUMIFS(viernes!$D:$D, viernes!$A:$A, $A123, viernes!$C:$C, "ENTRADA") +
 SUMIFS(sabado!$D:$D, sabado!$A:$A, $A123, sabado!$C:$C, "ENTRADA")</f>
        <v>0</v>
      </c>
      <c r="E123">
        <f>SUMIFS(lunes!$D:$D, lunes!$A:$A, $A123, lunes!$C:$C, "SALIDA") +
 SUMIFS(martes!$D:$D, martes!$A:$A, $A123, martes!$C:$C, "SALIDA") +
 SUMIFS(miercoles!$D:$D, miercoles!$A:$A, $A123, miercoles!$C:$C, "SALIDA") +
 SUMIFS(jueves!$D:$D, jueves!$A:$A, $A123, jueves!$C:$C, "SALIDA") +
 SUMIFS(viernes!$D:$D, viernes!$A:$A, $A123, viernes!$C:$C, "SALIDA") +
 SUMIFS(sabado!$D:$D, sabado!$A:$A, $A123, sabado!$C:$C, "SALIDA")</f>
        <v>0</v>
      </c>
      <c r="F123">
        <f t="shared" si="9"/>
        <v>0</v>
      </c>
      <c r="G123">
        <f>IFERROR(VLOOKUP(A123, sabado!A:I, 9, 0),
 IFERROR(VLOOKUP(A123, viernes!A:I, 9, 0),
 IFERROR(VLOOKUP(A123, jueves!A:I, 9, 0),
 IFERROR(VLOOKUP(A123, miercoles!A:I, 9, 0),
 IFERROR(VLOOKUP(A123, martes!A:I, 9, 0),
 IFERROR(VLOOKUP(A123, lunes!A:I, 9, 0),
 B123))))))</f>
        <v>0</v>
      </c>
      <c r="H123">
        <f>VLOOKUP(A123, Configuracion!A:C, 3, FALSE)</f>
        <v>280</v>
      </c>
      <c r="I123">
        <f t="shared" si="10"/>
        <v>0</v>
      </c>
      <c r="J123">
        <f>SUMIFS(lunes!$F:$F, lunes!$A:$A, $A123, lunes!$C:$C, "VENTA") +
 SUMIFS(martes!$F:$F, martes!$A:$A, $A123, martes!$C:$C, "VENTA") +
 SUMIFS(miercoles!$F:$F, miercoles!$A:$A, $A123, miercoles!$C:$C, "VENTA") +
 SUMIFS(jueves!$F:$F, jueves!$A:$A, $A123, jueves!$C:$C, "VENTA") +
 SUMIFS(viernes!$F:$F, viernes!$A:$A, $A123, viernes!$C:$C, "VENTA") +
 SUMIFS(sabado!$F:$F, sabado!$A:$A, $A123, sabado!$C:$C, "VENTA")</f>
        <v>0</v>
      </c>
      <c r="K123">
        <f t="shared" si="11"/>
        <v>0</v>
      </c>
    </row>
    <row r="124" spans="1:11" x14ac:dyDescent="0.3">
      <c r="A124" s="1" t="str">
        <f>Configuracion!A124</f>
        <v>JUEGO DE VAJILLAS</v>
      </c>
      <c r="B124">
        <f>VLOOKUP(A124, Configuracion!A:B, 2, FALSE)</f>
        <v>20</v>
      </c>
      <c r="C124">
        <f>SUMIFS(lunes!D:D, lunes!A:A, A124, lunes!C:C, "VENTA") +
 SUMIFS(martes!D:D, martes!A:A, A124, martes!C:C, "VENTA") +
 SUMIFS(miercoles!D:D, miercoles!A:A, A124, miercoles!C:C, "VENTA") +
 SUMIFS(jueves!D:D, jueves!A:A, A124, jueves!C:C, "VENTA") +
 SUMIFS(viernes!D:D, viernes!A:A, A124, viernes!C:C, "VENTA") +
 SUMIFS(sabado!D:D, sabado!A:A, A124, sabado!C:C, "VENTA")</f>
        <v>0</v>
      </c>
      <c r="D124">
        <f>SUMIFS(lunes!$D:$D, lunes!$A:$A, $A124, lunes!$C:$C, "ENTRADA") +
 SUMIFS(martes!$D:$D, martes!$A:$A, $A124, martes!$C:$C, "ENTRADA") +
 SUMIFS(miercoles!$D:$D, miercoles!$A:$A, $A124, miercoles!$C:$C, "ENTRADA") +
 SUMIFS(jueves!$D:$D, jueves!$A:$A, $A124, jueves!$C:$C, "ENTRADA") +
 SUMIFS(viernes!$D:$D, viernes!$A:$A, $A124, viernes!$C:$C, "ENTRADA") +
 SUMIFS(sabado!$D:$D, sabado!$A:$A, $A124, sabado!$C:$C, "ENTRADA")</f>
        <v>0</v>
      </c>
      <c r="E124">
        <f>SUMIFS(lunes!$D:$D, lunes!$A:$A, $A124, lunes!$C:$C, "SALIDA") +
 SUMIFS(martes!$D:$D, martes!$A:$A, $A124, martes!$C:$C, "SALIDA") +
 SUMIFS(miercoles!$D:$D, miercoles!$A:$A, $A124, miercoles!$C:$C, "SALIDA") +
 SUMIFS(jueves!$D:$D, jueves!$A:$A, $A124, jueves!$C:$C, "SALIDA") +
 SUMIFS(viernes!$D:$D, viernes!$A:$A, $A124, viernes!$C:$C, "SALIDA") +
 SUMIFS(sabado!$D:$D, sabado!$A:$A, $A124, sabado!$C:$C, "SALIDA")</f>
        <v>0</v>
      </c>
      <c r="F124">
        <f t="shared" si="9"/>
        <v>20</v>
      </c>
      <c r="G124">
        <f>IFERROR(VLOOKUP(A124, sabado!A:I, 9, 0),
 IFERROR(VLOOKUP(A124, viernes!A:I, 9, 0),
 IFERROR(VLOOKUP(A124, jueves!A:I, 9, 0),
 IFERROR(VLOOKUP(A124, miercoles!A:I, 9, 0),
 IFERROR(VLOOKUP(A124, martes!A:I, 9, 0),
 IFERROR(VLOOKUP(A124, lunes!A:I, 9, 0),
 B124))))))</f>
        <v>20</v>
      </c>
      <c r="H124">
        <f>VLOOKUP(A124, Configuracion!A:C, 3, FALSE)</f>
        <v>30</v>
      </c>
      <c r="I124">
        <f t="shared" si="10"/>
        <v>0</v>
      </c>
      <c r="J124">
        <f>SUMIFS(lunes!$F:$F, lunes!$A:$A, $A124, lunes!$C:$C, "VENTA") +
 SUMIFS(martes!$F:$F, martes!$A:$A, $A124, martes!$C:$C, "VENTA") +
 SUMIFS(miercoles!$F:$F, miercoles!$A:$A, $A124, miercoles!$C:$C, "VENTA") +
 SUMIFS(jueves!$F:$F, jueves!$A:$A, $A124, jueves!$C:$C, "VENTA") +
 SUMIFS(viernes!$F:$F, viernes!$A:$A, $A124, viernes!$C:$C, "VENTA") +
 SUMIFS(sabado!$F:$F, sabado!$A:$A, $A124, sabado!$C:$C, "VENTA")</f>
        <v>0</v>
      </c>
      <c r="K124">
        <f t="shared" si="11"/>
        <v>0</v>
      </c>
    </row>
    <row r="125" spans="1:11" x14ac:dyDescent="0.3">
      <c r="A125" s="1" t="str">
        <f>Configuracion!A125</f>
        <v>JUEGO DE BAÑO</v>
      </c>
      <c r="B125">
        <f>VLOOKUP(A125, Configuracion!A:B, 2, FALSE)</f>
        <v>0</v>
      </c>
      <c r="C125">
        <f>SUMIFS(lunes!D:D, lunes!A:A, A125, lunes!C:C, "VENTA") +
 SUMIFS(martes!D:D, martes!A:A, A125, martes!C:C, "VENTA") +
 SUMIFS(miercoles!D:D, miercoles!A:A, A125, miercoles!C:C, "VENTA") +
 SUMIFS(jueves!D:D, jueves!A:A, A125, jueves!C:C, "VENTA") +
 SUMIFS(viernes!D:D, viernes!A:A, A125, viernes!C:C, "VENTA") +
 SUMIFS(sabado!D:D, sabado!A:A, A125, sabado!C:C, "VENTA")</f>
        <v>0</v>
      </c>
      <c r="D125">
        <f>SUMIFS(lunes!$D:$D, lunes!$A:$A, $A125, lunes!$C:$C, "ENTRADA") +
 SUMIFS(martes!$D:$D, martes!$A:$A, $A125, martes!$C:$C, "ENTRADA") +
 SUMIFS(miercoles!$D:$D, miercoles!$A:$A, $A125, miercoles!$C:$C, "ENTRADA") +
 SUMIFS(jueves!$D:$D, jueves!$A:$A, $A125, jueves!$C:$C, "ENTRADA") +
 SUMIFS(viernes!$D:$D, viernes!$A:$A, $A125, viernes!$C:$C, "ENTRADA") +
 SUMIFS(sabado!$D:$D, sabado!$A:$A, $A125, sabado!$C:$C, "ENTRADA")</f>
        <v>0</v>
      </c>
      <c r="E125">
        <f>SUMIFS(lunes!$D:$D, lunes!$A:$A, $A125, lunes!$C:$C, "SALIDA") +
 SUMIFS(martes!$D:$D, martes!$A:$A, $A125, martes!$C:$C, "SALIDA") +
 SUMIFS(miercoles!$D:$D, miercoles!$A:$A, $A125, miercoles!$C:$C, "SALIDA") +
 SUMIFS(jueves!$D:$D, jueves!$A:$A, $A125, jueves!$C:$C, "SALIDA") +
 SUMIFS(viernes!$D:$D, viernes!$A:$A, $A125, viernes!$C:$C, "SALIDA") +
 SUMIFS(sabado!$D:$D, sabado!$A:$A, $A125, sabado!$C:$C, "SALIDA")</f>
        <v>0</v>
      </c>
      <c r="F125">
        <f t="shared" si="9"/>
        <v>0</v>
      </c>
      <c r="G125">
        <f>IFERROR(VLOOKUP(A125, sabado!A:I, 9, 0),
 IFERROR(VLOOKUP(A125, viernes!A:I, 9, 0),
 IFERROR(VLOOKUP(A125, jueves!A:I, 9, 0),
 IFERROR(VLOOKUP(A125, miercoles!A:I, 9, 0),
 IFERROR(VLOOKUP(A125, martes!A:I, 9, 0),
 IFERROR(VLOOKUP(A125, lunes!A:I, 9, 0),
 B125))))))</f>
        <v>0</v>
      </c>
      <c r="H125">
        <f>VLOOKUP(A125, Configuracion!A:C, 3, FALSE)</f>
        <v>125</v>
      </c>
      <c r="I125">
        <f t="shared" si="10"/>
        <v>0</v>
      </c>
      <c r="J125">
        <f>SUMIFS(lunes!$F:$F, lunes!$A:$A, $A125, lunes!$C:$C, "VENTA") +
 SUMIFS(martes!$F:$F, martes!$A:$A, $A125, martes!$C:$C, "VENTA") +
 SUMIFS(miercoles!$F:$F, miercoles!$A:$A, $A125, miercoles!$C:$C, "VENTA") +
 SUMIFS(jueves!$F:$F, jueves!$A:$A, $A125, jueves!$C:$C, "VENTA") +
 SUMIFS(viernes!$F:$F, viernes!$A:$A, $A125, viernes!$C:$C, "VENTA") +
 SUMIFS(sabado!$F:$F, sabado!$A:$A, $A125, sabado!$C:$C, "VENTA")</f>
        <v>0</v>
      </c>
      <c r="K125">
        <f t="shared" si="11"/>
        <v>0</v>
      </c>
    </row>
    <row r="126" spans="1:11" x14ac:dyDescent="0.3">
      <c r="A126" s="1" t="str">
        <f>Configuracion!A126</f>
        <v>PUERTA PLEGABLE</v>
      </c>
      <c r="B126">
        <f>VLOOKUP(A126, Configuracion!A:B, 2, FALSE)</f>
        <v>1</v>
      </c>
      <c r="C126">
        <f>SUMIFS(lunes!D:D, lunes!A:A, A126, lunes!C:C, "VENTA") +
 SUMIFS(martes!D:D, martes!A:A, A126, martes!C:C, "VENTA") +
 SUMIFS(miercoles!D:D, miercoles!A:A, A126, miercoles!C:C, "VENTA") +
 SUMIFS(jueves!D:D, jueves!A:A, A126, jueves!C:C, "VENTA") +
 SUMIFS(viernes!D:D, viernes!A:A, A126, viernes!C:C, "VENTA") +
 SUMIFS(sabado!D:D, sabado!A:A, A126, sabado!C:C, "VENTA")</f>
        <v>0</v>
      </c>
      <c r="D126">
        <f>SUMIFS(lunes!$D:$D, lunes!$A:$A, $A126, lunes!$C:$C, "ENTRADA") +
 SUMIFS(martes!$D:$D, martes!$A:$A, $A126, martes!$C:$C, "ENTRADA") +
 SUMIFS(miercoles!$D:$D, miercoles!$A:$A, $A126, miercoles!$C:$C, "ENTRADA") +
 SUMIFS(jueves!$D:$D, jueves!$A:$A, $A126, jueves!$C:$C, "ENTRADA") +
 SUMIFS(viernes!$D:$D, viernes!$A:$A, $A126, viernes!$C:$C, "ENTRADA") +
 SUMIFS(sabado!$D:$D, sabado!$A:$A, $A126, sabado!$C:$C, "ENTRADA")</f>
        <v>0</v>
      </c>
      <c r="E126">
        <f>SUMIFS(lunes!$D:$D, lunes!$A:$A, $A126, lunes!$C:$C, "SALIDA") +
 SUMIFS(martes!$D:$D, martes!$A:$A, $A126, martes!$C:$C, "SALIDA") +
 SUMIFS(miercoles!$D:$D, miercoles!$A:$A, $A126, miercoles!$C:$C, "SALIDA") +
 SUMIFS(jueves!$D:$D, jueves!$A:$A, $A126, jueves!$C:$C, "SALIDA") +
 SUMIFS(viernes!$D:$D, viernes!$A:$A, $A126, viernes!$C:$C, "SALIDA") +
 SUMIFS(sabado!$D:$D, sabado!$A:$A, $A126, sabado!$C:$C, "SALIDA")</f>
        <v>0</v>
      </c>
      <c r="F126">
        <f t="shared" si="9"/>
        <v>1</v>
      </c>
      <c r="G126">
        <f>IFERROR(VLOOKUP(A126, sabado!A:I, 9, 0),
 IFERROR(VLOOKUP(A126, viernes!A:I, 9, 0),
 IFERROR(VLOOKUP(A126, jueves!A:I, 9, 0),
 IFERROR(VLOOKUP(A126, miercoles!A:I, 9, 0),
 IFERROR(VLOOKUP(A126, martes!A:I, 9, 0),
 IFERROR(VLOOKUP(A126, lunes!A:I, 9, 0),
 B126))))))</f>
        <v>1</v>
      </c>
      <c r="H126">
        <f>VLOOKUP(A126, Configuracion!A:C, 3, FALSE)</f>
        <v>60</v>
      </c>
      <c r="I126">
        <f t="shared" si="10"/>
        <v>0</v>
      </c>
      <c r="J126">
        <f>SUMIFS(lunes!$F:$F, lunes!$A:$A, $A126, lunes!$C:$C, "VENTA") +
 SUMIFS(martes!$F:$F, martes!$A:$A, $A126, martes!$C:$C, "VENTA") +
 SUMIFS(miercoles!$F:$F, miercoles!$A:$A, $A126, miercoles!$C:$C, "VENTA") +
 SUMIFS(jueves!$F:$F, jueves!$A:$A, $A126, jueves!$C:$C, "VENTA") +
 SUMIFS(viernes!$F:$F, viernes!$A:$A, $A126, viernes!$C:$C, "VENTA") +
 SUMIFS(sabado!$F:$F, sabado!$A:$A, $A126, sabado!$C:$C, "VENTA")</f>
        <v>0</v>
      </c>
      <c r="K126">
        <f t="shared" si="11"/>
        <v>0</v>
      </c>
    </row>
    <row r="127" spans="1:11" x14ac:dyDescent="0.3">
      <c r="A127" s="1" t="str">
        <f>Configuracion!A127</f>
        <v>PRESURIZADOR</v>
      </c>
      <c r="B127">
        <f>VLOOKUP(A127, Configuracion!A:B, 2, FALSE)</f>
        <v>2</v>
      </c>
      <c r="C127">
        <f>SUMIFS(lunes!D:D, lunes!A:A, A127, lunes!C:C, "VENTA") +
 SUMIFS(martes!D:D, martes!A:A, A127, martes!C:C, "VENTA") +
 SUMIFS(miercoles!D:D, miercoles!A:A, A127, miercoles!C:C, "VENTA") +
 SUMIFS(jueves!D:D, jueves!A:A, A127, jueves!C:C, "VENTA") +
 SUMIFS(viernes!D:D, viernes!A:A, A127, viernes!C:C, "VENTA") +
 SUMIFS(sabado!D:D, sabado!A:A, A127, sabado!C:C, "VENTA")</f>
        <v>0</v>
      </c>
      <c r="D127">
        <f>SUMIFS(lunes!$D:$D, lunes!$A:$A, $A127, lunes!$C:$C, "ENTRADA") +
 SUMIFS(martes!$D:$D, martes!$A:$A, $A127, martes!$C:$C, "ENTRADA") +
 SUMIFS(miercoles!$D:$D, miercoles!$A:$A, $A127, miercoles!$C:$C, "ENTRADA") +
 SUMIFS(jueves!$D:$D, jueves!$A:$A, $A127, jueves!$C:$C, "ENTRADA") +
 SUMIFS(viernes!$D:$D, viernes!$A:$A, $A127, viernes!$C:$C, "ENTRADA") +
 SUMIFS(sabado!$D:$D, sabado!$A:$A, $A127, sabado!$C:$C, "ENTRADA")</f>
        <v>0</v>
      </c>
      <c r="E127">
        <f>SUMIFS(lunes!$D:$D, lunes!$A:$A, $A127, lunes!$C:$C, "SALIDA") +
 SUMIFS(martes!$D:$D, martes!$A:$A, $A127, martes!$C:$C, "SALIDA") +
 SUMIFS(miercoles!$D:$D, miercoles!$A:$A, $A127, miercoles!$C:$C, "SALIDA") +
 SUMIFS(jueves!$D:$D, jueves!$A:$A, $A127, jueves!$C:$C, "SALIDA") +
 SUMIFS(viernes!$D:$D, viernes!$A:$A, $A127, viernes!$C:$C, "SALIDA") +
 SUMIFS(sabado!$D:$D, sabado!$A:$A, $A127, sabado!$C:$C, "SALIDA")</f>
        <v>0</v>
      </c>
      <c r="F127">
        <f t="shared" si="9"/>
        <v>2</v>
      </c>
      <c r="G127">
        <f>IFERROR(VLOOKUP(A127, sabado!A:I, 9, 0),
 IFERROR(VLOOKUP(A127, viernes!A:I, 9, 0),
 IFERROR(VLOOKUP(A127, jueves!A:I, 9, 0),
 IFERROR(VLOOKUP(A127, miercoles!A:I, 9, 0),
 IFERROR(VLOOKUP(A127, martes!A:I, 9, 0),
 IFERROR(VLOOKUP(A127, lunes!A:I, 9, 0),
 B127))))))</f>
        <v>2</v>
      </c>
      <c r="H127">
        <f>VLOOKUP(A127, Configuracion!A:C, 3, FALSE)</f>
        <v>60</v>
      </c>
      <c r="I127">
        <f t="shared" si="10"/>
        <v>0</v>
      </c>
      <c r="J127">
        <f>SUMIFS(lunes!$F:$F, lunes!$A:$A, $A127, lunes!$C:$C, "VENTA") +
 SUMIFS(martes!$F:$F, martes!$A:$A, $A127, martes!$C:$C, "VENTA") +
 SUMIFS(miercoles!$F:$F, miercoles!$A:$A, $A127, miercoles!$C:$C, "VENTA") +
 SUMIFS(jueves!$F:$F, jueves!$A:$A, $A127, jueves!$C:$C, "VENTA") +
 SUMIFS(viernes!$F:$F, viernes!$A:$A, $A127, viernes!$C:$C, "VENTA") +
 SUMIFS(sabado!$F:$F, sabado!$A:$A, $A127, sabado!$C:$C, "VENTA")</f>
        <v>0</v>
      </c>
      <c r="K127">
        <f t="shared" si="11"/>
        <v>0</v>
      </c>
    </row>
    <row r="128" spans="1:11" x14ac:dyDescent="0.3">
      <c r="A128" s="1" t="str">
        <f>Configuracion!A128</f>
        <v>PROTECTOR DE VOLTAJE</v>
      </c>
      <c r="B128">
        <f>VLOOKUP(A128, Configuracion!A:B, 2, FALSE)</f>
        <v>0</v>
      </c>
      <c r="C128">
        <f>SUMIFS(lunes!D:D, lunes!A:A, A128, lunes!C:C, "VENTA") +
 SUMIFS(martes!D:D, martes!A:A, A128, martes!C:C, "VENTA") +
 SUMIFS(miercoles!D:D, miercoles!A:A, A128, miercoles!C:C, "VENTA") +
 SUMIFS(jueves!D:D, jueves!A:A, A128, jueves!C:C, "VENTA") +
 SUMIFS(viernes!D:D, viernes!A:A, A128, viernes!C:C, "VENTA") +
 SUMIFS(sabado!D:D, sabado!A:A, A128, sabado!C:C, "VENTA")</f>
        <v>0</v>
      </c>
      <c r="D128">
        <f>SUMIFS(lunes!$D:$D, lunes!$A:$A, $A128, lunes!$C:$C, "ENTRADA") +
 SUMIFS(martes!$D:$D, martes!$A:$A, $A128, martes!$C:$C, "ENTRADA") +
 SUMIFS(miercoles!$D:$D, miercoles!$A:$A, $A128, miercoles!$C:$C, "ENTRADA") +
 SUMIFS(jueves!$D:$D, jueves!$A:$A, $A128, jueves!$C:$C, "ENTRADA") +
 SUMIFS(viernes!$D:$D, viernes!$A:$A, $A128, viernes!$C:$C, "ENTRADA") +
 SUMIFS(sabado!$D:$D, sabado!$A:$A, $A128, sabado!$C:$C, "ENTRADA")</f>
        <v>0</v>
      </c>
      <c r="E128">
        <f>SUMIFS(lunes!$D:$D, lunes!$A:$A, $A128, lunes!$C:$C, "SALIDA") +
 SUMIFS(martes!$D:$D, martes!$A:$A, $A128, martes!$C:$C, "SALIDA") +
 SUMIFS(miercoles!$D:$D, miercoles!$A:$A, $A128, miercoles!$C:$C, "SALIDA") +
 SUMIFS(jueves!$D:$D, jueves!$A:$A, $A128, jueves!$C:$C, "SALIDA") +
 SUMIFS(viernes!$D:$D, viernes!$A:$A, $A128, viernes!$C:$C, "SALIDA") +
 SUMIFS(sabado!$D:$D, sabado!$A:$A, $A128, sabado!$C:$C, "SALIDA")</f>
        <v>0</v>
      </c>
      <c r="F128">
        <f t="shared" si="9"/>
        <v>0</v>
      </c>
      <c r="G128">
        <f>IFERROR(VLOOKUP(A128, sabado!A:I, 9, 0),
 IFERROR(VLOOKUP(A128, viernes!A:I, 9, 0),
 IFERROR(VLOOKUP(A128, jueves!A:I, 9, 0),
 IFERROR(VLOOKUP(A128, miercoles!A:I, 9, 0),
 IFERROR(VLOOKUP(A128, martes!A:I, 9, 0),
 IFERROR(VLOOKUP(A128, lunes!A:I, 9, 0),
 B128))))))</f>
        <v>0</v>
      </c>
      <c r="H128">
        <f>VLOOKUP(A128, Configuracion!A:C, 3, FALSE)</f>
        <v>20</v>
      </c>
      <c r="I128">
        <f t="shared" si="10"/>
        <v>0</v>
      </c>
      <c r="J128">
        <f>SUMIFS(lunes!$F:$F, lunes!$A:$A, $A128, lunes!$C:$C, "VENTA") +
 SUMIFS(martes!$F:$F, martes!$A:$A, $A128, martes!$C:$C, "VENTA") +
 SUMIFS(miercoles!$F:$F, miercoles!$A:$A, $A128, miercoles!$C:$C, "VENTA") +
 SUMIFS(jueves!$F:$F, jueves!$A:$A, $A128, jueves!$C:$C, "VENTA") +
 SUMIFS(viernes!$F:$F, viernes!$A:$A, $A128, viernes!$C:$C, "VENTA") +
 SUMIFS(sabado!$F:$F, sabado!$A:$A, $A128, sabado!$C:$C, "VENTA")</f>
        <v>0</v>
      </c>
      <c r="K128">
        <f t="shared" si="11"/>
        <v>0</v>
      </c>
    </row>
    <row r="129" spans="1:11" x14ac:dyDescent="0.3">
      <c r="A129" s="1" t="str">
        <f>Configuracion!A129</f>
        <v>PANELES 490 W</v>
      </c>
      <c r="B129">
        <f>VLOOKUP(A129, Configuracion!A:B, 2, FALSE)</f>
        <v>11</v>
      </c>
      <c r="C129">
        <f>SUMIFS(lunes!D:D, lunes!A:A, A129, lunes!C:C, "VENTA") +
 SUMIFS(martes!D:D, martes!A:A, A129, martes!C:C, "VENTA") +
 SUMIFS(miercoles!D:D, miercoles!A:A, A129, miercoles!C:C, "VENTA") +
 SUMIFS(jueves!D:D, jueves!A:A, A129, jueves!C:C, "VENTA") +
 SUMIFS(viernes!D:D, viernes!A:A, A129, viernes!C:C, "VENTA") +
 SUMIFS(sabado!D:D, sabado!A:A, A129, sabado!C:C, "VENTA")</f>
        <v>3</v>
      </c>
      <c r="D129">
        <f>SUMIFS(lunes!$D:$D, lunes!$A:$A, $A129, lunes!$C:$C, "ENTRADA") +
 SUMIFS(martes!$D:$D, martes!$A:$A, $A129, martes!$C:$C, "ENTRADA") +
 SUMIFS(miercoles!$D:$D, miercoles!$A:$A, $A129, miercoles!$C:$C, "ENTRADA") +
 SUMIFS(jueves!$D:$D, jueves!$A:$A, $A129, jueves!$C:$C, "ENTRADA") +
 SUMIFS(viernes!$D:$D, viernes!$A:$A, $A129, viernes!$C:$C, "ENTRADA") +
 SUMIFS(sabado!$D:$D, sabado!$A:$A, $A129, sabado!$C:$C, "ENTRADA")</f>
        <v>0</v>
      </c>
      <c r="E129">
        <f>SUMIFS(lunes!$D:$D, lunes!$A:$A, $A129, lunes!$C:$C, "SALIDA") +
 SUMIFS(martes!$D:$D, martes!$A:$A, $A129, martes!$C:$C, "SALIDA") +
 SUMIFS(miercoles!$D:$D, miercoles!$A:$A, $A129, miercoles!$C:$C, "SALIDA") +
 SUMIFS(jueves!$D:$D, jueves!$A:$A, $A129, jueves!$C:$C, "SALIDA") +
 SUMIFS(viernes!$D:$D, viernes!$A:$A, $A129, viernes!$C:$C, "SALIDA") +
 SUMIFS(sabado!$D:$D, sabado!$A:$A, $A129, sabado!$C:$C, "SALIDA")</f>
        <v>0</v>
      </c>
      <c r="F129">
        <f t="shared" si="9"/>
        <v>8</v>
      </c>
      <c r="G129">
        <f>IFERROR(VLOOKUP(A129, sabado!A:I, 9, 0),
 IFERROR(VLOOKUP(A129, viernes!A:I, 9, 0),
 IFERROR(VLOOKUP(A129, jueves!A:I, 9, 0),
 IFERROR(VLOOKUP(A129, miercoles!A:I, 9, 0),
 IFERROR(VLOOKUP(A129, martes!A:I, 9, 0),
 IFERROR(VLOOKUP(A129, lunes!A:I, 9, 0),
 B129))))))</f>
        <v>8</v>
      </c>
      <c r="H129">
        <f>VLOOKUP(A129, Configuracion!A:C, 3, FALSE)</f>
        <v>180</v>
      </c>
      <c r="I129">
        <f t="shared" si="10"/>
        <v>540</v>
      </c>
      <c r="J129">
        <f>SUMIFS(lunes!$F:$F, lunes!$A:$A, $A129, lunes!$C:$C, "VENTA") +
 SUMIFS(martes!$F:$F, martes!$A:$A, $A129, martes!$C:$C, "VENTA") +
 SUMIFS(miercoles!$F:$F, miercoles!$A:$A, $A129, miercoles!$C:$C, "VENTA") +
 SUMIFS(jueves!$F:$F, jueves!$A:$A, $A129, jueves!$C:$C, "VENTA") +
 SUMIFS(viernes!$F:$F, viernes!$A:$A, $A129, viernes!$C:$C, "VENTA") +
 SUMIFS(sabado!$F:$F, sabado!$A:$A, $A129, sabado!$C:$C, "VENTA")</f>
        <v>530</v>
      </c>
      <c r="K129">
        <f t="shared" si="11"/>
        <v>10</v>
      </c>
    </row>
    <row r="130" spans="1:11" x14ac:dyDescent="0.3">
      <c r="A130" s="1" t="str">
        <f>Configuracion!A130</f>
        <v>PANELES 615 W</v>
      </c>
      <c r="B130">
        <f>VLOOKUP(A130, Configuracion!A:B, 2, FALSE)</f>
        <v>87</v>
      </c>
      <c r="C130">
        <f>SUMIFS(lunes!D:D, lunes!A:A, A130, lunes!C:C, "VENTA") +
 SUMIFS(martes!D:D, martes!A:A, A130, martes!C:C, "VENTA") +
 SUMIFS(miercoles!D:D, miercoles!A:A, A130, miercoles!C:C, "VENTA") +
 SUMIFS(jueves!D:D, jueves!A:A, A130, jueves!C:C, "VENTA") +
 SUMIFS(viernes!D:D, viernes!A:A, A130, viernes!C:C, "VENTA") +
 SUMIFS(sabado!D:D, sabado!A:A, A130, sabado!C:C, "VENTA")</f>
        <v>23</v>
      </c>
      <c r="D130">
        <f>SUMIFS(lunes!$D:$D, lunes!$A:$A, $A130, lunes!$C:$C, "ENTRADA") +
 SUMIFS(martes!$D:$D, martes!$A:$A, $A130, martes!$C:$C, "ENTRADA") +
 SUMIFS(miercoles!$D:$D, miercoles!$A:$A, $A130, miercoles!$C:$C, "ENTRADA") +
 SUMIFS(jueves!$D:$D, jueves!$A:$A, $A130, jueves!$C:$C, "ENTRADA") +
 SUMIFS(viernes!$D:$D, viernes!$A:$A, $A130, viernes!$C:$C, "ENTRADA") +
 SUMIFS(sabado!$D:$D, sabado!$A:$A, $A130, sabado!$C:$C, "ENTRADA")</f>
        <v>0</v>
      </c>
      <c r="E130">
        <f>SUMIFS(lunes!$D:$D, lunes!$A:$A, $A130, lunes!$C:$C, "SALIDA") +
 SUMIFS(martes!$D:$D, martes!$A:$A, $A130, martes!$C:$C, "SALIDA") +
 SUMIFS(miercoles!$D:$D, miercoles!$A:$A, $A130, miercoles!$C:$C, "SALIDA") +
 SUMIFS(jueves!$D:$D, jueves!$A:$A, $A130, jueves!$C:$C, "SALIDA") +
 SUMIFS(viernes!$D:$D, viernes!$A:$A, $A130, viernes!$C:$C, "SALIDA") +
 SUMIFS(sabado!$D:$D, sabado!$A:$A, $A130, sabado!$C:$C, "SALIDA")</f>
        <v>0</v>
      </c>
      <c r="F130">
        <f t="shared" ref="F130:F161" si="12">B130-C130+D130-E130</f>
        <v>64</v>
      </c>
      <c r="G130">
        <f>IFERROR(VLOOKUP(A130, sabado!A:I, 9, 0),
 IFERROR(VLOOKUP(A130, viernes!A:I, 9, 0),
 IFERROR(VLOOKUP(A130, jueves!A:I, 9, 0),
 IFERROR(VLOOKUP(A130, miercoles!A:I, 9, 0),
 IFERROR(VLOOKUP(A130, martes!A:I, 9, 0),
 IFERROR(VLOOKUP(A130, lunes!A:I, 9, 0),
 B130))))))</f>
        <v>64</v>
      </c>
      <c r="H130">
        <f>VLOOKUP(A130, Configuracion!A:C, 3, FALSE)</f>
        <v>180</v>
      </c>
      <c r="I130">
        <f t="shared" ref="I130:I161" si="13">C130*H130</f>
        <v>4140</v>
      </c>
      <c r="J130">
        <f>SUMIFS(lunes!$F:$F, lunes!$A:$A, $A130, lunes!$C:$C, "VENTA") +
 SUMIFS(martes!$F:$F, martes!$A:$A, $A130, martes!$C:$C, "VENTA") +
 SUMIFS(miercoles!$F:$F, miercoles!$A:$A, $A130, miercoles!$C:$C, "VENTA") +
 SUMIFS(jueves!$F:$F, jueves!$A:$A, $A130, jueves!$C:$C, "VENTA") +
 SUMIFS(viernes!$F:$F, viernes!$A:$A, $A130, viernes!$C:$C, "VENTA") +
 SUMIFS(sabado!$F:$F, sabado!$A:$A, $A130, sabado!$C:$C, "VENTA")</f>
        <v>4140</v>
      </c>
      <c r="K130">
        <f t="shared" ref="K130:K161" si="14">I130-J130</f>
        <v>0</v>
      </c>
    </row>
    <row r="131" spans="1:11" x14ac:dyDescent="0.3">
      <c r="A131" s="1" t="str">
        <f>Configuracion!A131</f>
        <v>PANELES 600 W JMD</v>
      </c>
      <c r="B131">
        <f>VLOOKUP(A131, Configuracion!A:B, 2, FALSE)</f>
        <v>0</v>
      </c>
      <c r="C131">
        <f>SUMIFS(lunes!D:D, lunes!A:A, A131, lunes!C:C, "VENTA") +
 SUMIFS(martes!D:D, martes!A:A, A131, martes!C:C, "VENTA") +
 SUMIFS(miercoles!D:D, miercoles!A:A, A131, miercoles!C:C, "VENTA") +
 SUMIFS(jueves!D:D, jueves!A:A, A131, jueves!C:C, "VENTA") +
 SUMIFS(viernes!D:D, viernes!A:A, A131, viernes!C:C, "VENTA") +
 SUMIFS(sabado!D:D, sabado!A:A, A131, sabado!C:C, "VENTA")</f>
        <v>0</v>
      </c>
      <c r="D131">
        <f>SUMIFS(lunes!$D:$D, lunes!$A:$A, $A131, lunes!$C:$C, "ENTRADA") +
 SUMIFS(martes!$D:$D, martes!$A:$A, $A131, martes!$C:$C, "ENTRADA") +
 SUMIFS(miercoles!$D:$D, miercoles!$A:$A, $A131, miercoles!$C:$C, "ENTRADA") +
 SUMIFS(jueves!$D:$D, jueves!$A:$A, $A131, jueves!$C:$C, "ENTRADA") +
 SUMIFS(viernes!$D:$D, viernes!$A:$A, $A131, viernes!$C:$C, "ENTRADA") +
 SUMIFS(sabado!$D:$D, sabado!$A:$A, $A131, sabado!$C:$C, "ENTRADA")</f>
        <v>0</v>
      </c>
      <c r="E131">
        <f>SUMIFS(lunes!$D:$D, lunes!$A:$A, $A131, lunes!$C:$C, "SALIDA") +
 SUMIFS(martes!$D:$D, martes!$A:$A, $A131, martes!$C:$C, "SALIDA") +
 SUMIFS(miercoles!$D:$D, miercoles!$A:$A, $A131, miercoles!$C:$C, "SALIDA") +
 SUMIFS(jueves!$D:$D, jueves!$A:$A, $A131, jueves!$C:$C, "SALIDA") +
 SUMIFS(viernes!$D:$D, viernes!$A:$A, $A131, viernes!$C:$C, "SALIDA") +
 SUMIFS(sabado!$D:$D, sabado!$A:$A, $A131, sabado!$C:$C, "SALIDA")</f>
        <v>0</v>
      </c>
      <c r="F131">
        <f t="shared" si="12"/>
        <v>0</v>
      </c>
      <c r="G131">
        <f>IFERROR(VLOOKUP(A131, sabado!A:I, 9, 0),
 IFERROR(VLOOKUP(A131, viernes!A:I, 9, 0),
 IFERROR(VLOOKUP(A131, jueves!A:I, 9, 0),
 IFERROR(VLOOKUP(A131, miercoles!A:I, 9, 0),
 IFERROR(VLOOKUP(A131, martes!A:I, 9, 0),
 IFERROR(VLOOKUP(A131, lunes!A:I, 9, 0),
 B131))))))</f>
        <v>0</v>
      </c>
      <c r="H131">
        <f>VLOOKUP(A131, Configuracion!A:C, 3, FALSE)</f>
        <v>130</v>
      </c>
      <c r="I131">
        <f t="shared" si="13"/>
        <v>0</v>
      </c>
      <c r="J131">
        <f>SUMIFS(lunes!$F:$F, lunes!$A:$A, $A131, lunes!$C:$C, "VENTA") +
 SUMIFS(martes!$F:$F, martes!$A:$A, $A131, martes!$C:$C, "VENTA") +
 SUMIFS(miercoles!$F:$F, miercoles!$A:$A, $A131, miercoles!$C:$C, "VENTA") +
 SUMIFS(jueves!$F:$F, jueves!$A:$A, $A131, jueves!$C:$C, "VENTA") +
 SUMIFS(viernes!$F:$F, viernes!$A:$A, $A131, viernes!$C:$C, "VENTA") +
 SUMIFS(sabado!$F:$F, sabado!$A:$A, $A131, sabado!$C:$C, "VENTA")</f>
        <v>0</v>
      </c>
      <c r="K131">
        <f t="shared" si="14"/>
        <v>0</v>
      </c>
    </row>
    <row r="132" spans="1:11" x14ac:dyDescent="0.3">
      <c r="A132" s="1" t="str">
        <f>Configuracion!A132</f>
        <v>PANELES 500 W</v>
      </c>
      <c r="B132">
        <f>VLOOKUP(A132, Configuracion!A:B, 2, FALSE)</f>
        <v>3</v>
      </c>
      <c r="C132">
        <f>SUMIFS(lunes!D:D, lunes!A:A, A132, lunes!C:C, "VENTA") +
 SUMIFS(martes!D:D, martes!A:A, A132, martes!C:C, "VENTA") +
 SUMIFS(miercoles!D:D, miercoles!A:A, A132, miercoles!C:C, "VENTA") +
 SUMIFS(jueves!D:D, jueves!A:A, A132, jueves!C:C, "VENTA") +
 SUMIFS(viernes!D:D, viernes!A:A, A132, viernes!C:C, "VENTA") +
 SUMIFS(sabado!D:D, sabado!A:A, A132, sabado!C:C, "VENTA")</f>
        <v>0</v>
      </c>
      <c r="D132">
        <f>SUMIFS(lunes!$D:$D, lunes!$A:$A, $A132, lunes!$C:$C, "ENTRADA") +
 SUMIFS(martes!$D:$D, martes!$A:$A, $A132, martes!$C:$C, "ENTRADA") +
 SUMIFS(miercoles!$D:$D, miercoles!$A:$A, $A132, miercoles!$C:$C, "ENTRADA") +
 SUMIFS(jueves!$D:$D, jueves!$A:$A, $A132, jueves!$C:$C, "ENTRADA") +
 SUMIFS(viernes!$D:$D, viernes!$A:$A, $A132, viernes!$C:$C, "ENTRADA") +
 SUMIFS(sabado!$D:$D, sabado!$A:$A, $A132, sabado!$C:$C, "ENTRADA")</f>
        <v>0</v>
      </c>
      <c r="E132">
        <f>SUMIFS(lunes!$D:$D, lunes!$A:$A, $A132, lunes!$C:$C, "SALIDA") +
 SUMIFS(martes!$D:$D, martes!$A:$A, $A132, martes!$C:$C, "SALIDA") +
 SUMIFS(miercoles!$D:$D, miercoles!$A:$A, $A132, miercoles!$C:$C, "SALIDA") +
 SUMIFS(jueves!$D:$D, jueves!$A:$A, $A132, jueves!$C:$C, "SALIDA") +
 SUMIFS(viernes!$D:$D, viernes!$A:$A, $A132, viernes!$C:$C, "SALIDA") +
 SUMIFS(sabado!$D:$D, sabado!$A:$A, $A132, sabado!$C:$C, "SALIDA")</f>
        <v>0</v>
      </c>
      <c r="F132">
        <f t="shared" si="12"/>
        <v>3</v>
      </c>
      <c r="G132">
        <f>IFERROR(VLOOKUP(A132, sabado!A:I, 9, 0),
 IFERROR(VLOOKUP(A132, viernes!A:I, 9, 0),
 IFERROR(VLOOKUP(A132, jueves!A:I, 9, 0),
 IFERROR(VLOOKUP(A132, miercoles!A:I, 9, 0),
 IFERROR(VLOOKUP(A132, martes!A:I, 9, 0),
 IFERROR(VLOOKUP(A132, lunes!A:I, 9, 0),
 B132))))))</f>
        <v>3</v>
      </c>
      <c r="H132">
        <f>VLOOKUP(A132, Configuracion!A:C, 3, FALSE)</f>
        <v>180</v>
      </c>
      <c r="I132">
        <f t="shared" si="13"/>
        <v>0</v>
      </c>
      <c r="J132">
        <f>SUMIFS(lunes!$F:$F, lunes!$A:$A, $A132, lunes!$C:$C, "VENTA") +
 SUMIFS(martes!$F:$F, martes!$A:$A, $A132, martes!$C:$C, "VENTA") +
 SUMIFS(miercoles!$F:$F, miercoles!$A:$A, $A132, miercoles!$C:$C, "VENTA") +
 SUMIFS(jueves!$F:$F, jueves!$A:$A, $A132, jueves!$C:$C, "VENTA") +
 SUMIFS(viernes!$F:$F, viernes!$A:$A, $A132, viernes!$C:$C, "VENTA") +
 SUMIFS(sabado!$F:$F, sabado!$A:$A, $A132, sabado!$C:$C, "VENTA")</f>
        <v>0</v>
      </c>
      <c r="K132">
        <f t="shared" si="14"/>
        <v>0</v>
      </c>
    </row>
    <row r="133" spans="1:11" x14ac:dyDescent="0.3">
      <c r="A133" s="1" t="str">
        <f>Configuracion!A133</f>
        <v xml:space="preserve">PANELES 585 W </v>
      </c>
      <c r="B133">
        <f>VLOOKUP(A133, Configuracion!A:B, 2, FALSE)</f>
        <v>2</v>
      </c>
      <c r="C133">
        <f>SUMIFS(lunes!D:D, lunes!A:A, A133, lunes!C:C, "VENTA") +
 SUMIFS(martes!D:D, martes!A:A, A133, martes!C:C, "VENTA") +
 SUMIFS(miercoles!D:D, miercoles!A:A, A133, miercoles!C:C, "VENTA") +
 SUMIFS(jueves!D:D, jueves!A:A, A133, jueves!C:C, "VENTA") +
 SUMIFS(viernes!D:D, viernes!A:A, A133, viernes!C:C, "VENTA") +
 SUMIFS(sabado!D:D, sabado!A:A, A133, sabado!C:C, "VENTA")</f>
        <v>1</v>
      </c>
      <c r="D133">
        <f>SUMIFS(lunes!$D:$D, lunes!$A:$A, $A133, lunes!$C:$C, "ENTRADA") +
 SUMIFS(martes!$D:$D, martes!$A:$A, $A133, martes!$C:$C, "ENTRADA") +
 SUMIFS(miercoles!$D:$D, miercoles!$A:$A, $A133, miercoles!$C:$C, "ENTRADA") +
 SUMIFS(jueves!$D:$D, jueves!$A:$A, $A133, jueves!$C:$C, "ENTRADA") +
 SUMIFS(viernes!$D:$D, viernes!$A:$A, $A133, viernes!$C:$C, "ENTRADA") +
 SUMIFS(sabado!$D:$D, sabado!$A:$A, $A133, sabado!$C:$C, "ENTRADA")</f>
        <v>0</v>
      </c>
      <c r="E133">
        <f>SUMIFS(lunes!$D:$D, lunes!$A:$A, $A133, lunes!$C:$C, "SALIDA") +
 SUMIFS(martes!$D:$D, martes!$A:$A, $A133, martes!$C:$C, "SALIDA") +
 SUMIFS(miercoles!$D:$D, miercoles!$A:$A, $A133, miercoles!$C:$C, "SALIDA") +
 SUMIFS(jueves!$D:$D, jueves!$A:$A, $A133, jueves!$C:$C, "SALIDA") +
 SUMIFS(viernes!$D:$D, viernes!$A:$A, $A133, viernes!$C:$C, "SALIDA") +
 SUMIFS(sabado!$D:$D, sabado!$A:$A, $A133, sabado!$C:$C, "SALIDA")</f>
        <v>0</v>
      </c>
      <c r="F133">
        <f t="shared" si="12"/>
        <v>1</v>
      </c>
      <c r="G133">
        <f>IFERROR(VLOOKUP(A133, sabado!A:I, 9, 0),
 IFERROR(VLOOKUP(A133, viernes!A:I, 9, 0),
 IFERROR(VLOOKUP(A133, jueves!A:I, 9, 0),
 IFERROR(VLOOKUP(A133, miercoles!A:I, 9, 0),
 IFERROR(VLOOKUP(A133, martes!A:I, 9, 0),
 IFERROR(VLOOKUP(A133, lunes!A:I, 9, 0),
 B133))))))</f>
        <v>1</v>
      </c>
      <c r="H133">
        <f>VLOOKUP(A133, Configuracion!A:C, 3, FALSE)</f>
        <v>170</v>
      </c>
      <c r="I133">
        <f t="shared" si="13"/>
        <v>170</v>
      </c>
      <c r="J133">
        <f>SUMIFS(lunes!$F:$F, lunes!$A:$A, $A133, lunes!$C:$C, "VENTA") +
 SUMIFS(martes!$F:$F, martes!$A:$A, $A133, martes!$C:$C, "VENTA") +
 SUMIFS(miercoles!$F:$F, miercoles!$A:$A, $A133, miercoles!$C:$C, "VENTA") +
 SUMIFS(jueves!$F:$F, jueves!$A:$A, $A133, jueves!$C:$C, "VENTA") +
 SUMIFS(viernes!$F:$F, viernes!$A:$A, $A133, viernes!$C:$C, "VENTA") +
 SUMIFS(sabado!$F:$F, sabado!$A:$A, $A133, sabado!$C:$C, "VENTA")</f>
        <v>170</v>
      </c>
      <c r="K133">
        <f t="shared" si="14"/>
        <v>0</v>
      </c>
    </row>
    <row r="134" spans="1:11" x14ac:dyDescent="0.3">
      <c r="A134" s="1" t="str">
        <f>Configuracion!A134</f>
        <v>PRESURIZADOR</v>
      </c>
      <c r="B134">
        <f>VLOOKUP(A134, Configuracion!A:B, 2, FALSE)</f>
        <v>2</v>
      </c>
      <c r="C134">
        <f>SUMIFS(lunes!D:D, lunes!A:A, A134, lunes!C:C, "VENTA") +
 SUMIFS(martes!D:D, martes!A:A, A134, martes!C:C, "VENTA") +
 SUMIFS(miercoles!D:D, miercoles!A:A, A134, miercoles!C:C, "VENTA") +
 SUMIFS(jueves!D:D, jueves!A:A, A134, jueves!C:C, "VENTA") +
 SUMIFS(viernes!D:D, viernes!A:A, A134, viernes!C:C, "VENTA") +
 SUMIFS(sabado!D:D, sabado!A:A, A134, sabado!C:C, "VENTA")</f>
        <v>0</v>
      </c>
      <c r="D134">
        <f>SUMIFS(lunes!$D:$D, lunes!$A:$A, $A134, lunes!$C:$C, "ENTRADA") +
 SUMIFS(martes!$D:$D, martes!$A:$A, $A134, martes!$C:$C, "ENTRADA") +
 SUMIFS(miercoles!$D:$D, miercoles!$A:$A, $A134, miercoles!$C:$C, "ENTRADA") +
 SUMIFS(jueves!$D:$D, jueves!$A:$A, $A134, jueves!$C:$C, "ENTRADA") +
 SUMIFS(viernes!$D:$D, viernes!$A:$A, $A134, viernes!$C:$C, "ENTRADA") +
 SUMIFS(sabado!$D:$D, sabado!$A:$A, $A134, sabado!$C:$C, "ENTRADA")</f>
        <v>0</v>
      </c>
      <c r="E134">
        <f>SUMIFS(lunes!$D:$D, lunes!$A:$A, $A134, lunes!$C:$C, "SALIDA") +
 SUMIFS(martes!$D:$D, martes!$A:$A, $A134, martes!$C:$C, "SALIDA") +
 SUMIFS(miercoles!$D:$D, miercoles!$A:$A, $A134, miercoles!$C:$C, "SALIDA") +
 SUMIFS(jueves!$D:$D, jueves!$A:$A, $A134, jueves!$C:$C, "SALIDA") +
 SUMIFS(viernes!$D:$D, viernes!$A:$A, $A134, viernes!$C:$C, "SALIDA") +
 SUMIFS(sabado!$D:$D, sabado!$A:$A, $A134, sabado!$C:$C, "SALIDA")</f>
        <v>0</v>
      </c>
      <c r="F134">
        <f t="shared" si="12"/>
        <v>2</v>
      </c>
      <c r="G134">
        <f>IFERROR(VLOOKUP(A134, sabado!A:I, 9, 0),
 IFERROR(VLOOKUP(A134, viernes!A:I, 9, 0),
 IFERROR(VLOOKUP(A134, jueves!A:I, 9, 0),
 IFERROR(VLOOKUP(A134, miercoles!A:I, 9, 0),
 IFERROR(VLOOKUP(A134, martes!A:I, 9, 0),
 IFERROR(VLOOKUP(A134, lunes!A:I, 9, 0),
 B134))))))</f>
        <v>2</v>
      </c>
      <c r="H134">
        <f>VLOOKUP(A134, Configuracion!A:C, 3, FALSE)</f>
        <v>60</v>
      </c>
      <c r="I134">
        <f t="shared" si="13"/>
        <v>0</v>
      </c>
      <c r="J134">
        <f>SUMIFS(lunes!$F:$F, lunes!$A:$A, $A134, lunes!$C:$C, "VENTA") +
 SUMIFS(martes!$F:$F, martes!$A:$A, $A134, martes!$C:$C, "VENTA") +
 SUMIFS(miercoles!$F:$F, miercoles!$A:$A, $A134, miercoles!$C:$C, "VENTA") +
 SUMIFS(jueves!$F:$F, jueves!$A:$A, $A134, jueves!$C:$C, "VENTA") +
 SUMIFS(viernes!$F:$F, viernes!$A:$A, $A134, viernes!$C:$C, "VENTA") +
 SUMIFS(sabado!$F:$F, sabado!$A:$A, $A134, sabado!$C:$C, "VENTA")</f>
        <v>0</v>
      </c>
      <c r="K134">
        <f t="shared" si="14"/>
        <v>0</v>
      </c>
    </row>
    <row r="135" spans="1:11" x14ac:dyDescent="0.3">
      <c r="A135" s="1" t="str">
        <f>Configuracion!A135</f>
        <v>ROLLO DE CABLE</v>
      </c>
      <c r="B135">
        <f>VLOOKUP(A135, Configuracion!A:B, 2, FALSE)</f>
        <v>0</v>
      </c>
      <c r="C135">
        <f>SUMIFS(lunes!D:D, lunes!A:A, A135, lunes!C:C, "VENTA") +
 SUMIFS(martes!D:D, martes!A:A, A135, martes!C:C, "VENTA") +
 SUMIFS(miercoles!D:D, miercoles!A:A, A135, miercoles!C:C, "VENTA") +
 SUMIFS(jueves!D:D, jueves!A:A, A135, jueves!C:C, "VENTA") +
 SUMIFS(viernes!D:D, viernes!A:A, A135, viernes!C:C, "VENTA") +
 SUMIFS(sabado!D:D, sabado!A:A, A135, sabado!C:C, "VENTA")</f>
        <v>0</v>
      </c>
      <c r="D135">
        <f>SUMIFS(lunes!$D:$D, lunes!$A:$A, $A135, lunes!$C:$C, "ENTRADA") +
 SUMIFS(martes!$D:$D, martes!$A:$A, $A135, martes!$C:$C, "ENTRADA") +
 SUMIFS(miercoles!$D:$D, miercoles!$A:$A, $A135, miercoles!$C:$C, "ENTRADA") +
 SUMIFS(jueves!$D:$D, jueves!$A:$A, $A135, jueves!$C:$C, "ENTRADA") +
 SUMIFS(viernes!$D:$D, viernes!$A:$A, $A135, viernes!$C:$C, "ENTRADA") +
 SUMIFS(sabado!$D:$D, sabado!$A:$A, $A135, sabado!$C:$C, "ENTRADA")</f>
        <v>0</v>
      </c>
      <c r="E135">
        <f>SUMIFS(lunes!$D:$D, lunes!$A:$A, $A135, lunes!$C:$C, "SALIDA") +
 SUMIFS(martes!$D:$D, martes!$A:$A, $A135, martes!$C:$C, "SALIDA") +
 SUMIFS(miercoles!$D:$D, miercoles!$A:$A, $A135, miercoles!$C:$C, "SALIDA") +
 SUMIFS(jueves!$D:$D, jueves!$A:$A, $A135, jueves!$C:$C, "SALIDA") +
 SUMIFS(viernes!$D:$D, viernes!$A:$A, $A135, viernes!$C:$C, "SALIDA") +
 SUMIFS(sabado!$D:$D, sabado!$A:$A, $A135, sabado!$C:$C, "SALIDA")</f>
        <v>0</v>
      </c>
      <c r="F135">
        <f t="shared" si="12"/>
        <v>0</v>
      </c>
      <c r="G135">
        <f>IFERROR(VLOOKUP(A135, sabado!A:I, 9, 0),
 IFERROR(VLOOKUP(A135, viernes!A:I, 9, 0),
 IFERROR(VLOOKUP(A135, jueves!A:I, 9, 0),
 IFERROR(VLOOKUP(A135, miercoles!A:I, 9, 0),
 IFERROR(VLOOKUP(A135, martes!A:I, 9, 0),
 IFERROR(VLOOKUP(A135, lunes!A:I, 9, 0),
 B135))))))</f>
        <v>0</v>
      </c>
      <c r="H135">
        <f>VLOOKUP(A135, Configuracion!A:C, 3, FALSE)</f>
        <v>3</v>
      </c>
      <c r="I135">
        <f t="shared" si="13"/>
        <v>0</v>
      </c>
      <c r="J135">
        <f>SUMIFS(lunes!$F:$F, lunes!$A:$A, $A135, lunes!$C:$C, "VENTA") +
 SUMIFS(martes!$F:$F, martes!$A:$A, $A135, martes!$C:$C, "VENTA") +
 SUMIFS(miercoles!$F:$F, miercoles!$A:$A, $A135, miercoles!$C:$C, "VENTA") +
 SUMIFS(jueves!$F:$F, jueves!$A:$A, $A135, jueves!$C:$C, "VENTA") +
 SUMIFS(viernes!$F:$F, viernes!$A:$A, $A135, viernes!$C:$C, "VENTA") +
 SUMIFS(sabado!$F:$F, sabado!$A:$A, $A135, sabado!$C:$C, "VENTA")</f>
        <v>0</v>
      </c>
      <c r="K135">
        <f t="shared" si="14"/>
        <v>0</v>
      </c>
    </row>
    <row r="136" spans="1:11" x14ac:dyDescent="0.3">
      <c r="A136" s="1" t="str">
        <f>Configuracion!A136</f>
        <v xml:space="preserve">ROLLO DE CABLE ROYAL CORD </v>
      </c>
      <c r="B136">
        <f>VLOOKUP(A136, Configuracion!A:B, 2, FALSE)</f>
        <v>0</v>
      </c>
      <c r="C136">
        <f>SUMIFS(lunes!D:D, lunes!A:A, A136, lunes!C:C, "VENTA") +
 SUMIFS(martes!D:D, martes!A:A, A136, martes!C:C, "VENTA") +
 SUMIFS(miercoles!D:D, miercoles!A:A, A136, miercoles!C:C, "VENTA") +
 SUMIFS(jueves!D:D, jueves!A:A, A136, jueves!C:C, "VENTA") +
 SUMIFS(viernes!D:D, viernes!A:A, A136, viernes!C:C, "VENTA") +
 SUMIFS(sabado!D:D, sabado!A:A, A136, sabado!C:C, "VENTA")</f>
        <v>0</v>
      </c>
      <c r="D136">
        <f>SUMIFS(lunes!$D:$D, lunes!$A:$A, $A136, lunes!$C:$C, "ENTRADA") +
 SUMIFS(martes!$D:$D, martes!$A:$A, $A136, martes!$C:$C, "ENTRADA") +
 SUMIFS(miercoles!$D:$D, miercoles!$A:$A, $A136, miercoles!$C:$C, "ENTRADA") +
 SUMIFS(jueves!$D:$D, jueves!$A:$A, $A136, jueves!$C:$C, "ENTRADA") +
 SUMIFS(viernes!$D:$D, viernes!$A:$A, $A136, viernes!$C:$C, "ENTRADA") +
 SUMIFS(sabado!$D:$D, sabado!$A:$A, $A136, sabado!$C:$C, "ENTRADA")</f>
        <v>0</v>
      </c>
      <c r="E136">
        <f>SUMIFS(lunes!$D:$D, lunes!$A:$A, $A136, lunes!$C:$C, "SALIDA") +
 SUMIFS(martes!$D:$D, martes!$A:$A, $A136, martes!$C:$C, "SALIDA") +
 SUMIFS(miercoles!$D:$D, miercoles!$A:$A, $A136, miercoles!$C:$C, "SALIDA") +
 SUMIFS(jueves!$D:$D, jueves!$A:$A, $A136, jueves!$C:$C, "SALIDA") +
 SUMIFS(viernes!$D:$D, viernes!$A:$A, $A136, viernes!$C:$C, "SALIDA") +
 SUMIFS(sabado!$D:$D, sabado!$A:$A, $A136, sabado!$C:$C, "SALIDA")</f>
        <v>0</v>
      </c>
      <c r="F136">
        <f t="shared" si="12"/>
        <v>0</v>
      </c>
      <c r="G136">
        <f>IFERROR(VLOOKUP(A136, sabado!A:I, 9, 0),
 IFERROR(VLOOKUP(A136, viernes!A:I, 9, 0),
 IFERROR(VLOOKUP(A136, jueves!A:I, 9, 0),
 IFERROR(VLOOKUP(A136, miercoles!A:I, 9, 0),
 IFERROR(VLOOKUP(A136, martes!A:I, 9, 0),
 IFERROR(VLOOKUP(A136, lunes!A:I, 9, 0),
 B136))))))</f>
        <v>0</v>
      </c>
      <c r="H136">
        <f>VLOOKUP(A136, Configuracion!A:C, 3, FALSE)</f>
        <v>2</v>
      </c>
      <c r="I136">
        <f t="shared" si="13"/>
        <v>0</v>
      </c>
      <c r="J136">
        <f>SUMIFS(lunes!$F:$F, lunes!$A:$A, $A136, lunes!$C:$C, "VENTA") +
 SUMIFS(martes!$F:$F, martes!$A:$A, $A136, martes!$C:$C, "VENTA") +
 SUMIFS(miercoles!$F:$F, miercoles!$A:$A, $A136, miercoles!$C:$C, "VENTA") +
 SUMIFS(jueves!$F:$F, jueves!$A:$A, $A136, jueves!$C:$C, "VENTA") +
 SUMIFS(viernes!$F:$F, viernes!$A:$A, $A136, viernes!$C:$C, "VENTA") +
 SUMIFS(sabado!$F:$F, sabado!$A:$A, $A136, sabado!$C:$C, "VENTA")</f>
        <v>0</v>
      </c>
      <c r="K136">
        <f t="shared" si="14"/>
        <v>0</v>
      </c>
    </row>
    <row r="137" spans="1:11" x14ac:dyDescent="0.3">
      <c r="A137" s="1" t="str">
        <f>Configuracion!A137</f>
        <v>REFRIGERADOR 7 PIES HISENSE</v>
      </c>
      <c r="B137">
        <f>VLOOKUP(A137, Configuracion!A:B, 2, FALSE)</f>
        <v>9</v>
      </c>
      <c r="C137">
        <f>SUMIFS(lunes!D:D, lunes!A:A, A137, lunes!C:C, "VENTA") +
 SUMIFS(martes!D:D, martes!A:A, A137, martes!C:C, "VENTA") +
 SUMIFS(miercoles!D:D, miercoles!A:A, A137, miercoles!C:C, "VENTA") +
 SUMIFS(jueves!D:D, jueves!A:A, A137, jueves!C:C, "VENTA") +
 SUMIFS(viernes!D:D, viernes!A:A, A137, viernes!C:C, "VENTA") +
 SUMIFS(sabado!D:D, sabado!A:A, A137, sabado!C:C, "VENTA")</f>
        <v>0</v>
      </c>
      <c r="D137">
        <f>SUMIFS(lunes!$D:$D, lunes!$A:$A, $A137, lunes!$C:$C, "ENTRADA") +
 SUMIFS(martes!$D:$D, martes!$A:$A, $A137, martes!$C:$C, "ENTRADA") +
 SUMIFS(miercoles!$D:$D, miercoles!$A:$A, $A137, miercoles!$C:$C, "ENTRADA") +
 SUMIFS(jueves!$D:$D, jueves!$A:$A, $A137, jueves!$C:$C, "ENTRADA") +
 SUMIFS(viernes!$D:$D, viernes!$A:$A, $A137, viernes!$C:$C, "ENTRADA") +
 SUMIFS(sabado!$D:$D, sabado!$A:$A, $A137, sabado!$C:$C, "ENTRADA")</f>
        <v>0</v>
      </c>
      <c r="E137">
        <f>SUMIFS(lunes!$D:$D, lunes!$A:$A, $A137, lunes!$C:$C, "SALIDA") +
 SUMIFS(martes!$D:$D, martes!$A:$A, $A137, martes!$C:$C, "SALIDA") +
 SUMIFS(miercoles!$D:$D, miercoles!$A:$A, $A137, miercoles!$C:$C, "SALIDA") +
 SUMIFS(jueves!$D:$D, jueves!$A:$A, $A137, jueves!$C:$C, "SALIDA") +
 SUMIFS(viernes!$D:$D, viernes!$A:$A, $A137, viernes!$C:$C, "SALIDA") +
 SUMIFS(sabado!$D:$D, sabado!$A:$A, $A137, sabado!$C:$C, "SALIDA")</f>
        <v>0</v>
      </c>
      <c r="F137">
        <f t="shared" si="12"/>
        <v>9</v>
      </c>
      <c r="G137">
        <f>IFERROR(VLOOKUP(A137, sabado!A:I, 9, 0),
 IFERROR(VLOOKUP(A137, viernes!A:I, 9, 0),
 IFERROR(VLOOKUP(A137, jueves!A:I, 9, 0),
 IFERROR(VLOOKUP(A137, miercoles!A:I, 9, 0),
 IFERROR(VLOOKUP(A137, martes!A:I, 9, 0),
 IFERROR(VLOOKUP(A137, lunes!A:I, 9, 0),
 B137))))))</f>
        <v>9</v>
      </c>
      <c r="H137">
        <f>VLOOKUP(A137, Configuracion!A:C, 3, FALSE)</f>
        <v>340</v>
      </c>
      <c r="I137">
        <f t="shared" si="13"/>
        <v>0</v>
      </c>
      <c r="J137">
        <f>SUMIFS(lunes!$F:$F, lunes!$A:$A, $A137, lunes!$C:$C, "VENTA") +
 SUMIFS(martes!$F:$F, martes!$A:$A, $A137, martes!$C:$C, "VENTA") +
 SUMIFS(miercoles!$F:$F, miercoles!$A:$A, $A137, miercoles!$C:$C, "VENTA") +
 SUMIFS(jueves!$F:$F, jueves!$A:$A, $A137, jueves!$C:$C, "VENTA") +
 SUMIFS(viernes!$F:$F, viernes!$A:$A, $A137, viernes!$C:$C, "VENTA") +
 SUMIFS(sabado!$F:$F, sabado!$A:$A, $A137, sabado!$C:$C, "VENTA")</f>
        <v>0</v>
      </c>
      <c r="K137">
        <f t="shared" si="14"/>
        <v>0</v>
      </c>
    </row>
    <row r="138" spans="1:11" x14ac:dyDescent="0.3">
      <c r="A138" s="1" t="str">
        <f>Configuracion!A138</f>
        <v>REFRIGERADOR 7 PIES ROYAL</v>
      </c>
      <c r="B138">
        <f>VLOOKUP(A138, Configuracion!A:B, 2, FALSE)</f>
        <v>5</v>
      </c>
      <c r="C138">
        <f>SUMIFS(lunes!D:D, lunes!A:A, A138, lunes!C:C, "VENTA") +
 SUMIFS(martes!D:D, martes!A:A, A138, martes!C:C, "VENTA") +
 SUMIFS(miercoles!D:D, miercoles!A:A, A138, miercoles!C:C, "VENTA") +
 SUMIFS(jueves!D:D, jueves!A:A, A138, jueves!C:C, "VENTA") +
 SUMIFS(viernes!D:D, viernes!A:A, A138, viernes!C:C, "VENTA") +
 SUMIFS(sabado!D:D, sabado!A:A, A138, sabado!C:C, "VENTA")</f>
        <v>0</v>
      </c>
      <c r="D138">
        <f>SUMIFS(lunes!$D:$D, lunes!$A:$A, $A138, lunes!$C:$C, "ENTRADA") +
 SUMIFS(martes!$D:$D, martes!$A:$A, $A138, martes!$C:$C, "ENTRADA") +
 SUMIFS(miercoles!$D:$D, miercoles!$A:$A, $A138, miercoles!$C:$C, "ENTRADA") +
 SUMIFS(jueves!$D:$D, jueves!$A:$A, $A138, jueves!$C:$C, "ENTRADA") +
 SUMIFS(viernes!$D:$D, viernes!$A:$A, $A138, viernes!$C:$C, "ENTRADA") +
 SUMIFS(sabado!$D:$D, sabado!$A:$A, $A138, sabado!$C:$C, "ENTRADA")</f>
        <v>0</v>
      </c>
      <c r="E138">
        <f>SUMIFS(lunes!$D:$D, lunes!$A:$A, $A138, lunes!$C:$C, "SALIDA") +
 SUMIFS(martes!$D:$D, martes!$A:$A, $A138, martes!$C:$C, "SALIDA") +
 SUMIFS(miercoles!$D:$D, miercoles!$A:$A, $A138, miercoles!$C:$C, "SALIDA") +
 SUMIFS(jueves!$D:$D, jueves!$A:$A, $A138, jueves!$C:$C, "SALIDA") +
 SUMIFS(viernes!$D:$D, viernes!$A:$A, $A138, viernes!$C:$C, "SALIDA") +
 SUMIFS(sabado!$D:$D, sabado!$A:$A, $A138, sabado!$C:$C, "SALIDA")</f>
        <v>0</v>
      </c>
      <c r="F138">
        <f t="shared" si="12"/>
        <v>5</v>
      </c>
      <c r="G138">
        <f>IFERROR(VLOOKUP(A138, sabado!A:I, 9, 0),
 IFERROR(VLOOKUP(A138, viernes!A:I, 9, 0),
 IFERROR(VLOOKUP(A138, jueves!A:I, 9, 0),
 IFERROR(VLOOKUP(A138, miercoles!A:I, 9, 0),
 IFERROR(VLOOKUP(A138, martes!A:I, 9, 0),
 IFERROR(VLOOKUP(A138, lunes!A:I, 9, 0),
 B138))))))</f>
        <v>5</v>
      </c>
      <c r="H138">
        <f>VLOOKUP(A138, Configuracion!A:C, 3, FALSE)</f>
        <v>350</v>
      </c>
      <c r="I138">
        <f t="shared" si="13"/>
        <v>0</v>
      </c>
      <c r="J138">
        <f>SUMIFS(lunes!$F:$F, lunes!$A:$A, $A138, lunes!$C:$C, "VENTA") +
 SUMIFS(martes!$F:$F, martes!$A:$A, $A138, martes!$C:$C, "VENTA") +
 SUMIFS(miercoles!$F:$F, miercoles!$A:$A, $A138, miercoles!$C:$C, "VENTA") +
 SUMIFS(jueves!$F:$F, jueves!$A:$A, $A138, jueves!$C:$C, "VENTA") +
 SUMIFS(viernes!$F:$F, viernes!$A:$A, $A138, viernes!$C:$C, "VENTA") +
 SUMIFS(sabado!$F:$F, sabado!$A:$A, $A138, sabado!$C:$C, "VENTA")</f>
        <v>0</v>
      </c>
      <c r="K138">
        <f t="shared" si="14"/>
        <v>0</v>
      </c>
    </row>
    <row r="139" spans="1:11" x14ac:dyDescent="0.3">
      <c r="A139" s="1" t="str">
        <f>Configuracion!A139</f>
        <v>REFRIGERADOR 11.9 PIES EKO</v>
      </c>
      <c r="B139">
        <f>VLOOKUP(A139, Configuracion!A:B, 2, FALSE)</f>
        <v>0</v>
      </c>
      <c r="C139">
        <f>SUMIFS(lunes!D:D, lunes!A:A, A139, lunes!C:C, "VENTA") +
 SUMIFS(martes!D:D, martes!A:A, A139, martes!C:C, "VENTA") +
 SUMIFS(miercoles!D:D, miercoles!A:A, A139, miercoles!C:C, "VENTA") +
 SUMIFS(jueves!D:D, jueves!A:A, A139, jueves!C:C, "VENTA") +
 SUMIFS(viernes!D:D, viernes!A:A, A139, viernes!C:C, "VENTA") +
 SUMIFS(sabado!D:D, sabado!A:A, A139, sabado!C:C, "VENTA")</f>
        <v>0</v>
      </c>
      <c r="D139">
        <f>SUMIFS(lunes!$D:$D, lunes!$A:$A, $A139, lunes!$C:$C, "ENTRADA") +
 SUMIFS(martes!$D:$D, martes!$A:$A, $A139, martes!$C:$C, "ENTRADA") +
 SUMIFS(miercoles!$D:$D, miercoles!$A:$A, $A139, miercoles!$C:$C, "ENTRADA") +
 SUMIFS(jueves!$D:$D, jueves!$A:$A, $A139, jueves!$C:$C, "ENTRADA") +
 SUMIFS(viernes!$D:$D, viernes!$A:$A, $A139, viernes!$C:$C, "ENTRADA") +
 SUMIFS(sabado!$D:$D, sabado!$A:$A, $A139, sabado!$C:$C, "ENTRADA")</f>
        <v>0</v>
      </c>
      <c r="E139">
        <f>SUMIFS(lunes!$D:$D, lunes!$A:$A, $A139, lunes!$C:$C, "SALIDA") +
 SUMIFS(martes!$D:$D, martes!$A:$A, $A139, martes!$C:$C, "SALIDA") +
 SUMIFS(miercoles!$D:$D, miercoles!$A:$A, $A139, miercoles!$C:$C, "SALIDA") +
 SUMIFS(jueves!$D:$D, jueves!$A:$A, $A139, jueves!$C:$C, "SALIDA") +
 SUMIFS(viernes!$D:$D, viernes!$A:$A, $A139, viernes!$C:$C, "SALIDA") +
 SUMIFS(sabado!$D:$D, sabado!$A:$A, $A139, sabado!$C:$C, "SALIDA")</f>
        <v>0</v>
      </c>
      <c r="F139">
        <f t="shared" si="12"/>
        <v>0</v>
      </c>
      <c r="G139">
        <f>IFERROR(VLOOKUP(A139, sabado!A:I, 9, 0),
 IFERROR(VLOOKUP(A139, viernes!A:I, 9, 0),
 IFERROR(VLOOKUP(A139, jueves!A:I, 9, 0),
 IFERROR(VLOOKUP(A139, miercoles!A:I, 9, 0),
 IFERROR(VLOOKUP(A139, martes!A:I, 9, 0),
 IFERROR(VLOOKUP(A139, lunes!A:I, 9, 0),
 B139))))))</f>
        <v>0</v>
      </c>
      <c r="H139">
        <f>VLOOKUP(A139, Configuracion!A:C, 3, FALSE)</f>
        <v>535</v>
      </c>
      <c r="I139">
        <f t="shared" si="13"/>
        <v>0</v>
      </c>
      <c r="J139">
        <f>SUMIFS(lunes!$F:$F, lunes!$A:$A, $A139, lunes!$C:$C, "VENTA") +
 SUMIFS(martes!$F:$F, martes!$A:$A, $A139, martes!$C:$C, "VENTA") +
 SUMIFS(miercoles!$F:$F, miercoles!$A:$A, $A139, miercoles!$C:$C, "VENTA") +
 SUMIFS(jueves!$F:$F, jueves!$A:$A, $A139, jueves!$C:$C, "VENTA") +
 SUMIFS(viernes!$F:$F, viernes!$A:$A, $A139, viernes!$C:$C, "VENTA") +
 SUMIFS(sabado!$F:$F, sabado!$A:$A, $A139, sabado!$C:$C, "VENTA")</f>
        <v>0</v>
      </c>
      <c r="K139">
        <f t="shared" si="14"/>
        <v>0</v>
      </c>
    </row>
    <row r="140" spans="1:11" x14ac:dyDescent="0.3">
      <c r="A140" s="1" t="str">
        <f>Configuracion!A141</f>
        <v>REFRIGERADOR 10.5 PIES ENERLIFE</v>
      </c>
      <c r="B140">
        <f>VLOOKUP(A140, Configuracion!A:B, 2, FALSE)</f>
        <v>1</v>
      </c>
      <c r="C140">
        <f>SUMIFS(lunes!D:D, lunes!A:A, A140, lunes!C:C, "VENTA") +
 SUMIFS(martes!D:D, martes!A:A, A140, martes!C:C, "VENTA") +
 SUMIFS(miercoles!D:D, miercoles!A:A, A140, miercoles!C:C, "VENTA") +
 SUMIFS(jueves!D:D, jueves!A:A, A140, jueves!C:C, "VENTA") +
 SUMIFS(viernes!D:D, viernes!A:A, A140, viernes!C:C, "VENTA") +
 SUMIFS(sabado!D:D, sabado!A:A, A140, sabado!C:C, "VENTA")</f>
        <v>0</v>
      </c>
      <c r="D140">
        <f>SUMIFS(lunes!$D:$D, lunes!$A:$A, $A140, lunes!$C:$C, "ENTRADA") +
 SUMIFS(martes!$D:$D, martes!$A:$A, $A140, martes!$C:$C, "ENTRADA") +
 SUMIFS(miercoles!$D:$D, miercoles!$A:$A, $A140, miercoles!$C:$C, "ENTRADA") +
 SUMIFS(jueves!$D:$D, jueves!$A:$A, $A140, jueves!$C:$C, "ENTRADA") +
 SUMIFS(viernes!$D:$D, viernes!$A:$A, $A140, viernes!$C:$C, "ENTRADA") +
 SUMIFS(sabado!$D:$D, sabado!$A:$A, $A140, sabado!$C:$C, "ENTRADA")</f>
        <v>0</v>
      </c>
      <c r="E140">
        <f>SUMIFS(lunes!$D:$D, lunes!$A:$A, $A140, lunes!$C:$C, "SALIDA") +
 SUMIFS(martes!$D:$D, martes!$A:$A, $A140, martes!$C:$C, "SALIDA") +
 SUMIFS(miercoles!$D:$D, miercoles!$A:$A, $A140, miercoles!$C:$C, "SALIDA") +
 SUMIFS(jueves!$D:$D, jueves!$A:$A, $A140, jueves!$C:$C, "SALIDA") +
 SUMIFS(viernes!$D:$D, viernes!$A:$A, $A140, viernes!$C:$C, "SALIDA") +
 SUMIFS(sabado!$D:$D, sabado!$A:$A, $A140, sabado!$C:$C, "SALIDA")</f>
        <v>0</v>
      </c>
      <c r="F140">
        <f t="shared" si="12"/>
        <v>1</v>
      </c>
      <c r="G140">
        <f>IFERROR(VLOOKUP(A140, sabado!A:I, 9, 0),
 IFERROR(VLOOKUP(A140, viernes!A:I, 9, 0),
 IFERROR(VLOOKUP(A140, jueves!A:I, 9, 0),
 IFERROR(VLOOKUP(A140, miercoles!A:I, 9, 0),
 IFERROR(VLOOKUP(A140, martes!A:I, 9, 0),
 IFERROR(VLOOKUP(A140, lunes!A:I, 9, 0),
 B140))))))</f>
        <v>1</v>
      </c>
      <c r="H140">
        <f>VLOOKUP(A140, Configuracion!A:C, 3, FALSE)</f>
        <v>550</v>
      </c>
      <c r="I140">
        <f t="shared" si="13"/>
        <v>0</v>
      </c>
      <c r="J140">
        <f>SUMIFS(lunes!$F:$F, lunes!$A:$A, $A140, lunes!$C:$C, "VENTA") +
 SUMIFS(martes!$F:$F, martes!$A:$A, $A140, martes!$C:$C, "VENTA") +
 SUMIFS(miercoles!$F:$F, miercoles!$A:$A, $A140, miercoles!$C:$C, "VENTA") +
 SUMIFS(jueves!$F:$F, jueves!$A:$A, $A140, jueves!$C:$C, "VENTA") +
 SUMIFS(viernes!$F:$F, viernes!$A:$A, $A140, viernes!$C:$C, "VENTA") +
 SUMIFS(sabado!$F:$F, sabado!$A:$A, $A140, sabado!$C:$C, "VENTA")</f>
        <v>0</v>
      </c>
      <c r="K140">
        <f t="shared" si="14"/>
        <v>0</v>
      </c>
    </row>
    <row r="141" spans="1:11" x14ac:dyDescent="0.3">
      <c r="A141" s="1" t="str">
        <f>Configuracion!A142</f>
        <v>REFRIGERADOR 15.2 PIES MILEXUS</v>
      </c>
      <c r="B141">
        <f>VLOOKUP(A141, Configuracion!A:B, 2, FALSE)</f>
        <v>0</v>
      </c>
      <c r="C141">
        <f>SUMIFS(lunes!D:D, lunes!A:A, A141, lunes!C:C, "VENTA") +
 SUMIFS(martes!D:D, martes!A:A, A141, martes!C:C, "VENTA") +
 SUMIFS(miercoles!D:D, miercoles!A:A, A141, miercoles!C:C, "VENTA") +
 SUMIFS(jueves!D:D, jueves!A:A, A141, jueves!C:C, "VENTA") +
 SUMIFS(viernes!D:D, viernes!A:A, A141, viernes!C:C, "VENTA") +
 SUMIFS(sabado!D:D, sabado!A:A, A141, sabado!C:C, "VENTA")</f>
        <v>0</v>
      </c>
      <c r="D141">
        <f>SUMIFS(lunes!$D:$D, lunes!$A:$A, $A141, lunes!$C:$C, "ENTRADA") +
 SUMIFS(martes!$D:$D, martes!$A:$A, $A141, martes!$C:$C, "ENTRADA") +
 SUMIFS(miercoles!$D:$D, miercoles!$A:$A, $A141, miercoles!$C:$C, "ENTRADA") +
 SUMIFS(jueves!$D:$D, jueves!$A:$A, $A141, jueves!$C:$C, "ENTRADA") +
 SUMIFS(viernes!$D:$D, viernes!$A:$A, $A141, viernes!$C:$C, "ENTRADA") +
 SUMIFS(sabado!$D:$D, sabado!$A:$A, $A141, sabado!$C:$C, "ENTRADA")</f>
        <v>0</v>
      </c>
      <c r="E141">
        <f>SUMIFS(lunes!$D:$D, lunes!$A:$A, $A141, lunes!$C:$C, "SALIDA") +
 SUMIFS(martes!$D:$D, martes!$A:$A, $A141, martes!$C:$C, "SALIDA") +
 SUMIFS(miercoles!$D:$D, miercoles!$A:$A, $A141, miercoles!$C:$C, "SALIDA") +
 SUMIFS(jueves!$D:$D, jueves!$A:$A, $A141, jueves!$C:$C, "SALIDA") +
 SUMIFS(viernes!$D:$D, viernes!$A:$A, $A141, viernes!$C:$C, "SALIDA") +
 SUMIFS(sabado!$D:$D, sabado!$A:$A, $A141, sabado!$C:$C, "SALIDA")</f>
        <v>0</v>
      </c>
      <c r="F141">
        <f t="shared" si="12"/>
        <v>0</v>
      </c>
      <c r="G141">
        <f>IFERROR(VLOOKUP(A141, sabado!A:I, 9, 0),
 IFERROR(VLOOKUP(A141, viernes!A:I, 9, 0),
 IFERROR(VLOOKUP(A141, jueves!A:I, 9, 0),
 IFERROR(VLOOKUP(A141, miercoles!A:I, 9, 0),
 IFERROR(VLOOKUP(A141, martes!A:I, 9, 0),
 IFERROR(VLOOKUP(A141, lunes!A:I, 9, 0),
 B141))))))</f>
        <v>0</v>
      </c>
      <c r="H141">
        <f>VLOOKUP(A141, Configuracion!A:C, 3, FALSE)</f>
        <v>800</v>
      </c>
      <c r="I141">
        <f t="shared" si="13"/>
        <v>0</v>
      </c>
      <c r="J141">
        <f>SUMIFS(lunes!$F:$F, lunes!$A:$A, $A141, lunes!$C:$C, "VENTA") +
 SUMIFS(martes!$F:$F, martes!$A:$A, $A141, martes!$C:$C, "VENTA") +
 SUMIFS(miercoles!$F:$F, miercoles!$A:$A, $A141, miercoles!$C:$C, "VENTA") +
 SUMIFS(jueves!$F:$F, jueves!$A:$A, $A141, jueves!$C:$C, "VENTA") +
 SUMIFS(viernes!$F:$F, viernes!$A:$A, $A141, viernes!$C:$C, "VENTA") +
 SUMIFS(sabado!$F:$F, sabado!$A:$A, $A141, sabado!$C:$C, "VENTA")</f>
        <v>0</v>
      </c>
      <c r="K141">
        <f t="shared" si="14"/>
        <v>0</v>
      </c>
    </row>
    <row r="142" spans="1:11" x14ac:dyDescent="0.3">
      <c r="A142" s="1" t="str">
        <f>Configuracion!A143</f>
        <v>REFRIGERADOR 11 PIES ROYAL DISPENSADOR</v>
      </c>
      <c r="B142">
        <f>VLOOKUP(A142, Configuracion!A:B, 2, FALSE)</f>
        <v>0</v>
      </c>
      <c r="C142">
        <f>SUMIFS(lunes!D:D, lunes!A:A, A142, lunes!C:C, "VENTA") +
 SUMIFS(martes!D:D, martes!A:A, A142, martes!C:C, "VENTA") +
 SUMIFS(miercoles!D:D, miercoles!A:A, A142, miercoles!C:C, "VENTA") +
 SUMIFS(jueves!D:D, jueves!A:A, A142, jueves!C:C, "VENTA") +
 SUMIFS(viernes!D:D, viernes!A:A, A142, viernes!C:C, "VENTA") +
 SUMIFS(sabado!D:D, sabado!A:A, A142, sabado!C:C, "VENTA")</f>
        <v>0</v>
      </c>
      <c r="D142">
        <f>SUMIFS(lunes!$D:$D, lunes!$A:$A, $A142, lunes!$C:$C, "ENTRADA") +
 SUMIFS(martes!$D:$D, martes!$A:$A, $A142, martes!$C:$C, "ENTRADA") +
 SUMIFS(miercoles!$D:$D, miercoles!$A:$A, $A142, miercoles!$C:$C, "ENTRADA") +
 SUMIFS(jueves!$D:$D, jueves!$A:$A, $A142, jueves!$C:$C, "ENTRADA") +
 SUMIFS(viernes!$D:$D, viernes!$A:$A, $A142, viernes!$C:$C, "ENTRADA") +
 SUMIFS(sabado!$D:$D, sabado!$A:$A, $A142, sabado!$C:$C, "ENTRADA")</f>
        <v>0</v>
      </c>
      <c r="E142">
        <f>SUMIFS(lunes!$D:$D, lunes!$A:$A, $A142, lunes!$C:$C, "SALIDA") +
 SUMIFS(martes!$D:$D, martes!$A:$A, $A142, martes!$C:$C, "SALIDA") +
 SUMIFS(miercoles!$D:$D, miercoles!$A:$A, $A142, miercoles!$C:$C, "SALIDA") +
 SUMIFS(jueves!$D:$D, jueves!$A:$A, $A142, jueves!$C:$C, "SALIDA") +
 SUMIFS(viernes!$D:$D, viernes!$A:$A, $A142, viernes!$C:$C, "SALIDA") +
 SUMIFS(sabado!$D:$D, sabado!$A:$A, $A142, sabado!$C:$C, "SALIDA")</f>
        <v>0</v>
      </c>
      <c r="F142">
        <f t="shared" si="12"/>
        <v>0</v>
      </c>
      <c r="G142">
        <f>IFERROR(VLOOKUP(A142, sabado!A:I, 9, 0),
 IFERROR(VLOOKUP(A142, viernes!A:I, 9, 0),
 IFERROR(VLOOKUP(A142, jueves!A:I, 9, 0),
 IFERROR(VLOOKUP(A142, miercoles!A:I, 9, 0),
 IFERROR(VLOOKUP(A142, martes!A:I, 9, 0),
 IFERROR(VLOOKUP(A142, lunes!A:I, 9, 0),
 B142))))))</f>
        <v>0</v>
      </c>
      <c r="H142">
        <f>VLOOKUP(A142, Configuracion!A:C, 3, FALSE)</f>
        <v>550</v>
      </c>
      <c r="I142">
        <f t="shared" si="13"/>
        <v>0</v>
      </c>
      <c r="J142">
        <f>SUMIFS(lunes!$F:$F, lunes!$A:$A, $A142, lunes!$C:$C, "VENTA") +
 SUMIFS(martes!$F:$F, martes!$A:$A, $A142, martes!$C:$C, "VENTA") +
 SUMIFS(miercoles!$F:$F, miercoles!$A:$A, $A142, miercoles!$C:$C, "VENTA") +
 SUMIFS(jueves!$F:$F, jueves!$A:$A, $A142, jueves!$C:$C, "VENTA") +
 SUMIFS(viernes!$F:$F, viernes!$A:$A, $A142, viernes!$C:$C, "VENTA") +
 SUMIFS(sabado!$F:$F, sabado!$A:$A, $A142, sabado!$C:$C, "VENTA")</f>
        <v>0</v>
      </c>
      <c r="K142">
        <f t="shared" si="14"/>
        <v>0</v>
      </c>
    </row>
    <row r="143" spans="1:11" x14ac:dyDescent="0.3">
      <c r="A143" s="1" t="str">
        <f>Configuracion!A144</f>
        <v xml:space="preserve">REFRIGERADOR MILEXUS 16 PIES </v>
      </c>
      <c r="B143">
        <f>VLOOKUP(A143, Configuracion!A:B, 2, FALSE)</f>
        <v>0</v>
      </c>
      <c r="C143">
        <f>SUMIFS(lunes!D:D, lunes!A:A, A143, lunes!C:C, "VENTA") +
 SUMIFS(martes!D:D, martes!A:A, A143, martes!C:C, "VENTA") +
 SUMIFS(miercoles!D:D, miercoles!A:A, A143, miercoles!C:C, "VENTA") +
 SUMIFS(jueves!D:D, jueves!A:A, A143, jueves!C:C, "VENTA") +
 SUMIFS(viernes!D:D, viernes!A:A, A143, viernes!C:C, "VENTA") +
 SUMIFS(sabado!D:D, sabado!A:A, A143, sabado!C:C, "VENTA")</f>
        <v>0</v>
      </c>
      <c r="D143">
        <f>SUMIFS(lunes!$D:$D, lunes!$A:$A, $A143, lunes!$C:$C, "ENTRADA") +
 SUMIFS(martes!$D:$D, martes!$A:$A, $A143, martes!$C:$C, "ENTRADA") +
 SUMIFS(miercoles!$D:$D, miercoles!$A:$A, $A143, miercoles!$C:$C, "ENTRADA") +
 SUMIFS(jueves!$D:$D, jueves!$A:$A, $A143, jueves!$C:$C, "ENTRADA") +
 SUMIFS(viernes!$D:$D, viernes!$A:$A, $A143, viernes!$C:$C, "ENTRADA") +
 SUMIFS(sabado!$D:$D, sabado!$A:$A, $A143, sabado!$C:$C, "ENTRADA")</f>
        <v>0</v>
      </c>
      <c r="E143">
        <f>SUMIFS(lunes!$D:$D, lunes!$A:$A, $A143, lunes!$C:$C, "SALIDA") +
 SUMIFS(martes!$D:$D, martes!$A:$A, $A143, martes!$C:$C, "SALIDA") +
 SUMIFS(miercoles!$D:$D, miercoles!$A:$A, $A143, miercoles!$C:$C, "SALIDA") +
 SUMIFS(jueves!$D:$D, jueves!$A:$A, $A143, jueves!$C:$C, "SALIDA") +
 SUMIFS(viernes!$D:$D, viernes!$A:$A, $A143, viernes!$C:$C, "SALIDA") +
 SUMIFS(sabado!$D:$D, sabado!$A:$A, $A143, sabado!$C:$C, "SALIDA")</f>
        <v>0</v>
      </c>
      <c r="F143">
        <f t="shared" si="12"/>
        <v>0</v>
      </c>
      <c r="G143">
        <f>IFERROR(VLOOKUP(A143, sabado!A:I, 9, 0),
 IFERROR(VLOOKUP(A143, viernes!A:I, 9, 0),
 IFERROR(VLOOKUP(A143, jueves!A:I, 9, 0),
 IFERROR(VLOOKUP(A143, miercoles!A:I, 9, 0),
 IFERROR(VLOOKUP(A143, martes!A:I, 9, 0),
 IFERROR(VLOOKUP(A143, lunes!A:I, 9, 0),
 B143))))))</f>
        <v>0</v>
      </c>
      <c r="H143">
        <f>VLOOKUP(A143, Configuracion!A:C, 3, FALSE)</f>
        <v>400</v>
      </c>
      <c r="I143">
        <f t="shared" si="13"/>
        <v>0</v>
      </c>
      <c r="J143">
        <f>SUMIFS(lunes!$F:$F, lunes!$A:$A, $A143, lunes!$C:$C, "VENTA") +
 SUMIFS(martes!$F:$F, martes!$A:$A, $A143, martes!$C:$C, "VENTA") +
 SUMIFS(miercoles!$F:$F, miercoles!$A:$A, $A143, miercoles!$C:$C, "VENTA") +
 SUMIFS(jueves!$F:$F, jueves!$A:$A, $A143, jueves!$C:$C, "VENTA") +
 SUMIFS(viernes!$F:$F, viernes!$A:$A, $A143, viernes!$C:$C, "VENTA") +
 SUMIFS(sabado!$F:$F, sabado!$A:$A, $A143, sabado!$C:$C, "VENTA")</f>
        <v>0</v>
      </c>
      <c r="K143">
        <f t="shared" si="14"/>
        <v>0</v>
      </c>
    </row>
    <row r="144" spans="1:11" x14ac:dyDescent="0.3">
      <c r="A144" s="1" t="str">
        <f>Configuracion!A145</f>
        <v>REFRIGERADOR 15 PIES ROYAL</v>
      </c>
      <c r="B144">
        <f>VLOOKUP(A144, Configuracion!A:B, 2, FALSE)</f>
        <v>0</v>
      </c>
      <c r="C144">
        <f>SUMIFS(lunes!D:D, lunes!A:A, A144, lunes!C:C, "VENTA") +
 SUMIFS(martes!D:D, martes!A:A, A144, martes!C:C, "VENTA") +
 SUMIFS(miercoles!D:D, miercoles!A:A, A144, miercoles!C:C, "VENTA") +
 SUMIFS(jueves!D:D, jueves!A:A, A144, jueves!C:C, "VENTA") +
 SUMIFS(viernes!D:D, viernes!A:A, A144, viernes!C:C, "VENTA") +
 SUMIFS(sabado!D:D, sabado!A:A, A144, sabado!C:C, "VENTA")</f>
        <v>0</v>
      </c>
      <c r="D144">
        <f>SUMIFS(lunes!$D:$D, lunes!$A:$A, $A144, lunes!$C:$C, "ENTRADA") +
 SUMIFS(martes!$D:$D, martes!$A:$A, $A144, martes!$C:$C, "ENTRADA") +
 SUMIFS(miercoles!$D:$D, miercoles!$A:$A, $A144, miercoles!$C:$C, "ENTRADA") +
 SUMIFS(jueves!$D:$D, jueves!$A:$A, $A144, jueves!$C:$C, "ENTRADA") +
 SUMIFS(viernes!$D:$D, viernes!$A:$A, $A144, viernes!$C:$C, "ENTRADA") +
 SUMIFS(sabado!$D:$D, sabado!$A:$A, $A144, sabado!$C:$C, "ENTRADA")</f>
        <v>0</v>
      </c>
      <c r="E144">
        <f>SUMIFS(lunes!$D:$D, lunes!$A:$A, $A144, lunes!$C:$C, "SALIDA") +
 SUMIFS(martes!$D:$D, martes!$A:$A, $A144, martes!$C:$C, "SALIDA") +
 SUMIFS(miercoles!$D:$D, miercoles!$A:$A, $A144, miercoles!$C:$C, "SALIDA") +
 SUMIFS(jueves!$D:$D, jueves!$A:$A, $A144, jueves!$C:$C, "SALIDA") +
 SUMIFS(viernes!$D:$D, viernes!$A:$A, $A144, viernes!$C:$C, "SALIDA") +
 SUMIFS(sabado!$D:$D, sabado!$A:$A, $A144, sabado!$C:$C, "SALIDA")</f>
        <v>0</v>
      </c>
      <c r="F144">
        <f t="shared" si="12"/>
        <v>0</v>
      </c>
      <c r="G144">
        <f>IFERROR(VLOOKUP(A144, sabado!A:I, 9, 0),
 IFERROR(VLOOKUP(A144, viernes!A:I, 9, 0),
 IFERROR(VLOOKUP(A144, jueves!A:I, 9, 0),
 IFERROR(VLOOKUP(A144, miercoles!A:I, 9, 0),
 IFERROR(VLOOKUP(A144, martes!A:I, 9, 0),
 IFERROR(VLOOKUP(A144, lunes!A:I, 9, 0),
 B144))))))</f>
        <v>0</v>
      </c>
      <c r="H144">
        <f>VLOOKUP(A144, Configuracion!A:C, 3, FALSE)</f>
        <v>720</v>
      </c>
      <c r="I144">
        <f t="shared" si="13"/>
        <v>0</v>
      </c>
      <c r="J144">
        <f>SUMIFS(lunes!$F:$F, lunes!$A:$A, $A144, lunes!$C:$C, "VENTA") +
 SUMIFS(martes!$F:$F, martes!$A:$A, $A144, martes!$C:$C, "VENTA") +
 SUMIFS(miercoles!$F:$F, miercoles!$A:$A, $A144, miercoles!$C:$C, "VENTA") +
 SUMIFS(jueves!$F:$F, jueves!$A:$A, $A144, jueves!$C:$C, "VENTA") +
 SUMIFS(viernes!$F:$F, viernes!$A:$A, $A144, viernes!$C:$C, "VENTA") +
 SUMIFS(sabado!$F:$F, sabado!$A:$A, $A144, sabado!$C:$C, "VENTA")</f>
        <v>0</v>
      </c>
      <c r="K144">
        <f t="shared" si="14"/>
        <v>0</v>
      </c>
    </row>
    <row r="145" spans="1:11" x14ac:dyDescent="0.3">
      <c r="A145" s="1" t="str">
        <f>Configuracion!A146</f>
        <v>SET DE INSTALACION</v>
      </c>
      <c r="B145">
        <f>VLOOKUP(A145, Configuracion!A:B, 2, FALSE)</f>
        <v>0</v>
      </c>
      <c r="C145">
        <f>SUMIFS(lunes!D:D, lunes!A:A, A145, lunes!C:C, "VENTA") +
 SUMIFS(martes!D:D, martes!A:A, A145, martes!C:C, "VENTA") +
 SUMIFS(miercoles!D:D, miercoles!A:A, A145, miercoles!C:C, "VENTA") +
 SUMIFS(jueves!D:D, jueves!A:A, A145, jueves!C:C, "VENTA") +
 SUMIFS(viernes!D:D, viernes!A:A, A145, viernes!C:C, "VENTA") +
 SUMIFS(sabado!D:D, sabado!A:A, A145, sabado!C:C, "VENTA")</f>
        <v>0</v>
      </c>
      <c r="D145">
        <f>SUMIFS(lunes!$D:$D, lunes!$A:$A, $A145, lunes!$C:$C, "ENTRADA") +
 SUMIFS(martes!$D:$D, martes!$A:$A, $A145, martes!$C:$C, "ENTRADA") +
 SUMIFS(miercoles!$D:$D, miercoles!$A:$A, $A145, miercoles!$C:$C, "ENTRADA") +
 SUMIFS(jueves!$D:$D, jueves!$A:$A, $A145, jueves!$C:$C, "ENTRADA") +
 SUMIFS(viernes!$D:$D, viernes!$A:$A, $A145, viernes!$C:$C, "ENTRADA") +
 SUMIFS(sabado!$D:$D, sabado!$A:$A, $A145, sabado!$C:$C, "ENTRADA")</f>
        <v>0</v>
      </c>
      <c r="E145">
        <f>SUMIFS(lunes!$D:$D, lunes!$A:$A, $A145, lunes!$C:$C, "SALIDA") +
 SUMIFS(martes!$D:$D, martes!$A:$A, $A145, martes!$C:$C, "SALIDA") +
 SUMIFS(miercoles!$D:$D, miercoles!$A:$A, $A145, miercoles!$C:$C, "SALIDA") +
 SUMIFS(jueves!$D:$D, jueves!$A:$A, $A145, jueves!$C:$C, "SALIDA") +
 SUMIFS(viernes!$D:$D, viernes!$A:$A, $A145, viernes!$C:$C, "SALIDA") +
 SUMIFS(sabado!$D:$D, sabado!$A:$A, $A145, sabado!$C:$C, "SALIDA")</f>
        <v>0</v>
      </c>
      <c r="F145">
        <f t="shared" si="12"/>
        <v>0</v>
      </c>
      <c r="G145">
        <f>IFERROR(VLOOKUP(A145, sabado!A:I, 9, 0),
 IFERROR(VLOOKUP(A145, viernes!A:I, 9, 0),
 IFERROR(VLOOKUP(A145, jueves!A:I, 9, 0),
 IFERROR(VLOOKUP(A145, miercoles!A:I, 9, 0),
 IFERROR(VLOOKUP(A145, martes!A:I, 9, 0),
 IFERROR(VLOOKUP(A145, lunes!A:I, 9, 0),
 B145))))))</f>
        <v>0</v>
      </c>
      <c r="H145">
        <f>VLOOKUP(A145, Configuracion!A:C, 3, FALSE)</f>
        <v>18</v>
      </c>
      <c r="I145">
        <f t="shared" si="13"/>
        <v>0</v>
      </c>
      <c r="J145">
        <f>SUMIFS(lunes!$F:$F, lunes!$A:$A, $A145, lunes!$C:$C, "VENTA") +
 SUMIFS(martes!$F:$F, martes!$A:$A, $A145, martes!$C:$C, "VENTA") +
 SUMIFS(miercoles!$F:$F, miercoles!$A:$A, $A145, miercoles!$C:$C, "VENTA") +
 SUMIFS(jueves!$F:$F, jueves!$A:$A, $A145, jueves!$C:$C, "VENTA") +
 SUMIFS(viernes!$F:$F, viernes!$A:$A, $A145, viernes!$C:$C, "VENTA") +
 SUMIFS(sabado!$F:$F, sabado!$A:$A, $A145, sabado!$C:$C, "VENTA")</f>
        <v>0</v>
      </c>
      <c r="K145">
        <f t="shared" si="14"/>
        <v>0</v>
      </c>
    </row>
    <row r="146" spans="1:11" x14ac:dyDescent="0.3">
      <c r="A146" s="1" t="str">
        <f>Configuracion!A147</f>
        <v>SISTEMA FELICITY SOLAR 6 K CON 15K</v>
      </c>
      <c r="B146">
        <f>VLOOKUP(A146, Configuracion!A:B, 2, FALSE)</f>
        <v>1</v>
      </c>
      <c r="C146">
        <f>SUMIFS(lunes!D:D, lunes!A:A, A146, lunes!C:C, "VENTA") +
 SUMIFS(martes!D:D, martes!A:A, A146, martes!C:C, "VENTA") +
 SUMIFS(miercoles!D:D, miercoles!A:A, A146, miercoles!C:C, "VENTA") +
 SUMIFS(jueves!D:D, jueves!A:A, A146, jueves!C:C, "VENTA") +
 SUMIFS(viernes!D:D, viernes!A:A, A146, viernes!C:C, "VENTA") +
 SUMIFS(sabado!D:D, sabado!A:A, A146, sabado!C:C, "VENTA")</f>
        <v>1</v>
      </c>
      <c r="D146">
        <f>SUMIFS(lunes!$D:$D, lunes!$A:$A, $A146, lunes!$C:$C, "ENTRADA") +
 SUMIFS(martes!$D:$D, martes!$A:$A, $A146, martes!$C:$C, "ENTRADA") +
 SUMIFS(miercoles!$D:$D, miercoles!$A:$A, $A146, miercoles!$C:$C, "ENTRADA") +
 SUMIFS(jueves!$D:$D, jueves!$A:$A, $A146, jueves!$C:$C, "ENTRADA") +
 SUMIFS(viernes!$D:$D, viernes!$A:$A, $A146, viernes!$C:$C, "ENTRADA") +
 SUMIFS(sabado!$D:$D, sabado!$A:$A, $A146, sabado!$C:$C, "ENTRADA")</f>
        <v>0</v>
      </c>
      <c r="E146">
        <f>SUMIFS(lunes!$D:$D, lunes!$A:$A, $A146, lunes!$C:$C, "SALIDA") +
 SUMIFS(martes!$D:$D, martes!$A:$A, $A146, martes!$C:$C, "SALIDA") +
 SUMIFS(miercoles!$D:$D, miercoles!$A:$A, $A146, miercoles!$C:$C, "SALIDA") +
 SUMIFS(jueves!$D:$D, jueves!$A:$A, $A146, jueves!$C:$C, "SALIDA") +
 SUMIFS(viernes!$D:$D, viernes!$A:$A, $A146, viernes!$C:$C, "SALIDA") +
 SUMIFS(sabado!$D:$D, sabado!$A:$A, $A146, sabado!$C:$C, "SALIDA")</f>
        <v>0</v>
      </c>
      <c r="F146">
        <f t="shared" si="12"/>
        <v>0</v>
      </c>
      <c r="G146">
        <f>IFERROR(VLOOKUP(A146, sabado!A:I, 9, 0),
 IFERROR(VLOOKUP(A146, viernes!A:I, 9, 0),
 IFERROR(VLOOKUP(A146, jueves!A:I, 9, 0),
 IFERROR(VLOOKUP(A146, miercoles!A:I, 9, 0),
 IFERROR(VLOOKUP(A146, martes!A:I, 9, 0),
 IFERROR(VLOOKUP(A146, lunes!A:I, 9, 0),
 B146))))))</f>
        <v>0</v>
      </c>
      <c r="H146">
        <f>VLOOKUP(A146, Configuracion!A:C, 3, FALSE)</f>
        <v>3150</v>
      </c>
      <c r="I146">
        <f t="shared" si="13"/>
        <v>3150</v>
      </c>
      <c r="J146">
        <f>SUMIFS(lunes!$F:$F, lunes!$A:$A, $A146, lunes!$C:$C, "VENTA") +
 SUMIFS(martes!$F:$F, martes!$A:$A, $A146, martes!$C:$C, "VENTA") +
 SUMIFS(miercoles!$F:$F, miercoles!$A:$A, $A146, miercoles!$C:$C, "VENTA") +
 SUMIFS(jueves!$F:$F, jueves!$A:$A, $A146, jueves!$C:$C, "VENTA") +
 SUMIFS(viernes!$F:$F, viernes!$A:$A, $A146, viernes!$C:$C, "VENTA") +
 SUMIFS(sabado!$F:$F, sabado!$A:$A, $A146, sabado!$C:$C, "VENTA")</f>
        <v>3150</v>
      </c>
      <c r="K146">
        <f t="shared" si="14"/>
        <v>0</v>
      </c>
    </row>
    <row r="147" spans="1:11" x14ac:dyDescent="0.3">
      <c r="A147" s="1" t="str">
        <f>Configuracion!A148</f>
        <v>SISTEMA INFINITY 6 K CON 14</v>
      </c>
      <c r="B147">
        <f>VLOOKUP(A147, Configuracion!A:B, 2, FALSE)</f>
        <v>1</v>
      </c>
      <c r="C147">
        <f>SUMIFS(lunes!D:D, lunes!A:A, A147, lunes!C:C, "VENTA") +
 SUMIFS(martes!D:D, martes!A:A, A147, martes!C:C, "VENTA") +
 SUMIFS(miercoles!D:D, miercoles!A:A, A147, miercoles!C:C, "VENTA") +
 SUMIFS(jueves!D:D, jueves!A:A, A147, jueves!C:C, "VENTA") +
 SUMIFS(viernes!D:D, viernes!A:A, A147, viernes!C:C, "VENTA") +
 SUMIFS(sabado!D:D, sabado!A:A, A147, sabado!C:C, "VENTA")</f>
        <v>0</v>
      </c>
      <c r="D147">
        <f>SUMIFS(lunes!$D:$D, lunes!$A:$A, $A147, lunes!$C:$C, "ENTRADA") +
 SUMIFS(martes!$D:$D, martes!$A:$A, $A147, martes!$C:$C, "ENTRADA") +
 SUMIFS(miercoles!$D:$D, miercoles!$A:$A, $A147, miercoles!$C:$C, "ENTRADA") +
 SUMIFS(jueves!$D:$D, jueves!$A:$A, $A147, jueves!$C:$C, "ENTRADA") +
 SUMIFS(viernes!$D:$D, viernes!$A:$A, $A147, viernes!$C:$C, "ENTRADA") +
 SUMIFS(sabado!$D:$D, sabado!$A:$A, $A147, sabado!$C:$C, "ENTRADA")</f>
        <v>0</v>
      </c>
      <c r="E147">
        <f>SUMIFS(lunes!$D:$D, lunes!$A:$A, $A147, lunes!$C:$C, "SALIDA") +
 SUMIFS(martes!$D:$D, martes!$A:$A, $A147, martes!$C:$C, "SALIDA") +
 SUMIFS(miercoles!$D:$D, miercoles!$A:$A, $A147, miercoles!$C:$C, "SALIDA") +
 SUMIFS(jueves!$D:$D, jueves!$A:$A, $A147, jueves!$C:$C, "SALIDA") +
 SUMIFS(viernes!$D:$D, viernes!$A:$A, $A147, viernes!$C:$C, "SALIDA") +
 SUMIFS(sabado!$D:$D, sabado!$A:$A, $A147, sabado!$C:$C, "SALIDA")</f>
        <v>0</v>
      </c>
      <c r="F147">
        <f t="shared" si="12"/>
        <v>1</v>
      </c>
      <c r="G147">
        <f>IFERROR(VLOOKUP(A147, sabado!A:I, 9, 0),
 IFERROR(VLOOKUP(A147, viernes!A:I, 9, 0),
 IFERROR(VLOOKUP(A147, jueves!A:I, 9, 0),
 IFERROR(VLOOKUP(A147, miercoles!A:I, 9, 0),
 IFERROR(VLOOKUP(A147, martes!A:I, 9, 0),
 IFERROR(VLOOKUP(A147, lunes!A:I, 9, 0),
 B147))))))</f>
        <v>1</v>
      </c>
      <c r="H147">
        <f>VLOOKUP(A147, Configuracion!A:C, 3, FALSE)</f>
        <v>3150</v>
      </c>
      <c r="I147">
        <f t="shared" si="13"/>
        <v>0</v>
      </c>
      <c r="J147">
        <f>SUMIFS(lunes!$F:$F, lunes!$A:$A, $A147, lunes!$C:$C, "VENTA") +
 SUMIFS(martes!$F:$F, martes!$A:$A, $A147, martes!$C:$C, "VENTA") +
 SUMIFS(miercoles!$F:$F, miercoles!$A:$A, $A147, miercoles!$C:$C, "VENTA") +
 SUMIFS(jueves!$F:$F, jueves!$A:$A, $A147, jueves!$C:$C, "VENTA") +
 SUMIFS(viernes!$F:$F, viernes!$A:$A, $A147, viernes!$C:$C, "VENTA") +
 SUMIFS(sabado!$F:$F, sabado!$A:$A, $A147, sabado!$C:$C, "VENTA")</f>
        <v>0</v>
      </c>
      <c r="K147">
        <f t="shared" si="14"/>
        <v>0</v>
      </c>
    </row>
    <row r="148" spans="1:11" x14ac:dyDescent="0.3">
      <c r="A148" s="1" t="str">
        <f>Configuracion!A149</f>
        <v xml:space="preserve">SANDWICHERA </v>
      </c>
      <c r="B148">
        <f>VLOOKUP(A148, Configuracion!A:B, 2, FALSE)</f>
        <v>4</v>
      </c>
      <c r="C148">
        <f>SUMIFS(lunes!D:D, lunes!A:A, A148, lunes!C:C, "VENTA") +
 SUMIFS(martes!D:D, martes!A:A, A148, martes!C:C, "VENTA") +
 SUMIFS(miercoles!D:D, miercoles!A:A, A148, miercoles!C:C, "VENTA") +
 SUMIFS(jueves!D:D, jueves!A:A, A148, jueves!C:C, "VENTA") +
 SUMIFS(viernes!D:D, viernes!A:A, A148, viernes!C:C, "VENTA") +
 SUMIFS(sabado!D:D, sabado!A:A, A148, sabado!C:C, "VENTA")</f>
        <v>0</v>
      </c>
      <c r="D148">
        <f>SUMIFS(lunes!$D:$D, lunes!$A:$A, $A148, lunes!$C:$C, "ENTRADA") +
 SUMIFS(martes!$D:$D, martes!$A:$A, $A148, martes!$C:$C, "ENTRADA") +
 SUMIFS(miercoles!$D:$D, miercoles!$A:$A, $A148, miercoles!$C:$C, "ENTRADA") +
 SUMIFS(jueves!$D:$D, jueves!$A:$A, $A148, jueves!$C:$C, "ENTRADA") +
 SUMIFS(viernes!$D:$D, viernes!$A:$A, $A148, viernes!$C:$C, "ENTRADA") +
 SUMIFS(sabado!$D:$D, sabado!$A:$A, $A148, sabado!$C:$C, "ENTRADA")</f>
        <v>0</v>
      </c>
      <c r="E148">
        <f>SUMIFS(lunes!$D:$D, lunes!$A:$A, $A148, lunes!$C:$C, "SALIDA") +
 SUMIFS(martes!$D:$D, martes!$A:$A, $A148, martes!$C:$C, "SALIDA") +
 SUMIFS(miercoles!$D:$D, miercoles!$A:$A, $A148, miercoles!$C:$C, "SALIDA") +
 SUMIFS(jueves!$D:$D, jueves!$A:$A, $A148, jueves!$C:$C, "SALIDA") +
 SUMIFS(viernes!$D:$D, viernes!$A:$A, $A148, viernes!$C:$C, "SALIDA") +
 SUMIFS(sabado!$D:$D, sabado!$A:$A, $A148, sabado!$C:$C, "SALIDA")</f>
        <v>0</v>
      </c>
      <c r="F148">
        <f t="shared" si="12"/>
        <v>4</v>
      </c>
      <c r="G148">
        <f>IFERROR(VLOOKUP(A148, sabado!A:I, 9, 0),
 IFERROR(VLOOKUP(A148, viernes!A:I, 9, 0),
 IFERROR(VLOOKUP(A148, jueves!A:I, 9, 0),
 IFERROR(VLOOKUP(A148, miercoles!A:I, 9, 0),
 IFERROR(VLOOKUP(A148, martes!A:I, 9, 0),
 IFERROR(VLOOKUP(A148, lunes!A:I, 9, 0),
 B148))))))</f>
        <v>4</v>
      </c>
      <c r="H148">
        <f>VLOOKUP(A148, Configuracion!A:C, 3, FALSE)</f>
        <v>35</v>
      </c>
      <c r="I148">
        <f t="shared" si="13"/>
        <v>0</v>
      </c>
      <c r="J148">
        <f>SUMIFS(lunes!$F:$F, lunes!$A:$A, $A148, lunes!$C:$C, "VENTA") +
 SUMIFS(martes!$F:$F, martes!$A:$A, $A148, martes!$C:$C, "VENTA") +
 SUMIFS(miercoles!$F:$F, miercoles!$A:$A, $A148, miercoles!$C:$C, "VENTA") +
 SUMIFS(jueves!$F:$F, jueves!$A:$A, $A148, jueves!$C:$C, "VENTA") +
 SUMIFS(viernes!$F:$F, viernes!$A:$A, $A148, viernes!$C:$C, "VENTA") +
 SUMIFS(sabado!$F:$F, sabado!$A:$A, $A148, sabado!$C:$C, "VENTA")</f>
        <v>0</v>
      </c>
      <c r="K148">
        <f t="shared" si="14"/>
        <v>0</v>
      </c>
    </row>
    <row r="149" spans="1:11" x14ac:dyDescent="0.3">
      <c r="A149" s="1" t="str">
        <f>Configuracion!A150</f>
        <v>SECADORA A VAPOR EKO</v>
      </c>
      <c r="B149">
        <f>VLOOKUP(A149, Configuracion!A:B, 2, FALSE)</f>
        <v>0</v>
      </c>
      <c r="C149">
        <f>SUMIFS(lunes!D:D, lunes!A:A, A149, lunes!C:C, "VENTA") +
 SUMIFS(martes!D:D, martes!A:A, A149, martes!C:C, "VENTA") +
 SUMIFS(miercoles!D:D, miercoles!A:A, A149, miercoles!C:C, "VENTA") +
 SUMIFS(jueves!D:D, jueves!A:A, A149, jueves!C:C, "VENTA") +
 SUMIFS(viernes!D:D, viernes!A:A, A149, viernes!C:C, "VENTA") +
 SUMIFS(sabado!D:D, sabado!A:A, A149, sabado!C:C, "VENTA")</f>
        <v>0</v>
      </c>
      <c r="D149">
        <f>SUMIFS(lunes!$D:$D, lunes!$A:$A, $A149, lunes!$C:$C, "ENTRADA") +
 SUMIFS(martes!$D:$D, martes!$A:$A, $A149, martes!$C:$C, "ENTRADA") +
 SUMIFS(miercoles!$D:$D, miercoles!$A:$A, $A149, miercoles!$C:$C, "ENTRADA") +
 SUMIFS(jueves!$D:$D, jueves!$A:$A, $A149, jueves!$C:$C, "ENTRADA") +
 SUMIFS(viernes!$D:$D, viernes!$A:$A, $A149, viernes!$C:$C, "ENTRADA") +
 SUMIFS(sabado!$D:$D, sabado!$A:$A, $A149, sabado!$C:$C, "ENTRADA")</f>
        <v>0</v>
      </c>
      <c r="E149">
        <f>SUMIFS(lunes!$D:$D, lunes!$A:$A, $A149, lunes!$C:$C, "SALIDA") +
 SUMIFS(martes!$D:$D, martes!$A:$A, $A149, martes!$C:$C, "SALIDA") +
 SUMIFS(miercoles!$D:$D, miercoles!$A:$A, $A149, miercoles!$C:$C, "SALIDA") +
 SUMIFS(jueves!$D:$D, jueves!$A:$A, $A149, jueves!$C:$C, "SALIDA") +
 SUMIFS(viernes!$D:$D, viernes!$A:$A, $A149, viernes!$C:$C, "SALIDA") +
 SUMIFS(sabado!$D:$D, sabado!$A:$A, $A149, sabado!$C:$C, "SALIDA")</f>
        <v>0</v>
      </c>
      <c r="F149">
        <f t="shared" si="12"/>
        <v>0</v>
      </c>
      <c r="G149">
        <f>IFERROR(VLOOKUP(A149, sabado!A:I, 9, 0),
 IFERROR(VLOOKUP(A149, viernes!A:I, 9, 0),
 IFERROR(VLOOKUP(A149, jueves!A:I, 9, 0),
 IFERROR(VLOOKUP(A149, miercoles!A:I, 9, 0),
 IFERROR(VLOOKUP(A149, martes!A:I, 9, 0),
 IFERROR(VLOOKUP(A149, lunes!A:I, 9, 0),
 B149))))))</f>
        <v>0</v>
      </c>
      <c r="H149">
        <f>VLOOKUP(A149, Configuracion!A:C, 3, FALSE)</f>
        <v>300</v>
      </c>
      <c r="I149">
        <f t="shared" si="13"/>
        <v>0</v>
      </c>
      <c r="J149">
        <f>SUMIFS(lunes!$F:$F, lunes!$A:$A, $A149, lunes!$C:$C, "VENTA") +
 SUMIFS(martes!$F:$F, martes!$A:$A, $A149, martes!$C:$C, "VENTA") +
 SUMIFS(miercoles!$F:$F, miercoles!$A:$A, $A149, miercoles!$C:$C, "VENTA") +
 SUMIFS(jueves!$F:$F, jueves!$A:$A, $A149, jueves!$C:$C, "VENTA") +
 SUMIFS(viernes!$F:$F, viernes!$A:$A, $A149, viernes!$C:$C, "VENTA") +
 SUMIFS(sabado!$F:$F, sabado!$A:$A, $A149, sabado!$C:$C, "VENTA")</f>
        <v>0</v>
      </c>
      <c r="K149">
        <f t="shared" si="14"/>
        <v>0</v>
      </c>
    </row>
    <row r="150" spans="1:11" x14ac:dyDescent="0.3">
      <c r="A150" s="1" t="str">
        <f>Configuracion!A151</f>
        <v>SPLIT 2 T 220V MILEXUS</v>
      </c>
      <c r="B150">
        <f>VLOOKUP(A150, Configuracion!A:B, 2, FALSE)</f>
        <v>1</v>
      </c>
      <c r="C150">
        <f>SUMIFS(lunes!D:D, lunes!A:A, A150, lunes!C:C, "VENTA") +
 SUMIFS(martes!D:D, martes!A:A, A150, martes!C:C, "VENTA") +
 SUMIFS(miercoles!D:D, miercoles!A:A, A150, miercoles!C:C, "VENTA") +
 SUMIFS(jueves!D:D, jueves!A:A, A150, jueves!C:C, "VENTA") +
 SUMIFS(viernes!D:D, viernes!A:A, A150, viernes!C:C, "VENTA") +
 SUMIFS(sabado!D:D, sabado!A:A, A150, sabado!C:C, "VENTA")</f>
        <v>0</v>
      </c>
      <c r="D150">
        <f>SUMIFS(lunes!$D:$D, lunes!$A:$A, $A150, lunes!$C:$C, "ENTRADA") +
 SUMIFS(martes!$D:$D, martes!$A:$A, $A150, martes!$C:$C, "ENTRADA") +
 SUMIFS(miercoles!$D:$D, miercoles!$A:$A, $A150, miercoles!$C:$C, "ENTRADA") +
 SUMIFS(jueves!$D:$D, jueves!$A:$A, $A150, jueves!$C:$C, "ENTRADA") +
 SUMIFS(viernes!$D:$D, viernes!$A:$A, $A150, viernes!$C:$C, "ENTRADA") +
 SUMIFS(sabado!$D:$D, sabado!$A:$A, $A150, sabado!$C:$C, "ENTRADA")</f>
        <v>0</v>
      </c>
      <c r="E150">
        <f>SUMIFS(lunes!$D:$D, lunes!$A:$A, $A150, lunes!$C:$C, "SALIDA") +
 SUMIFS(martes!$D:$D, martes!$A:$A, $A150, martes!$C:$C, "SALIDA") +
 SUMIFS(miercoles!$D:$D, miercoles!$A:$A, $A150, miercoles!$C:$C, "SALIDA") +
 SUMIFS(jueves!$D:$D, jueves!$A:$A, $A150, jueves!$C:$C, "SALIDA") +
 SUMIFS(viernes!$D:$D, viernes!$A:$A, $A150, viernes!$C:$C, "SALIDA") +
 SUMIFS(sabado!$D:$D, sabado!$A:$A, $A150, sabado!$C:$C, "SALIDA")</f>
        <v>0</v>
      </c>
      <c r="F150">
        <f t="shared" si="12"/>
        <v>1</v>
      </c>
      <c r="G150">
        <f>IFERROR(VLOOKUP(A150, sabado!A:I, 9, 0),
 IFERROR(VLOOKUP(A150, viernes!A:I, 9, 0),
 IFERROR(VLOOKUP(A150, jueves!A:I, 9, 0),
 IFERROR(VLOOKUP(A150, miercoles!A:I, 9, 0),
 IFERROR(VLOOKUP(A150, martes!A:I, 9, 0),
 IFERROR(VLOOKUP(A150, lunes!A:I, 9, 0),
 B150))))))</f>
        <v>1</v>
      </c>
      <c r="H150">
        <f>VLOOKUP(A150, Configuracion!A:C, 3, FALSE)</f>
        <v>530</v>
      </c>
      <c r="I150">
        <f t="shared" si="13"/>
        <v>0</v>
      </c>
      <c r="J150">
        <f>SUMIFS(lunes!$F:$F, lunes!$A:$A, $A150, lunes!$C:$C, "VENTA") +
 SUMIFS(martes!$F:$F, martes!$A:$A, $A150, martes!$C:$C, "VENTA") +
 SUMIFS(miercoles!$F:$F, miercoles!$A:$A, $A150, miercoles!$C:$C, "VENTA") +
 SUMIFS(jueves!$F:$F, jueves!$A:$A, $A150, jueves!$C:$C, "VENTA") +
 SUMIFS(viernes!$F:$F, viernes!$A:$A, $A150, viernes!$C:$C, "VENTA") +
 SUMIFS(sabado!$F:$F, sabado!$A:$A, $A150, sabado!$C:$C, "VENTA")</f>
        <v>0</v>
      </c>
      <c r="K150">
        <f t="shared" si="14"/>
        <v>0</v>
      </c>
    </row>
    <row r="151" spans="1:11" x14ac:dyDescent="0.3">
      <c r="A151" s="1" t="str">
        <f>Configuracion!A152</f>
        <v>SUPRESOR AC</v>
      </c>
      <c r="B151">
        <f>VLOOKUP(A151, Configuracion!A:B, 2, FALSE)</f>
        <v>0</v>
      </c>
      <c r="C151">
        <f>SUMIFS(lunes!D:D, lunes!A:A, A151, lunes!C:C, "VENTA") +
 SUMIFS(martes!D:D, martes!A:A, A151, martes!C:C, "VENTA") +
 SUMIFS(miercoles!D:D, miercoles!A:A, A151, miercoles!C:C, "VENTA") +
 SUMIFS(jueves!D:D, jueves!A:A, A151, jueves!C:C, "VENTA") +
 SUMIFS(viernes!D:D, viernes!A:A, A151, viernes!C:C, "VENTA") +
 SUMIFS(sabado!D:D, sabado!A:A, A151, sabado!C:C, "VENTA")</f>
        <v>0</v>
      </c>
      <c r="D151">
        <f>SUMIFS(lunes!$D:$D, lunes!$A:$A, $A151, lunes!$C:$C, "ENTRADA") +
 SUMIFS(martes!$D:$D, martes!$A:$A, $A151, martes!$C:$C, "ENTRADA") +
 SUMIFS(miercoles!$D:$D, miercoles!$A:$A, $A151, miercoles!$C:$C, "ENTRADA") +
 SUMIFS(jueves!$D:$D, jueves!$A:$A, $A151, jueves!$C:$C, "ENTRADA") +
 SUMIFS(viernes!$D:$D, viernes!$A:$A, $A151, viernes!$C:$C, "ENTRADA") +
 SUMIFS(sabado!$D:$D, sabado!$A:$A, $A151, sabado!$C:$C, "ENTRADA")</f>
        <v>0</v>
      </c>
      <c r="E151">
        <f>SUMIFS(lunes!$D:$D, lunes!$A:$A, $A151, lunes!$C:$C, "SALIDA") +
 SUMIFS(martes!$D:$D, martes!$A:$A, $A151, martes!$C:$C, "SALIDA") +
 SUMIFS(miercoles!$D:$D, miercoles!$A:$A, $A151, miercoles!$C:$C, "SALIDA") +
 SUMIFS(jueves!$D:$D, jueves!$A:$A, $A151, jueves!$C:$C, "SALIDA") +
 SUMIFS(viernes!$D:$D, viernes!$A:$A, $A151, viernes!$C:$C, "SALIDA") +
 SUMIFS(sabado!$D:$D, sabado!$A:$A, $A151, sabado!$C:$C, "SALIDA")</f>
        <v>0</v>
      </c>
      <c r="F151">
        <f t="shared" si="12"/>
        <v>0</v>
      </c>
      <c r="G151">
        <f>IFERROR(VLOOKUP(A151, sabado!A:I, 9, 0),
 IFERROR(VLOOKUP(A151, viernes!A:I, 9, 0),
 IFERROR(VLOOKUP(A151, jueves!A:I, 9, 0),
 IFERROR(VLOOKUP(A151, miercoles!A:I, 9, 0),
 IFERROR(VLOOKUP(A151, martes!A:I, 9, 0),
 IFERROR(VLOOKUP(A151, lunes!A:I, 9, 0),
 B151))))))</f>
        <v>0</v>
      </c>
      <c r="H151">
        <f>VLOOKUP(A151, Configuracion!A:C, 3, FALSE)</f>
        <v>0</v>
      </c>
      <c r="I151">
        <f t="shared" si="13"/>
        <v>0</v>
      </c>
      <c r="J151">
        <f>SUMIFS(lunes!$F:$F, lunes!$A:$A, $A151, lunes!$C:$C, "VENTA") +
 SUMIFS(martes!$F:$F, martes!$A:$A, $A151, martes!$C:$C, "VENTA") +
 SUMIFS(miercoles!$F:$F, miercoles!$A:$A, $A151, miercoles!$C:$C, "VENTA") +
 SUMIFS(jueves!$F:$F, jueves!$A:$A, $A151, jueves!$C:$C, "VENTA") +
 SUMIFS(viernes!$F:$F, viernes!$A:$A, $A151, viernes!$C:$C, "VENTA") +
 SUMIFS(sabado!$F:$F, sabado!$A:$A, $A151, sabado!$C:$C, "VENTA")</f>
        <v>0</v>
      </c>
      <c r="K151">
        <f t="shared" si="14"/>
        <v>0</v>
      </c>
    </row>
    <row r="152" spans="1:11" x14ac:dyDescent="0.3">
      <c r="A152" s="1" t="str">
        <f>Configuracion!A153</f>
        <v>SUPRESOR DC</v>
      </c>
      <c r="B152">
        <f>VLOOKUP(A152, Configuracion!A:B, 2, FALSE)</f>
        <v>0</v>
      </c>
      <c r="C152">
        <f>SUMIFS(lunes!D:D, lunes!A:A, A152, lunes!C:C, "VENTA") +
 SUMIFS(martes!D:D, martes!A:A, A152, martes!C:C, "VENTA") +
 SUMIFS(miercoles!D:D, miercoles!A:A, A152, miercoles!C:C, "VENTA") +
 SUMIFS(jueves!D:D, jueves!A:A, A152, jueves!C:C, "VENTA") +
 SUMIFS(viernes!D:D, viernes!A:A, A152, viernes!C:C, "VENTA") +
 SUMIFS(sabado!D:D, sabado!A:A, A152, sabado!C:C, "VENTA")</f>
        <v>0</v>
      </c>
      <c r="D152">
        <f>SUMIFS(lunes!$D:$D, lunes!$A:$A, $A152, lunes!$C:$C, "ENTRADA") +
 SUMIFS(martes!$D:$D, martes!$A:$A, $A152, martes!$C:$C, "ENTRADA") +
 SUMIFS(miercoles!$D:$D, miercoles!$A:$A, $A152, miercoles!$C:$C, "ENTRADA") +
 SUMIFS(jueves!$D:$D, jueves!$A:$A, $A152, jueves!$C:$C, "ENTRADA") +
 SUMIFS(viernes!$D:$D, viernes!$A:$A, $A152, viernes!$C:$C, "ENTRADA") +
 SUMIFS(sabado!$D:$D, sabado!$A:$A, $A152, sabado!$C:$C, "ENTRADA")</f>
        <v>0</v>
      </c>
      <c r="E152">
        <f>SUMIFS(lunes!$D:$D, lunes!$A:$A, $A152, lunes!$C:$C, "SALIDA") +
 SUMIFS(martes!$D:$D, martes!$A:$A, $A152, martes!$C:$C, "SALIDA") +
 SUMIFS(miercoles!$D:$D, miercoles!$A:$A, $A152, miercoles!$C:$C, "SALIDA") +
 SUMIFS(jueves!$D:$D, jueves!$A:$A, $A152, jueves!$C:$C, "SALIDA") +
 SUMIFS(viernes!$D:$D, viernes!$A:$A, $A152, viernes!$C:$C, "SALIDA") +
 SUMIFS(sabado!$D:$D, sabado!$A:$A, $A152, sabado!$C:$C, "SALIDA")</f>
        <v>0</v>
      </c>
      <c r="F152">
        <f t="shared" si="12"/>
        <v>0</v>
      </c>
      <c r="G152">
        <f>IFERROR(VLOOKUP(A152, sabado!A:I, 9, 0),
 IFERROR(VLOOKUP(A152, viernes!A:I, 9, 0),
 IFERROR(VLOOKUP(A152, jueves!A:I, 9, 0),
 IFERROR(VLOOKUP(A152, miercoles!A:I, 9, 0),
 IFERROR(VLOOKUP(A152, martes!A:I, 9, 0),
 IFERROR(VLOOKUP(A152, lunes!A:I, 9, 0),
 B152))))))</f>
        <v>0</v>
      </c>
      <c r="H152">
        <f>VLOOKUP(A152, Configuracion!A:C, 3, FALSE)</f>
        <v>0</v>
      </c>
      <c r="I152">
        <f t="shared" si="13"/>
        <v>0</v>
      </c>
      <c r="J152">
        <f>SUMIFS(lunes!$F:$F, lunes!$A:$A, $A152, lunes!$C:$C, "VENTA") +
 SUMIFS(martes!$F:$F, martes!$A:$A, $A152, martes!$C:$C, "VENTA") +
 SUMIFS(miercoles!$F:$F, miercoles!$A:$A, $A152, miercoles!$C:$C, "VENTA") +
 SUMIFS(jueves!$F:$F, jueves!$A:$A, $A152, jueves!$C:$C, "VENTA") +
 SUMIFS(viernes!$F:$F, viernes!$A:$A, $A152, viernes!$C:$C, "VENTA") +
 SUMIFS(sabado!$F:$F, sabado!$A:$A, $A152, sabado!$C:$C, "VENTA")</f>
        <v>0</v>
      </c>
      <c r="K152">
        <f t="shared" si="14"/>
        <v>0</v>
      </c>
    </row>
    <row r="153" spans="1:11" x14ac:dyDescent="0.3">
      <c r="A153" s="1" t="str">
        <f>Configuracion!A154</f>
        <v>SPLIT MILEXUS 1 T 110 VOLT</v>
      </c>
      <c r="B153">
        <f>VLOOKUP(A153, Configuracion!A:B, 2, FALSE)</f>
        <v>0</v>
      </c>
      <c r="C153">
        <f>SUMIFS(lunes!D:D, lunes!A:A, A153, lunes!C:C, "VENTA") +
 SUMIFS(martes!D:D, martes!A:A, A153, martes!C:C, "VENTA") +
 SUMIFS(miercoles!D:D, miercoles!A:A, A153, miercoles!C:C, "VENTA") +
 SUMIFS(jueves!D:D, jueves!A:A, A153, jueves!C:C, "VENTA") +
 SUMIFS(viernes!D:D, viernes!A:A, A153, viernes!C:C, "VENTA") +
 SUMIFS(sabado!D:D, sabado!A:A, A153, sabado!C:C, "VENTA")</f>
        <v>0</v>
      </c>
      <c r="D153">
        <f>SUMIFS(lunes!$D:$D, lunes!$A:$A, $A153, lunes!$C:$C, "ENTRADA") +
 SUMIFS(martes!$D:$D, martes!$A:$A, $A153, martes!$C:$C, "ENTRADA") +
 SUMIFS(miercoles!$D:$D, miercoles!$A:$A, $A153, miercoles!$C:$C, "ENTRADA") +
 SUMIFS(jueves!$D:$D, jueves!$A:$A, $A153, jueves!$C:$C, "ENTRADA") +
 SUMIFS(viernes!$D:$D, viernes!$A:$A, $A153, viernes!$C:$C, "ENTRADA") +
 SUMIFS(sabado!$D:$D, sabado!$A:$A, $A153, sabado!$C:$C, "ENTRADA")</f>
        <v>0</v>
      </c>
      <c r="E153">
        <f>SUMIFS(lunes!$D:$D, lunes!$A:$A, $A153, lunes!$C:$C, "SALIDA") +
 SUMIFS(martes!$D:$D, martes!$A:$A, $A153, martes!$C:$C, "SALIDA") +
 SUMIFS(miercoles!$D:$D, miercoles!$A:$A, $A153, miercoles!$C:$C, "SALIDA") +
 SUMIFS(jueves!$D:$D, jueves!$A:$A, $A153, jueves!$C:$C, "SALIDA") +
 SUMIFS(viernes!$D:$D, viernes!$A:$A, $A153, viernes!$C:$C, "SALIDA") +
 SUMIFS(sabado!$D:$D, sabado!$A:$A, $A153, sabado!$C:$C, "SALIDA")</f>
        <v>0</v>
      </c>
      <c r="F153">
        <f t="shared" si="12"/>
        <v>0</v>
      </c>
      <c r="G153">
        <f>IFERROR(VLOOKUP(A153, sabado!A:I, 9, 0),
 IFERROR(VLOOKUP(A153, viernes!A:I, 9, 0),
 IFERROR(VLOOKUP(A153, jueves!A:I, 9, 0),
 IFERROR(VLOOKUP(A153, miercoles!A:I, 9, 0),
 IFERROR(VLOOKUP(A153, martes!A:I, 9, 0),
 IFERROR(VLOOKUP(A153, lunes!A:I, 9, 0),
 B153))))))</f>
        <v>0</v>
      </c>
      <c r="H153">
        <f>VLOOKUP(A153, Configuracion!A:C, 3, FALSE)</f>
        <v>280</v>
      </c>
      <c r="I153">
        <f t="shared" si="13"/>
        <v>0</v>
      </c>
      <c r="J153">
        <f>SUMIFS(lunes!$F:$F, lunes!$A:$A, $A153, lunes!$C:$C, "VENTA") +
 SUMIFS(martes!$F:$F, martes!$A:$A, $A153, martes!$C:$C, "VENTA") +
 SUMIFS(miercoles!$F:$F, miercoles!$A:$A, $A153, miercoles!$C:$C, "VENTA") +
 SUMIFS(jueves!$F:$F, jueves!$A:$A, $A153, jueves!$C:$C, "VENTA") +
 SUMIFS(viernes!$F:$F, viernes!$A:$A, $A153, viernes!$C:$C, "VENTA") +
 SUMIFS(sabado!$F:$F, sabado!$A:$A, $A153, sabado!$C:$C, "VENTA")</f>
        <v>0</v>
      </c>
      <c r="K153">
        <f t="shared" si="14"/>
        <v>0</v>
      </c>
    </row>
    <row r="154" spans="1:11" x14ac:dyDescent="0.3">
      <c r="A154" s="1" t="str">
        <f>Configuracion!A155</f>
        <v>SPLIT MILEXUS 1 T 220 VOLT</v>
      </c>
      <c r="B154">
        <f>VLOOKUP(A154, Configuracion!A:B, 2, FALSE)</f>
        <v>2</v>
      </c>
      <c r="C154">
        <f>SUMIFS(lunes!D:D, lunes!A:A, A154, lunes!C:C, "VENTA") +
 SUMIFS(martes!D:D, martes!A:A, A154, martes!C:C, "VENTA") +
 SUMIFS(miercoles!D:D, miercoles!A:A, A154, miercoles!C:C, "VENTA") +
 SUMIFS(jueves!D:D, jueves!A:A, A154, jueves!C:C, "VENTA") +
 SUMIFS(viernes!D:D, viernes!A:A, A154, viernes!C:C, "VENTA") +
 SUMIFS(sabado!D:D, sabado!A:A, A154, sabado!C:C, "VENTA")</f>
        <v>0</v>
      </c>
      <c r="D154">
        <f>SUMIFS(lunes!$D:$D, lunes!$A:$A, $A154, lunes!$C:$C, "ENTRADA") +
 SUMIFS(martes!$D:$D, martes!$A:$A, $A154, martes!$C:$C, "ENTRADA") +
 SUMIFS(miercoles!$D:$D, miercoles!$A:$A, $A154, miercoles!$C:$C, "ENTRADA") +
 SUMIFS(jueves!$D:$D, jueves!$A:$A, $A154, jueves!$C:$C, "ENTRADA") +
 SUMIFS(viernes!$D:$D, viernes!$A:$A, $A154, viernes!$C:$C, "ENTRADA") +
 SUMIFS(sabado!$D:$D, sabado!$A:$A, $A154, sabado!$C:$C, "ENTRADA")</f>
        <v>0</v>
      </c>
      <c r="E154">
        <f>SUMIFS(lunes!$D:$D, lunes!$A:$A, $A154, lunes!$C:$C, "SALIDA") +
 SUMIFS(martes!$D:$D, martes!$A:$A, $A154, martes!$C:$C, "SALIDA") +
 SUMIFS(miercoles!$D:$D, miercoles!$A:$A, $A154, miercoles!$C:$C, "SALIDA") +
 SUMIFS(jueves!$D:$D, jueves!$A:$A, $A154, jueves!$C:$C, "SALIDA") +
 SUMIFS(viernes!$D:$D, viernes!$A:$A, $A154, viernes!$C:$C, "SALIDA") +
 SUMIFS(sabado!$D:$D, sabado!$A:$A, $A154, sabado!$C:$C, "SALIDA")</f>
        <v>0</v>
      </c>
      <c r="F154">
        <f t="shared" si="12"/>
        <v>2</v>
      </c>
      <c r="G154">
        <f>IFERROR(VLOOKUP(A154, sabado!A:I, 9, 0),
 IFERROR(VLOOKUP(A154, viernes!A:I, 9, 0),
 IFERROR(VLOOKUP(A154, jueves!A:I, 9, 0),
 IFERROR(VLOOKUP(A154, miercoles!A:I, 9, 0),
 IFERROR(VLOOKUP(A154, martes!A:I, 9, 0),
 IFERROR(VLOOKUP(A154, lunes!A:I, 9, 0),
 B154))))))</f>
        <v>2</v>
      </c>
      <c r="H154">
        <f>VLOOKUP(A154, Configuracion!A:C, 3, FALSE)</f>
        <v>260</v>
      </c>
      <c r="I154">
        <f t="shared" si="13"/>
        <v>0</v>
      </c>
      <c r="J154">
        <f>SUMIFS(lunes!$F:$F, lunes!$A:$A, $A154, lunes!$C:$C, "VENTA") +
 SUMIFS(martes!$F:$F, martes!$A:$A, $A154, martes!$C:$C, "VENTA") +
 SUMIFS(miercoles!$F:$F, miercoles!$A:$A, $A154, miercoles!$C:$C, "VENTA") +
 SUMIFS(jueves!$F:$F, jueves!$A:$A, $A154, jueves!$C:$C, "VENTA") +
 SUMIFS(viernes!$F:$F, viernes!$A:$A, $A154, viernes!$C:$C, "VENTA") +
 SUMIFS(sabado!$F:$F, sabado!$A:$A, $A154, sabado!$C:$C, "VENTA")</f>
        <v>0</v>
      </c>
      <c r="K154">
        <f t="shared" si="14"/>
        <v>0</v>
      </c>
    </row>
    <row r="155" spans="1:11" x14ac:dyDescent="0.3">
      <c r="A155" s="1" t="str">
        <f>Configuracion!A156</f>
        <v>SPLIT 1 T MILEXUS INVERTER</v>
      </c>
      <c r="B155">
        <f>VLOOKUP(A155, Configuracion!A:B, 2, FALSE)</f>
        <v>0</v>
      </c>
      <c r="C155">
        <f>SUMIFS(lunes!D:D, lunes!A:A, A155, lunes!C:C, "VENTA") +
 SUMIFS(martes!D:D, martes!A:A, A155, martes!C:C, "VENTA") +
 SUMIFS(miercoles!D:D, miercoles!A:A, A155, miercoles!C:C, "VENTA") +
 SUMIFS(jueves!D:D, jueves!A:A, A155, jueves!C:C, "VENTA") +
 SUMIFS(viernes!D:D, viernes!A:A, A155, viernes!C:C, "VENTA") +
 SUMIFS(sabado!D:D, sabado!A:A, A155, sabado!C:C, "VENTA")</f>
        <v>0</v>
      </c>
      <c r="D155">
        <f>SUMIFS(lunes!$D:$D, lunes!$A:$A, $A155, lunes!$C:$C, "ENTRADA") +
 SUMIFS(martes!$D:$D, martes!$A:$A, $A155, martes!$C:$C, "ENTRADA") +
 SUMIFS(miercoles!$D:$D, miercoles!$A:$A, $A155, miercoles!$C:$C, "ENTRADA") +
 SUMIFS(jueves!$D:$D, jueves!$A:$A, $A155, jueves!$C:$C, "ENTRADA") +
 SUMIFS(viernes!$D:$D, viernes!$A:$A, $A155, viernes!$C:$C, "ENTRADA") +
 SUMIFS(sabado!$D:$D, sabado!$A:$A, $A155, sabado!$C:$C, "ENTRADA")</f>
        <v>0</v>
      </c>
      <c r="E155">
        <f>SUMIFS(lunes!$D:$D, lunes!$A:$A, $A155, lunes!$C:$C, "SALIDA") +
 SUMIFS(martes!$D:$D, martes!$A:$A, $A155, martes!$C:$C, "SALIDA") +
 SUMIFS(miercoles!$D:$D, miercoles!$A:$A, $A155, miercoles!$C:$C, "SALIDA") +
 SUMIFS(jueves!$D:$D, jueves!$A:$A, $A155, jueves!$C:$C, "SALIDA") +
 SUMIFS(viernes!$D:$D, viernes!$A:$A, $A155, viernes!$C:$C, "SALIDA") +
 SUMIFS(sabado!$D:$D, sabado!$A:$A, $A155, sabado!$C:$C, "SALIDA")</f>
        <v>0</v>
      </c>
      <c r="F155">
        <f t="shared" si="12"/>
        <v>0</v>
      </c>
      <c r="G155">
        <f>IFERROR(VLOOKUP(A155, sabado!A:I, 9, 0),
 IFERROR(VLOOKUP(A155, viernes!A:I, 9, 0),
 IFERROR(VLOOKUP(A155, jueves!A:I, 9, 0),
 IFERROR(VLOOKUP(A155, miercoles!A:I, 9, 0),
 IFERROR(VLOOKUP(A155, martes!A:I, 9, 0),
 IFERROR(VLOOKUP(A155, lunes!A:I, 9, 0),
 B155))))))</f>
        <v>0</v>
      </c>
      <c r="H155">
        <f>VLOOKUP(A155, Configuracion!A:C, 3, FALSE)</f>
        <v>300</v>
      </c>
      <c r="I155">
        <f t="shared" si="13"/>
        <v>0</v>
      </c>
      <c r="J155">
        <f>SUMIFS(lunes!$F:$F, lunes!$A:$A, $A155, lunes!$C:$C, "VENTA") +
 SUMIFS(martes!$F:$F, martes!$A:$A, $A155, martes!$C:$C, "VENTA") +
 SUMIFS(miercoles!$F:$F, miercoles!$A:$A, $A155, miercoles!$C:$C, "VENTA") +
 SUMIFS(jueves!$F:$F, jueves!$A:$A, $A155, jueves!$C:$C, "VENTA") +
 SUMIFS(viernes!$F:$F, viernes!$A:$A, $A155, viernes!$C:$C, "VENTA") +
 SUMIFS(sabado!$F:$F, sabado!$A:$A, $A155, sabado!$C:$C, "VENTA")</f>
        <v>0</v>
      </c>
      <c r="K155">
        <f t="shared" si="14"/>
        <v>0</v>
      </c>
    </row>
    <row r="156" spans="1:11" x14ac:dyDescent="0.3">
      <c r="A156" s="1" t="str">
        <f>Configuracion!A157</f>
        <v>SILLA GIRATORIA</v>
      </c>
      <c r="B156">
        <f>VLOOKUP(A156, Configuracion!A:B, 2, FALSE)</f>
        <v>0</v>
      </c>
      <c r="C156">
        <f>SUMIFS(lunes!D:D, lunes!A:A, A156, lunes!C:C, "VENTA") +
 SUMIFS(martes!D:D, martes!A:A, A156, martes!C:C, "VENTA") +
 SUMIFS(miercoles!D:D, miercoles!A:A, A156, miercoles!C:C, "VENTA") +
 SUMIFS(jueves!D:D, jueves!A:A, A156, jueves!C:C, "VENTA") +
 SUMIFS(viernes!D:D, viernes!A:A, A156, viernes!C:C, "VENTA") +
 SUMIFS(sabado!D:D, sabado!A:A, A156, sabado!C:C, "VENTA")</f>
        <v>0</v>
      </c>
      <c r="D156">
        <f>SUMIFS(lunes!$D:$D, lunes!$A:$A, $A156, lunes!$C:$C, "ENTRADA") +
 SUMIFS(martes!$D:$D, martes!$A:$A, $A156, martes!$C:$C, "ENTRADA") +
 SUMIFS(miercoles!$D:$D, miercoles!$A:$A, $A156, miercoles!$C:$C, "ENTRADA") +
 SUMIFS(jueves!$D:$D, jueves!$A:$A, $A156, jueves!$C:$C, "ENTRADA") +
 SUMIFS(viernes!$D:$D, viernes!$A:$A, $A156, viernes!$C:$C, "ENTRADA") +
 SUMIFS(sabado!$D:$D, sabado!$A:$A, $A156, sabado!$C:$C, "ENTRADA")</f>
        <v>0</v>
      </c>
      <c r="E156">
        <f>SUMIFS(lunes!$D:$D, lunes!$A:$A, $A156, lunes!$C:$C, "SALIDA") +
 SUMIFS(martes!$D:$D, martes!$A:$A, $A156, martes!$C:$C, "SALIDA") +
 SUMIFS(miercoles!$D:$D, miercoles!$A:$A, $A156, miercoles!$C:$C, "SALIDA") +
 SUMIFS(jueves!$D:$D, jueves!$A:$A, $A156, jueves!$C:$C, "SALIDA") +
 SUMIFS(viernes!$D:$D, viernes!$A:$A, $A156, viernes!$C:$C, "SALIDA") +
 SUMIFS(sabado!$D:$D, sabado!$A:$A, $A156, sabado!$C:$C, "SALIDA")</f>
        <v>0</v>
      </c>
      <c r="F156">
        <f t="shared" si="12"/>
        <v>0</v>
      </c>
      <c r="G156">
        <f>IFERROR(VLOOKUP(A156, sabado!A:I, 9, 0),
 IFERROR(VLOOKUP(A156, viernes!A:I, 9, 0),
 IFERROR(VLOOKUP(A156, jueves!A:I, 9, 0),
 IFERROR(VLOOKUP(A156, miercoles!A:I, 9, 0),
 IFERROR(VLOOKUP(A156, martes!A:I, 9, 0),
 IFERROR(VLOOKUP(A156, lunes!A:I, 9, 0),
 B156))))))</f>
        <v>0</v>
      </c>
      <c r="H156">
        <f>VLOOKUP(A156, Configuracion!A:C, 3, FALSE)</f>
        <v>100</v>
      </c>
      <c r="I156">
        <f t="shared" si="13"/>
        <v>0</v>
      </c>
      <c r="J156">
        <f>SUMIFS(lunes!$F:$F, lunes!$A:$A, $A156, lunes!$C:$C, "VENTA") +
 SUMIFS(martes!$F:$F, martes!$A:$A, $A156, martes!$C:$C, "VENTA") +
 SUMIFS(miercoles!$F:$F, miercoles!$A:$A, $A156, miercoles!$C:$C, "VENTA") +
 SUMIFS(jueves!$F:$F, jueves!$A:$A, $A156, jueves!$C:$C, "VENTA") +
 SUMIFS(viernes!$F:$F, viernes!$A:$A, $A156, viernes!$C:$C, "VENTA") +
 SUMIFS(sabado!$F:$F, sabado!$A:$A, $A156, sabado!$C:$C, "VENTA")</f>
        <v>0</v>
      </c>
      <c r="K156">
        <f t="shared" si="14"/>
        <v>0</v>
      </c>
    </row>
    <row r="157" spans="1:11" x14ac:dyDescent="0.3">
      <c r="A157" s="1" t="str">
        <f>Configuracion!A158</f>
        <v>SPLIT 1 T MILEXUS 220 V INVERTER</v>
      </c>
      <c r="B157">
        <f>VLOOKUP(A157, Configuracion!A:B, 2, FALSE)</f>
        <v>0</v>
      </c>
      <c r="C157">
        <f>SUMIFS(lunes!D:D, lunes!A:A, A157, lunes!C:C, "VENTA") +
 SUMIFS(martes!D:D, martes!A:A, A157, martes!C:C, "VENTA") +
 SUMIFS(miercoles!D:D, miercoles!A:A, A157, miercoles!C:C, "VENTA") +
 SUMIFS(jueves!D:D, jueves!A:A, A157, jueves!C:C, "VENTA") +
 SUMIFS(viernes!D:D, viernes!A:A, A157, viernes!C:C, "VENTA") +
 SUMIFS(sabado!D:D, sabado!A:A, A157, sabado!C:C, "VENTA")</f>
        <v>0</v>
      </c>
      <c r="D157">
        <f>SUMIFS(lunes!$D:$D, lunes!$A:$A, $A157, lunes!$C:$C, "ENTRADA") +
 SUMIFS(martes!$D:$D, martes!$A:$A, $A157, martes!$C:$C, "ENTRADA") +
 SUMIFS(miercoles!$D:$D, miercoles!$A:$A, $A157, miercoles!$C:$C, "ENTRADA") +
 SUMIFS(jueves!$D:$D, jueves!$A:$A, $A157, jueves!$C:$C, "ENTRADA") +
 SUMIFS(viernes!$D:$D, viernes!$A:$A, $A157, viernes!$C:$C, "ENTRADA") +
 SUMIFS(sabado!$D:$D, sabado!$A:$A, $A157, sabado!$C:$C, "ENTRADA")</f>
        <v>0</v>
      </c>
      <c r="E157">
        <f>SUMIFS(lunes!$D:$D, lunes!$A:$A, $A157, lunes!$C:$C, "SALIDA") +
 SUMIFS(martes!$D:$D, martes!$A:$A, $A157, martes!$C:$C, "SALIDA") +
 SUMIFS(miercoles!$D:$D, miercoles!$A:$A, $A157, miercoles!$C:$C, "SALIDA") +
 SUMIFS(jueves!$D:$D, jueves!$A:$A, $A157, jueves!$C:$C, "SALIDA") +
 SUMIFS(viernes!$D:$D, viernes!$A:$A, $A157, viernes!$C:$C, "SALIDA") +
 SUMIFS(sabado!$D:$D, sabado!$A:$A, $A157, sabado!$C:$C, "SALIDA")</f>
        <v>0</v>
      </c>
      <c r="F157">
        <f t="shared" si="12"/>
        <v>0</v>
      </c>
      <c r="G157">
        <f>IFERROR(VLOOKUP(A157, sabado!A:I, 9, 0),
 IFERROR(VLOOKUP(A157, viernes!A:I, 9, 0),
 IFERROR(VLOOKUP(A157, jueves!A:I, 9, 0),
 IFERROR(VLOOKUP(A157, miercoles!A:I, 9, 0),
 IFERROR(VLOOKUP(A157, martes!A:I, 9, 0),
 IFERROR(VLOOKUP(A157, lunes!A:I, 9, 0),
 B157))))))</f>
        <v>0</v>
      </c>
      <c r="H157">
        <f>VLOOKUP(A157, Configuracion!A:C, 3, FALSE)</f>
        <v>300</v>
      </c>
      <c r="I157">
        <f t="shared" si="13"/>
        <v>0</v>
      </c>
      <c r="J157">
        <f>SUMIFS(lunes!$F:$F, lunes!$A:$A, $A157, lunes!$C:$C, "VENTA") +
 SUMIFS(martes!$F:$F, martes!$A:$A, $A157, martes!$C:$C, "VENTA") +
 SUMIFS(miercoles!$F:$F, miercoles!$A:$A, $A157, miercoles!$C:$C, "VENTA") +
 SUMIFS(jueves!$F:$F, jueves!$A:$A, $A157, jueves!$C:$C, "VENTA") +
 SUMIFS(viernes!$F:$F, viernes!$A:$A, $A157, viernes!$C:$C, "VENTA") +
 SUMIFS(sabado!$F:$F, sabado!$A:$A, $A157, sabado!$C:$C, "VENTA")</f>
        <v>0</v>
      </c>
      <c r="K157">
        <f t="shared" si="14"/>
        <v>0</v>
      </c>
    </row>
    <row r="158" spans="1:11" x14ac:dyDescent="0.3">
      <c r="A158" s="1" t="str">
        <f>Configuracion!A159</f>
        <v>TV ROYAL 65</v>
      </c>
      <c r="B158">
        <f>VLOOKUP(A158, Configuracion!A:B, 2, FALSE)</f>
        <v>0</v>
      </c>
      <c r="C158">
        <f>SUMIFS(lunes!D:D, lunes!A:A, A158, lunes!C:C, "VENTA") +
 SUMIFS(martes!D:D, martes!A:A, A158, martes!C:C, "VENTA") +
 SUMIFS(miercoles!D:D, miercoles!A:A, A158, miercoles!C:C, "VENTA") +
 SUMIFS(jueves!D:D, jueves!A:A, A158, jueves!C:C, "VENTA") +
 SUMIFS(viernes!D:D, viernes!A:A, A158, viernes!C:C, "VENTA") +
 SUMIFS(sabado!D:D, sabado!A:A, A158, sabado!C:C, "VENTA")</f>
        <v>0</v>
      </c>
      <c r="D158">
        <f>SUMIFS(lunes!$D:$D, lunes!$A:$A, $A158, lunes!$C:$C, "ENTRADA") +
 SUMIFS(martes!$D:$D, martes!$A:$A, $A158, martes!$C:$C, "ENTRADA") +
 SUMIFS(miercoles!$D:$D, miercoles!$A:$A, $A158, miercoles!$C:$C, "ENTRADA") +
 SUMIFS(jueves!$D:$D, jueves!$A:$A, $A158, jueves!$C:$C, "ENTRADA") +
 SUMIFS(viernes!$D:$D, viernes!$A:$A, $A158, viernes!$C:$C, "ENTRADA") +
 SUMIFS(sabado!$D:$D, sabado!$A:$A, $A158, sabado!$C:$C, "ENTRADA")</f>
        <v>0</v>
      </c>
      <c r="E158">
        <f>SUMIFS(lunes!$D:$D, lunes!$A:$A, $A158, lunes!$C:$C, "SALIDA") +
 SUMIFS(martes!$D:$D, martes!$A:$A, $A158, martes!$C:$C, "SALIDA") +
 SUMIFS(miercoles!$D:$D, miercoles!$A:$A, $A158, miercoles!$C:$C, "SALIDA") +
 SUMIFS(jueves!$D:$D, jueves!$A:$A, $A158, jueves!$C:$C, "SALIDA") +
 SUMIFS(viernes!$D:$D, viernes!$A:$A, $A158, viernes!$C:$C, "SALIDA") +
 SUMIFS(sabado!$D:$D, sabado!$A:$A, $A158, sabado!$C:$C, "SALIDA")</f>
        <v>0</v>
      </c>
      <c r="F158">
        <f t="shared" si="12"/>
        <v>0</v>
      </c>
      <c r="G158">
        <f>IFERROR(VLOOKUP(A158, sabado!A:I, 9, 0),
 IFERROR(VLOOKUP(A158, viernes!A:I, 9, 0),
 IFERROR(VLOOKUP(A158, jueves!A:I, 9, 0),
 IFERROR(VLOOKUP(A158, miercoles!A:I, 9, 0),
 IFERROR(VLOOKUP(A158, martes!A:I, 9, 0),
 IFERROR(VLOOKUP(A158, lunes!A:I, 9, 0),
 B158))))))</f>
        <v>0</v>
      </c>
      <c r="H158">
        <f>VLOOKUP(A158, Configuracion!A:C, 3, FALSE)</f>
        <v>425</v>
      </c>
      <c r="I158">
        <f t="shared" si="13"/>
        <v>0</v>
      </c>
      <c r="J158">
        <f>SUMIFS(lunes!$F:$F, lunes!$A:$A, $A158, lunes!$C:$C, "VENTA") +
 SUMIFS(martes!$F:$F, martes!$A:$A, $A158, martes!$C:$C, "VENTA") +
 SUMIFS(miercoles!$F:$F, miercoles!$A:$A, $A158, miercoles!$C:$C, "VENTA") +
 SUMIFS(jueves!$F:$F, jueves!$A:$A, $A158, jueves!$C:$C, "VENTA") +
 SUMIFS(viernes!$F:$F, viernes!$A:$A, $A158, viernes!$C:$C, "VENTA") +
 SUMIFS(sabado!$F:$F, sabado!$A:$A, $A158, sabado!$C:$C, "VENTA")</f>
        <v>0</v>
      </c>
      <c r="K158">
        <f t="shared" si="14"/>
        <v>0</v>
      </c>
    </row>
    <row r="159" spans="1:11" x14ac:dyDescent="0.3">
      <c r="A159" s="1" t="str">
        <f>Configuracion!A160</f>
        <v>TV HISENSE 55</v>
      </c>
      <c r="B159">
        <f>VLOOKUP(A159, Configuracion!A:B, 2, FALSE)</f>
        <v>6</v>
      </c>
      <c r="C159">
        <f>SUMIFS(lunes!D:D, lunes!A:A, A159, lunes!C:C, "VENTA") +
 SUMIFS(martes!D:D, martes!A:A, A159, martes!C:C, "VENTA") +
 SUMIFS(miercoles!D:D, miercoles!A:A, A159, miercoles!C:C, "VENTA") +
 SUMIFS(jueves!D:D, jueves!A:A, A159, jueves!C:C, "VENTA") +
 SUMIFS(viernes!D:D, viernes!A:A, A159, viernes!C:C, "VENTA") +
 SUMIFS(sabado!D:D, sabado!A:A, A159, sabado!C:C, "VENTA")</f>
        <v>1</v>
      </c>
      <c r="D159">
        <f>SUMIFS(lunes!$D:$D, lunes!$A:$A, $A159, lunes!$C:$C, "ENTRADA") +
 SUMIFS(martes!$D:$D, martes!$A:$A, $A159, martes!$C:$C, "ENTRADA") +
 SUMIFS(miercoles!$D:$D, miercoles!$A:$A, $A159, miercoles!$C:$C, "ENTRADA") +
 SUMIFS(jueves!$D:$D, jueves!$A:$A, $A159, jueves!$C:$C, "ENTRADA") +
 SUMIFS(viernes!$D:$D, viernes!$A:$A, $A159, viernes!$C:$C, "ENTRADA") +
 SUMIFS(sabado!$D:$D, sabado!$A:$A, $A159, sabado!$C:$C, "ENTRADA")</f>
        <v>0</v>
      </c>
      <c r="E159">
        <f>SUMIFS(lunes!$D:$D, lunes!$A:$A, $A159, lunes!$C:$C, "SALIDA") +
 SUMIFS(martes!$D:$D, martes!$A:$A, $A159, martes!$C:$C, "SALIDA") +
 SUMIFS(miercoles!$D:$D, miercoles!$A:$A, $A159, miercoles!$C:$C, "SALIDA") +
 SUMIFS(jueves!$D:$D, jueves!$A:$A, $A159, jueves!$C:$C, "SALIDA") +
 SUMIFS(viernes!$D:$D, viernes!$A:$A, $A159, viernes!$C:$C, "SALIDA") +
 SUMIFS(sabado!$D:$D, sabado!$A:$A, $A159, sabado!$C:$C, "SALIDA")</f>
        <v>0</v>
      </c>
      <c r="F159">
        <f t="shared" si="12"/>
        <v>5</v>
      </c>
      <c r="G159">
        <f>IFERROR(VLOOKUP(A159, sabado!A:I, 9, 0),
 IFERROR(VLOOKUP(A159, viernes!A:I, 9, 0),
 IFERROR(VLOOKUP(A159, jueves!A:I, 9, 0),
 IFERROR(VLOOKUP(A159, miercoles!A:I, 9, 0),
 IFERROR(VLOOKUP(A159, martes!A:I, 9, 0),
 IFERROR(VLOOKUP(A159, lunes!A:I, 9, 0),
 B159))))))</f>
        <v>5</v>
      </c>
      <c r="H159">
        <f>VLOOKUP(A159, Configuracion!A:C, 3, FALSE)</f>
        <v>430</v>
      </c>
      <c r="I159">
        <f t="shared" si="13"/>
        <v>430</v>
      </c>
      <c r="J159">
        <f>SUMIFS(lunes!$F:$F, lunes!$A:$A, $A159, lunes!$C:$C, "VENTA") +
 SUMIFS(martes!$F:$F, martes!$A:$A, $A159, martes!$C:$C, "VENTA") +
 SUMIFS(miercoles!$F:$F, miercoles!$A:$A, $A159, miercoles!$C:$C, "VENTA") +
 SUMIFS(jueves!$F:$F, jueves!$A:$A, $A159, jueves!$C:$C, "VENTA") +
 SUMIFS(viernes!$F:$F, viernes!$A:$A, $A159, viernes!$C:$C, "VENTA") +
 SUMIFS(sabado!$F:$F, sabado!$A:$A, $A159, sabado!$C:$C, "VENTA")</f>
        <v>430</v>
      </c>
      <c r="K159">
        <f t="shared" si="14"/>
        <v>0</v>
      </c>
    </row>
    <row r="160" spans="1:11" x14ac:dyDescent="0.3">
      <c r="A160" s="1" t="str">
        <f>Configuracion!A161</f>
        <v>TRANSFER 220V</v>
      </c>
      <c r="B160">
        <f>VLOOKUP(A160, Configuracion!A:B, 2, FALSE)</f>
        <v>1</v>
      </c>
      <c r="C160">
        <f>SUMIFS(lunes!D:D, lunes!A:A, A160, lunes!C:C, "VENTA") +
 SUMIFS(martes!D:D, martes!A:A, A160, martes!C:C, "VENTA") +
 SUMIFS(miercoles!D:D, miercoles!A:A, A160, miercoles!C:C, "VENTA") +
 SUMIFS(jueves!D:D, jueves!A:A, A160, jueves!C:C, "VENTA") +
 SUMIFS(viernes!D:D, viernes!A:A, A160, viernes!C:C, "VENTA") +
 SUMIFS(sabado!D:D, sabado!A:A, A160, sabado!C:C, "VENTA")</f>
        <v>0</v>
      </c>
      <c r="D160">
        <f>SUMIFS(lunes!$D:$D, lunes!$A:$A, $A160, lunes!$C:$C, "ENTRADA") +
 SUMIFS(martes!$D:$D, martes!$A:$A, $A160, martes!$C:$C, "ENTRADA") +
 SUMIFS(miercoles!$D:$D, miercoles!$A:$A, $A160, miercoles!$C:$C, "ENTRADA") +
 SUMIFS(jueves!$D:$D, jueves!$A:$A, $A160, jueves!$C:$C, "ENTRADA") +
 SUMIFS(viernes!$D:$D, viernes!$A:$A, $A160, viernes!$C:$C, "ENTRADA") +
 SUMIFS(sabado!$D:$D, sabado!$A:$A, $A160, sabado!$C:$C, "ENTRADA")</f>
        <v>0</v>
      </c>
      <c r="E160">
        <f>SUMIFS(lunes!$D:$D, lunes!$A:$A, $A160, lunes!$C:$C, "SALIDA") +
 SUMIFS(martes!$D:$D, martes!$A:$A, $A160, martes!$C:$C, "SALIDA") +
 SUMIFS(miercoles!$D:$D, miercoles!$A:$A, $A160, miercoles!$C:$C, "SALIDA") +
 SUMIFS(jueves!$D:$D, jueves!$A:$A, $A160, jueves!$C:$C, "SALIDA") +
 SUMIFS(viernes!$D:$D, viernes!$A:$A, $A160, viernes!$C:$C, "SALIDA") +
 SUMIFS(sabado!$D:$D, sabado!$A:$A, $A160, sabado!$C:$C, "SALIDA")</f>
        <v>0</v>
      </c>
      <c r="F160">
        <f t="shared" si="12"/>
        <v>1</v>
      </c>
      <c r="G160">
        <f>IFERROR(VLOOKUP(A160, sabado!A:I, 9, 0),
 IFERROR(VLOOKUP(A160, viernes!A:I, 9, 0),
 IFERROR(VLOOKUP(A160, jueves!A:I, 9, 0),
 IFERROR(VLOOKUP(A160, miercoles!A:I, 9, 0),
 IFERROR(VLOOKUP(A160, martes!A:I, 9, 0),
 IFERROR(VLOOKUP(A160, lunes!A:I, 9, 0),
 B160))))))</f>
        <v>1</v>
      </c>
      <c r="H160">
        <f>VLOOKUP(A160, Configuracion!A:C, 3, FALSE)</f>
        <v>70</v>
      </c>
      <c r="I160">
        <f t="shared" si="13"/>
        <v>0</v>
      </c>
      <c r="J160">
        <f>SUMIFS(lunes!$F:$F, lunes!$A:$A, $A160, lunes!$C:$C, "VENTA") +
 SUMIFS(martes!$F:$F, martes!$A:$A, $A160, martes!$C:$C, "VENTA") +
 SUMIFS(miercoles!$F:$F, miercoles!$A:$A, $A160, miercoles!$C:$C, "VENTA") +
 SUMIFS(jueves!$F:$F, jueves!$A:$A, $A160, jueves!$C:$C, "VENTA") +
 SUMIFS(viernes!$F:$F, viernes!$A:$A, $A160, viernes!$C:$C, "VENTA") +
 SUMIFS(sabado!$F:$F, sabado!$A:$A, $A160, sabado!$C:$C, "VENTA")</f>
        <v>0</v>
      </c>
      <c r="K160">
        <f t="shared" si="14"/>
        <v>0</v>
      </c>
    </row>
    <row r="161" spans="1:11" x14ac:dyDescent="0.3">
      <c r="A161" s="1" t="str">
        <f>Configuracion!A162</f>
        <v>TV 43" HISENSE</v>
      </c>
      <c r="B161">
        <f>VLOOKUP(A161, Configuracion!A:B, 2, FALSE)</f>
        <v>3</v>
      </c>
      <c r="C161">
        <f>SUMIFS(lunes!D:D, lunes!A:A, A161, lunes!C:C, "VENTA") +
 SUMIFS(martes!D:D, martes!A:A, A161, martes!C:C, "VENTA") +
 SUMIFS(miercoles!D:D, miercoles!A:A, A161, miercoles!C:C, "VENTA") +
 SUMIFS(jueves!D:D, jueves!A:A, A161, jueves!C:C, "VENTA") +
 SUMIFS(viernes!D:D, viernes!A:A, A161, viernes!C:C, "VENTA") +
 SUMIFS(sabado!D:D, sabado!A:A, A161, sabado!C:C, "VENTA")</f>
        <v>0</v>
      </c>
      <c r="D161">
        <f>SUMIFS(lunes!$D:$D, lunes!$A:$A, $A161, lunes!$C:$C, "ENTRADA") +
 SUMIFS(martes!$D:$D, martes!$A:$A, $A161, martes!$C:$C, "ENTRADA") +
 SUMIFS(miercoles!$D:$D, miercoles!$A:$A, $A161, miercoles!$C:$C, "ENTRADA") +
 SUMIFS(jueves!$D:$D, jueves!$A:$A, $A161, jueves!$C:$C, "ENTRADA") +
 SUMIFS(viernes!$D:$D, viernes!$A:$A, $A161, viernes!$C:$C, "ENTRADA") +
 SUMIFS(sabado!$D:$D, sabado!$A:$A, $A161, sabado!$C:$C, "ENTRADA")</f>
        <v>0</v>
      </c>
      <c r="E161">
        <f>SUMIFS(lunes!$D:$D, lunes!$A:$A, $A161, lunes!$C:$C, "SALIDA") +
 SUMIFS(martes!$D:$D, martes!$A:$A, $A161, martes!$C:$C, "SALIDA") +
 SUMIFS(miercoles!$D:$D, miercoles!$A:$A, $A161, miercoles!$C:$C, "SALIDA") +
 SUMIFS(jueves!$D:$D, jueves!$A:$A, $A161, jueves!$C:$C, "SALIDA") +
 SUMIFS(viernes!$D:$D, viernes!$A:$A, $A161, viernes!$C:$C, "SALIDA") +
 SUMIFS(sabado!$D:$D, sabado!$A:$A, $A161, sabado!$C:$C, "SALIDA")</f>
        <v>0</v>
      </c>
      <c r="F161">
        <f t="shared" si="12"/>
        <v>3</v>
      </c>
      <c r="G161">
        <f>IFERROR(VLOOKUP(A161, sabado!A:I, 9, 0),
 IFERROR(VLOOKUP(A161, viernes!A:I, 9, 0),
 IFERROR(VLOOKUP(A161, jueves!A:I, 9, 0),
 IFERROR(VLOOKUP(A161, miercoles!A:I, 9, 0),
 IFERROR(VLOOKUP(A161, martes!A:I, 9, 0),
 IFERROR(VLOOKUP(A161, lunes!A:I, 9, 0),
 B161))))))</f>
        <v>3</v>
      </c>
      <c r="H161">
        <f>VLOOKUP(A161, Configuracion!A:C, 3, FALSE)</f>
        <v>260</v>
      </c>
      <c r="I161">
        <f t="shared" si="13"/>
        <v>0</v>
      </c>
      <c r="J161">
        <f>SUMIFS(lunes!$F:$F, lunes!$A:$A, $A161, lunes!$C:$C, "VENTA") +
 SUMIFS(martes!$F:$F, martes!$A:$A, $A161, martes!$C:$C, "VENTA") +
 SUMIFS(miercoles!$F:$F, miercoles!$A:$A, $A161, miercoles!$C:$C, "VENTA") +
 SUMIFS(jueves!$F:$F, jueves!$A:$A, $A161, jueves!$C:$C, "VENTA") +
 SUMIFS(viernes!$F:$F, viernes!$A:$A, $A161, viernes!$C:$C, "VENTA") +
 SUMIFS(sabado!$F:$F, sabado!$A:$A, $A161, sabado!$C:$C, "VENTA")</f>
        <v>0</v>
      </c>
      <c r="K161">
        <f t="shared" si="14"/>
        <v>0</v>
      </c>
    </row>
    <row r="162" spans="1:11" x14ac:dyDescent="0.3">
      <c r="A162" s="1" t="str">
        <f>Configuracion!A163</f>
        <v>TV 43" MILEXUS</v>
      </c>
      <c r="B162">
        <f>VLOOKUP(A162, Configuracion!A:B, 2, FALSE)</f>
        <v>1</v>
      </c>
      <c r="C162">
        <f>SUMIFS(lunes!D:D, lunes!A:A, A162, lunes!C:C, "VENTA") +
 SUMIFS(martes!D:D, martes!A:A, A162, martes!C:C, "VENTA") +
 SUMIFS(miercoles!D:D, miercoles!A:A, A162, miercoles!C:C, "VENTA") +
 SUMIFS(jueves!D:D, jueves!A:A, A162, jueves!C:C, "VENTA") +
 SUMIFS(viernes!D:D, viernes!A:A, A162, viernes!C:C, "VENTA") +
 SUMIFS(sabado!D:D, sabado!A:A, A162, sabado!C:C, "VENTA")</f>
        <v>0</v>
      </c>
      <c r="D162">
        <f>SUMIFS(lunes!$D:$D, lunes!$A:$A, $A162, lunes!$C:$C, "ENTRADA") +
 SUMIFS(martes!$D:$D, martes!$A:$A, $A162, martes!$C:$C, "ENTRADA") +
 SUMIFS(miercoles!$D:$D, miercoles!$A:$A, $A162, miercoles!$C:$C, "ENTRADA") +
 SUMIFS(jueves!$D:$D, jueves!$A:$A, $A162, jueves!$C:$C, "ENTRADA") +
 SUMIFS(viernes!$D:$D, viernes!$A:$A, $A162, viernes!$C:$C, "ENTRADA") +
 SUMIFS(sabado!$D:$D, sabado!$A:$A, $A162, sabado!$C:$C, "ENTRADA")</f>
        <v>0</v>
      </c>
      <c r="E162">
        <f>SUMIFS(lunes!$D:$D, lunes!$A:$A, $A162, lunes!$C:$C, "SALIDA") +
 SUMIFS(martes!$D:$D, martes!$A:$A, $A162, martes!$C:$C, "SALIDA") +
 SUMIFS(miercoles!$D:$D, miercoles!$A:$A, $A162, miercoles!$C:$C, "SALIDA") +
 SUMIFS(jueves!$D:$D, jueves!$A:$A, $A162, jueves!$C:$C, "SALIDA") +
 SUMIFS(viernes!$D:$D, viernes!$A:$A, $A162, viernes!$C:$C, "SALIDA") +
 SUMIFS(sabado!$D:$D, sabado!$A:$A, $A162, sabado!$C:$C, "SALIDA")</f>
        <v>0</v>
      </c>
      <c r="F162">
        <f t="shared" ref="F162:F190" si="15">B162-C162+D162-E162</f>
        <v>1</v>
      </c>
      <c r="G162">
        <f>IFERROR(VLOOKUP(A162, sabado!A:I, 9, 0),
 IFERROR(VLOOKUP(A162, viernes!A:I, 9, 0),
 IFERROR(VLOOKUP(A162, jueves!A:I, 9, 0),
 IFERROR(VLOOKUP(A162, miercoles!A:I, 9, 0),
 IFERROR(VLOOKUP(A162, martes!A:I, 9, 0),
 IFERROR(VLOOKUP(A162, lunes!A:I, 9, 0),
 B162))))))</f>
        <v>1</v>
      </c>
      <c r="H162">
        <f>VLOOKUP(A162, Configuracion!A:C, 3, FALSE)</f>
        <v>255</v>
      </c>
      <c r="I162">
        <f t="shared" ref="I162:I190" si="16">C162*H162</f>
        <v>0</v>
      </c>
      <c r="J162">
        <f>SUMIFS(lunes!$F:$F, lunes!$A:$A, $A162, lunes!$C:$C, "VENTA") +
 SUMIFS(martes!$F:$F, martes!$A:$A, $A162, martes!$C:$C, "VENTA") +
 SUMIFS(miercoles!$F:$F, miercoles!$A:$A, $A162, miercoles!$C:$C, "VENTA") +
 SUMIFS(jueves!$F:$F, jueves!$A:$A, $A162, jueves!$C:$C, "VENTA") +
 SUMIFS(viernes!$F:$F, viernes!$A:$A, $A162, viernes!$C:$C, "VENTA") +
 SUMIFS(sabado!$F:$F, sabado!$A:$A, $A162, sabado!$C:$C, "VENTA")</f>
        <v>0</v>
      </c>
      <c r="K162">
        <f t="shared" ref="K162:K190" si="17">I162-J162</f>
        <v>0</v>
      </c>
    </row>
    <row r="163" spans="1:11" x14ac:dyDescent="0.3">
      <c r="A163" s="1" t="str">
        <f>Configuracion!A164</f>
        <v>TV 50 SANKEY</v>
      </c>
      <c r="B163">
        <f>VLOOKUP(A163, Configuracion!A:B, 2, FALSE)</f>
        <v>3</v>
      </c>
      <c r="C163">
        <f>SUMIFS(lunes!D:D, lunes!A:A, A163, lunes!C:C, "VENTA") +
 SUMIFS(martes!D:D, martes!A:A, A163, martes!C:C, "VENTA") +
 SUMIFS(miercoles!D:D, miercoles!A:A, A163, miercoles!C:C, "VENTA") +
 SUMIFS(jueves!D:D, jueves!A:A, A163, jueves!C:C, "VENTA") +
 SUMIFS(viernes!D:D, viernes!A:A, A163, viernes!C:C, "VENTA") +
 SUMIFS(sabado!D:D, sabado!A:A, A163, sabado!C:C, "VENTA")</f>
        <v>0</v>
      </c>
      <c r="D163">
        <f>SUMIFS(lunes!$D:$D, lunes!$A:$A, $A163, lunes!$C:$C, "ENTRADA") +
 SUMIFS(martes!$D:$D, martes!$A:$A, $A163, martes!$C:$C, "ENTRADA") +
 SUMIFS(miercoles!$D:$D, miercoles!$A:$A, $A163, miercoles!$C:$C, "ENTRADA") +
 SUMIFS(jueves!$D:$D, jueves!$A:$A, $A163, jueves!$C:$C, "ENTRADA") +
 SUMIFS(viernes!$D:$D, viernes!$A:$A, $A163, viernes!$C:$C, "ENTRADA") +
 SUMIFS(sabado!$D:$D, sabado!$A:$A, $A163, sabado!$C:$C, "ENTRADA")</f>
        <v>0</v>
      </c>
      <c r="E163">
        <f>SUMIFS(lunes!$D:$D, lunes!$A:$A, $A163, lunes!$C:$C, "SALIDA") +
 SUMIFS(martes!$D:$D, martes!$A:$A, $A163, martes!$C:$C, "SALIDA") +
 SUMIFS(miercoles!$D:$D, miercoles!$A:$A, $A163, miercoles!$C:$C, "SALIDA") +
 SUMIFS(jueves!$D:$D, jueves!$A:$A, $A163, jueves!$C:$C, "SALIDA") +
 SUMIFS(viernes!$D:$D, viernes!$A:$A, $A163, viernes!$C:$C, "SALIDA") +
 SUMIFS(sabado!$D:$D, sabado!$A:$A, $A163, sabado!$C:$C, "SALIDA")</f>
        <v>0</v>
      </c>
      <c r="F163">
        <f t="shared" si="15"/>
        <v>3</v>
      </c>
      <c r="G163">
        <f>IFERROR(VLOOKUP(A163, sabado!A:I, 9, 0),
 IFERROR(VLOOKUP(A163, viernes!A:I, 9, 0),
 IFERROR(VLOOKUP(A163, jueves!A:I, 9, 0),
 IFERROR(VLOOKUP(A163, miercoles!A:I, 9, 0),
 IFERROR(VLOOKUP(A163, martes!A:I, 9, 0),
 IFERROR(VLOOKUP(A163, lunes!A:I, 9, 0),
 B163))))))</f>
        <v>3</v>
      </c>
      <c r="H163">
        <f>VLOOKUP(A163, Configuracion!A:C, 3, FALSE)</f>
        <v>360</v>
      </c>
      <c r="I163">
        <f t="shared" si="16"/>
        <v>0</v>
      </c>
      <c r="J163">
        <f>SUMIFS(lunes!$F:$F, lunes!$A:$A, $A163, lunes!$C:$C, "VENTA") +
 SUMIFS(martes!$F:$F, martes!$A:$A, $A163, martes!$C:$C, "VENTA") +
 SUMIFS(miercoles!$F:$F, miercoles!$A:$A, $A163, miercoles!$C:$C, "VENTA") +
 SUMIFS(jueves!$F:$F, jueves!$A:$A, $A163, jueves!$C:$C, "VENTA") +
 SUMIFS(viernes!$F:$F, viernes!$A:$A, $A163, viernes!$C:$C, "VENTA") +
 SUMIFS(sabado!$F:$F, sabado!$A:$A, $A163, sabado!$C:$C, "VENTA")</f>
        <v>0</v>
      </c>
      <c r="K163">
        <f t="shared" si="17"/>
        <v>0</v>
      </c>
    </row>
    <row r="164" spans="1:11" x14ac:dyDescent="0.3">
      <c r="A164" s="1" t="str">
        <f>Configuracion!A165</f>
        <v xml:space="preserve">MAQUINA DE FRIO </v>
      </c>
      <c r="B164">
        <f>VLOOKUP(A164, Configuracion!A:B, 2, FALSE)</f>
        <v>3</v>
      </c>
      <c r="C164">
        <f>SUMIFS(lunes!D:D, lunes!A:A, A164, lunes!C:C, "VENTA") +
 SUMIFS(martes!D:D, martes!A:A, A164, martes!C:C, "VENTA") +
 SUMIFS(miercoles!D:D, miercoles!A:A, A164, miercoles!C:C, "VENTA") +
 SUMIFS(jueves!D:D, jueves!A:A, A164, jueves!C:C, "VENTA") +
 SUMIFS(viernes!D:D, viernes!A:A, A164, viernes!C:C, "VENTA") +
 SUMIFS(sabado!D:D, sabado!A:A, A164, sabado!C:C, "VENTA")</f>
        <v>0</v>
      </c>
      <c r="D164">
        <f>SUMIFS(lunes!$D:$D, lunes!$A:$A, $A164, lunes!$C:$C, "ENTRADA") +
 SUMIFS(martes!$D:$D, martes!$A:$A, $A164, martes!$C:$C, "ENTRADA") +
 SUMIFS(miercoles!$D:$D, miercoles!$A:$A, $A164, miercoles!$C:$C, "ENTRADA") +
 SUMIFS(jueves!$D:$D, jueves!$A:$A, $A164, jueves!$C:$C, "ENTRADA") +
 SUMIFS(viernes!$D:$D, viernes!$A:$A, $A164, viernes!$C:$C, "ENTRADA") +
 SUMIFS(sabado!$D:$D, sabado!$A:$A, $A164, sabado!$C:$C, "ENTRADA")</f>
        <v>0</v>
      </c>
      <c r="E164">
        <f>SUMIFS(lunes!$D:$D, lunes!$A:$A, $A164, lunes!$C:$C, "SALIDA") +
 SUMIFS(martes!$D:$D, martes!$A:$A, $A164, martes!$C:$C, "SALIDA") +
 SUMIFS(miercoles!$D:$D, miercoles!$A:$A, $A164, miercoles!$C:$C, "SALIDA") +
 SUMIFS(jueves!$D:$D, jueves!$A:$A, $A164, jueves!$C:$C, "SALIDA") +
 SUMIFS(viernes!$D:$D, viernes!$A:$A, $A164, viernes!$C:$C, "SALIDA") +
 SUMIFS(sabado!$D:$D, sabado!$A:$A, $A164, sabado!$C:$C, "SALIDA")</f>
        <v>0</v>
      </c>
      <c r="F164">
        <f t="shared" si="15"/>
        <v>3</v>
      </c>
      <c r="G164">
        <f>IFERROR(VLOOKUP(A164, sabado!A:I, 9, 0),
 IFERROR(VLOOKUP(A164, viernes!A:I, 9, 0),
 IFERROR(VLOOKUP(A164, jueves!A:I, 9, 0),
 IFERROR(VLOOKUP(A164, miercoles!A:I, 9, 0),
 IFERROR(VLOOKUP(A164, martes!A:I, 9, 0),
 IFERROR(VLOOKUP(A164, lunes!A:I, 9, 0),
 B164))))))</f>
        <v>3</v>
      </c>
      <c r="H164">
        <f>VLOOKUP(A164, Configuracion!A:C, 3, FALSE)</f>
        <v>80</v>
      </c>
      <c r="I164">
        <f t="shared" si="16"/>
        <v>0</v>
      </c>
      <c r="J164">
        <f>SUMIFS(lunes!$F:$F, lunes!$A:$A, $A164, lunes!$C:$C, "VENTA") +
 SUMIFS(martes!$F:$F, martes!$A:$A, $A164, martes!$C:$C, "VENTA") +
 SUMIFS(miercoles!$F:$F, miercoles!$A:$A, $A164, miercoles!$C:$C, "VENTA") +
 SUMIFS(jueves!$F:$F, jueves!$A:$A, $A164, jueves!$C:$C, "VENTA") +
 SUMIFS(viernes!$F:$F, viernes!$A:$A, $A164, viernes!$C:$C, "VENTA") +
 SUMIFS(sabado!$F:$F, sabado!$A:$A, $A164, sabado!$C:$C, "VENTA")</f>
        <v>0</v>
      </c>
      <c r="K164">
        <f t="shared" si="17"/>
        <v>0</v>
      </c>
    </row>
    <row r="165" spans="1:11" x14ac:dyDescent="0.3">
      <c r="A165" s="1" t="str">
        <f>Configuracion!A166</f>
        <v>TV 32" MILEXUS</v>
      </c>
      <c r="B165">
        <f>VLOOKUP(A165, Configuracion!A:B, 2, FALSE)</f>
        <v>1</v>
      </c>
      <c r="C165">
        <f>SUMIFS(lunes!D:D, lunes!A:A, A165, lunes!C:C, "VENTA") +
 SUMIFS(martes!D:D, martes!A:A, A165, martes!C:C, "VENTA") +
 SUMIFS(miercoles!D:D, miercoles!A:A, A165, miercoles!C:C, "VENTA") +
 SUMIFS(jueves!D:D, jueves!A:A, A165, jueves!C:C, "VENTA") +
 SUMIFS(viernes!D:D, viernes!A:A, A165, viernes!C:C, "VENTA") +
 SUMIFS(sabado!D:D, sabado!A:A, A165, sabado!C:C, "VENTA")</f>
        <v>0</v>
      </c>
      <c r="D165">
        <f>SUMIFS(lunes!$D:$D, lunes!$A:$A, $A165, lunes!$C:$C, "ENTRADA") +
 SUMIFS(martes!$D:$D, martes!$A:$A, $A165, martes!$C:$C, "ENTRADA") +
 SUMIFS(miercoles!$D:$D, miercoles!$A:$A, $A165, miercoles!$C:$C, "ENTRADA") +
 SUMIFS(jueves!$D:$D, jueves!$A:$A, $A165, jueves!$C:$C, "ENTRADA") +
 SUMIFS(viernes!$D:$D, viernes!$A:$A, $A165, viernes!$C:$C, "ENTRADA") +
 SUMIFS(sabado!$D:$D, sabado!$A:$A, $A165, sabado!$C:$C, "ENTRADA")</f>
        <v>0</v>
      </c>
      <c r="E165">
        <f>SUMIFS(lunes!$D:$D, lunes!$A:$A, $A165, lunes!$C:$C, "SALIDA") +
 SUMIFS(martes!$D:$D, martes!$A:$A, $A165, martes!$C:$C, "SALIDA") +
 SUMIFS(miercoles!$D:$D, miercoles!$A:$A, $A165, miercoles!$C:$C, "SALIDA") +
 SUMIFS(jueves!$D:$D, jueves!$A:$A, $A165, jueves!$C:$C, "SALIDA") +
 SUMIFS(viernes!$D:$D, viernes!$A:$A, $A165, viernes!$C:$C, "SALIDA") +
 SUMIFS(sabado!$D:$D, sabado!$A:$A, $A165, sabado!$C:$C, "SALIDA")</f>
        <v>0</v>
      </c>
      <c r="F165">
        <f t="shared" si="15"/>
        <v>1</v>
      </c>
      <c r="G165">
        <f>IFERROR(VLOOKUP(A165, sabado!A:I, 9, 0),
 IFERROR(VLOOKUP(A165, viernes!A:I, 9, 0),
 IFERROR(VLOOKUP(A165, jueves!A:I, 9, 0),
 IFERROR(VLOOKUP(A165, miercoles!A:I, 9, 0),
 IFERROR(VLOOKUP(A165, martes!A:I, 9, 0),
 IFERROR(VLOOKUP(A165, lunes!A:I, 9, 0),
 B165))))))</f>
        <v>1</v>
      </c>
      <c r="H165">
        <f>VLOOKUP(A165, Configuracion!A:C, 3, FALSE)</f>
        <v>165</v>
      </c>
      <c r="I165">
        <f t="shared" si="16"/>
        <v>0</v>
      </c>
      <c r="J165">
        <f>SUMIFS(lunes!$F:$F, lunes!$A:$A, $A165, lunes!$C:$C, "VENTA") +
 SUMIFS(martes!$F:$F, martes!$A:$A, $A165, martes!$C:$C, "VENTA") +
 SUMIFS(miercoles!$F:$F, miercoles!$A:$A, $A165, miercoles!$C:$C, "VENTA") +
 SUMIFS(jueves!$F:$F, jueves!$A:$A, $A165, jueves!$C:$C, "VENTA") +
 SUMIFS(viernes!$F:$F, viernes!$A:$A, $A165, viernes!$C:$C, "VENTA") +
 SUMIFS(sabado!$F:$F, sabado!$A:$A, $A165, sabado!$C:$C, "VENTA")</f>
        <v>0</v>
      </c>
      <c r="K165">
        <f t="shared" si="17"/>
        <v>0</v>
      </c>
    </row>
    <row r="166" spans="1:11" x14ac:dyDescent="0.3">
      <c r="A166" s="1" t="str">
        <f>Configuracion!A167</f>
        <v>TV SANKEY 40</v>
      </c>
      <c r="B166">
        <f>VLOOKUP(A166, Configuracion!A:B, 2, FALSE)</f>
        <v>1</v>
      </c>
      <c r="C166">
        <f>SUMIFS(lunes!D:D, lunes!A:A, A166, lunes!C:C, "VENTA") +
 SUMIFS(martes!D:D, martes!A:A, A166, martes!C:C, "VENTA") +
 SUMIFS(miercoles!D:D, miercoles!A:A, A166, miercoles!C:C, "VENTA") +
 SUMIFS(jueves!D:D, jueves!A:A, A166, jueves!C:C, "VENTA") +
 SUMIFS(viernes!D:D, viernes!A:A, A166, viernes!C:C, "VENTA") +
 SUMIFS(sabado!D:D, sabado!A:A, A166, sabado!C:C, "VENTA")</f>
        <v>0</v>
      </c>
      <c r="D166">
        <f>SUMIFS(lunes!$D:$D, lunes!$A:$A, $A166, lunes!$C:$C, "ENTRADA") +
 SUMIFS(martes!$D:$D, martes!$A:$A, $A166, martes!$C:$C, "ENTRADA") +
 SUMIFS(miercoles!$D:$D, miercoles!$A:$A, $A166, miercoles!$C:$C, "ENTRADA") +
 SUMIFS(jueves!$D:$D, jueves!$A:$A, $A166, jueves!$C:$C, "ENTRADA") +
 SUMIFS(viernes!$D:$D, viernes!$A:$A, $A166, viernes!$C:$C, "ENTRADA") +
 SUMIFS(sabado!$D:$D, sabado!$A:$A, $A166, sabado!$C:$C, "ENTRADA")</f>
        <v>0</v>
      </c>
      <c r="E166">
        <f>SUMIFS(lunes!$D:$D, lunes!$A:$A, $A166, lunes!$C:$C, "SALIDA") +
 SUMIFS(martes!$D:$D, martes!$A:$A, $A166, martes!$C:$C, "SALIDA") +
 SUMIFS(miercoles!$D:$D, miercoles!$A:$A, $A166, miercoles!$C:$C, "SALIDA") +
 SUMIFS(jueves!$D:$D, jueves!$A:$A, $A166, jueves!$C:$C, "SALIDA") +
 SUMIFS(viernes!$D:$D, viernes!$A:$A, $A166, viernes!$C:$C, "SALIDA") +
 SUMIFS(sabado!$D:$D, sabado!$A:$A, $A166, sabado!$C:$C, "SALIDA")</f>
        <v>0</v>
      </c>
      <c r="F166">
        <f t="shared" si="15"/>
        <v>1</v>
      </c>
      <c r="G166">
        <f>IFERROR(VLOOKUP(A166, sabado!A:I, 9, 0),
 IFERROR(VLOOKUP(A166, viernes!A:I, 9, 0),
 IFERROR(VLOOKUP(A166, jueves!A:I, 9, 0),
 IFERROR(VLOOKUP(A166, miercoles!A:I, 9, 0),
 IFERROR(VLOOKUP(A166, martes!A:I, 9, 0),
 IFERROR(VLOOKUP(A166, lunes!A:I, 9, 0),
 B166))))))</f>
        <v>1</v>
      </c>
      <c r="H166">
        <f>VLOOKUP(A166, Configuracion!A:C, 3, FALSE)</f>
        <v>250</v>
      </c>
      <c r="I166">
        <f t="shared" si="16"/>
        <v>0</v>
      </c>
      <c r="J166">
        <f>SUMIFS(lunes!$F:$F, lunes!$A:$A, $A166, lunes!$C:$C, "VENTA") +
 SUMIFS(martes!$F:$F, martes!$A:$A, $A166, martes!$C:$C, "VENTA") +
 SUMIFS(miercoles!$F:$F, miercoles!$A:$A, $A166, miercoles!$C:$C, "VENTA") +
 SUMIFS(jueves!$F:$F, jueves!$A:$A, $A166, jueves!$C:$C, "VENTA") +
 SUMIFS(viernes!$F:$F, viernes!$A:$A, $A166, viernes!$C:$C, "VENTA") +
 SUMIFS(sabado!$F:$F, sabado!$A:$A, $A166, sabado!$C:$C, "VENTA")</f>
        <v>0</v>
      </c>
      <c r="K166">
        <f t="shared" si="17"/>
        <v>0</v>
      </c>
    </row>
    <row r="167" spans="1:11" x14ac:dyDescent="0.3">
      <c r="A167" s="1" t="str">
        <f>Configuracion!A168</f>
        <v>TV 32" SANKEY</v>
      </c>
      <c r="B167">
        <f>VLOOKUP(A167, Configuracion!A:B, 2, FALSE)</f>
        <v>0</v>
      </c>
      <c r="C167">
        <f>SUMIFS(lunes!D:D, lunes!A:A, A167, lunes!C:C, "VENTA") +
 SUMIFS(martes!D:D, martes!A:A, A167, martes!C:C, "VENTA") +
 SUMIFS(miercoles!D:D, miercoles!A:A, A167, miercoles!C:C, "VENTA") +
 SUMIFS(jueves!D:D, jueves!A:A, A167, jueves!C:C, "VENTA") +
 SUMIFS(viernes!D:D, viernes!A:A, A167, viernes!C:C, "VENTA") +
 SUMIFS(sabado!D:D, sabado!A:A, A167, sabado!C:C, "VENTA")</f>
        <v>0</v>
      </c>
      <c r="D167">
        <f>SUMIFS(lunes!$D:$D, lunes!$A:$A, $A167, lunes!$C:$C, "ENTRADA") +
 SUMIFS(martes!$D:$D, martes!$A:$A, $A167, martes!$C:$C, "ENTRADA") +
 SUMIFS(miercoles!$D:$D, miercoles!$A:$A, $A167, miercoles!$C:$C, "ENTRADA") +
 SUMIFS(jueves!$D:$D, jueves!$A:$A, $A167, jueves!$C:$C, "ENTRADA") +
 SUMIFS(viernes!$D:$D, viernes!$A:$A, $A167, viernes!$C:$C, "ENTRADA") +
 SUMIFS(sabado!$D:$D, sabado!$A:$A, $A167, sabado!$C:$C, "ENTRADA")</f>
        <v>0</v>
      </c>
      <c r="E167">
        <f>SUMIFS(lunes!$D:$D, lunes!$A:$A, $A167, lunes!$C:$C, "SALIDA") +
 SUMIFS(martes!$D:$D, martes!$A:$A, $A167, martes!$C:$C, "SALIDA") +
 SUMIFS(miercoles!$D:$D, miercoles!$A:$A, $A167, miercoles!$C:$C, "SALIDA") +
 SUMIFS(jueves!$D:$D, jueves!$A:$A, $A167, jueves!$C:$C, "SALIDA") +
 SUMIFS(viernes!$D:$D, viernes!$A:$A, $A167, viernes!$C:$C, "SALIDA") +
 SUMIFS(sabado!$D:$D, sabado!$A:$A, $A167, sabado!$C:$C, "SALIDA")</f>
        <v>0</v>
      </c>
      <c r="F167">
        <f t="shared" si="15"/>
        <v>0</v>
      </c>
      <c r="G167">
        <f>IFERROR(VLOOKUP(A167, sabado!A:I, 9, 0),
 IFERROR(VLOOKUP(A167, viernes!A:I, 9, 0),
 IFERROR(VLOOKUP(A167, jueves!A:I, 9, 0),
 IFERROR(VLOOKUP(A167, miercoles!A:I, 9, 0),
 IFERROR(VLOOKUP(A167, martes!A:I, 9, 0),
 IFERROR(VLOOKUP(A167, lunes!A:I, 9, 0),
 B167))))))</f>
        <v>0</v>
      </c>
      <c r="H167">
        <f>VLOOKUP(A167, Configuracion!A:C, 3, FALSE)</f>
        <v>175</v>
      </c>
      <c r="I167">
        <f t="shared" si="16"/>
        <v>0</v>
      </c>
      <c r="J167">
        <f>SUMIFS(lunes!$F:$F, lunes!$A:$A, $A167, lunes!$C:$C, "VENTA") +
 SUMIFS(martes!$F:$F, martes!$A:$A, $A167, martes!$C:$C, "VENTA") +
 SUMIFS(miercoles!$F:$F, miercoles!$A:$A, $A167, miercoles!$C:$C, "VENTA") +
 SUMIFS(jueves!$F:$F, jueves!$A:$A, $A167, jueves!$C:$C, "VENTA") +
 SUMIFS(viernes!$F:$F, viernes!$A:$A, $A167, viernes!$C:$C, "VENTA") +
 SUMIFS(sabado!$F:$F, sabado!$A:$A, $A167, sabado!$C:$C, "VENTA")</f>
        <v>0</v>
      </c>
      <c r="K167">
        <f t="shared" si="17"/>
        <v>0</v>
      </c>
    </row>
    <row r="168" spans="1:11" x14ac:dyDescent="0.3">
      <c r="A168" s="1" t="str">
        <f>Configuracion!A169</f>
        <v>TUBO DE LUZ LED INTEGRAL T8 SACO</v>
      </c>
      <c r="B168">
        <f>VLOOKUP(A168, Configuracion!A:B, 2, FALSE)</f>
        <v>17</v>
      </c>
      <c r="C168">
        <f>SUMIFS(lunes!D:D, lunes!A:A, A168, lunes!C:C, "VENTA") +
 SUMIFS(martes!D:D, martes!A:A, A168, martes!C:C, "VENTA") +
 SUMIFS(miercoles!D:D, miercoles!A:A, A168, miercoles!C:C, "VENTA") +
 SUMIFS(jueves!D:D, jueves!A:A, A168, jueves!C:C, "VENTA") +
 SUMIFS(viernes!D:D, viernes!A:A, A168, viernes!C:C, "VENTA") +
 SUMIFS(sabado!D:D, sabado!A:A, A168, sabado!C:C, "VENTA")</f>
        <v>0</v>
      </c>
      <c r="D168">
        <f>SUMIFS(lunes!$D:$D, lunes!$A:$A, $A168, lunes!$C:$C, "ENTRADA") +
 SUMIFS(martes!$D:$D, martes!$A:$A, $A168, martes!$C:$C, "ENTRADA") +
 SUMIFS(miercoles!$D:$D, miercoles!$A:$A, $A168, miercoles!$C:$C, "ENTRADA") +
 SUMIFS(jueves!$D:$D, jueves!$A:$A, $A168, jueves!$C:$C, "ENTRADA") +
 SUMIFS(viernes!$D:$D, viernes!$A:$A, $A168, viernes!$C:$C, "ENTRADA") +
 SUMIFS(sabado!$D:$D, sabado!$A:$A, $A168, sabado!$C:$C, "ENTRADA")</f>
        <v>0</v>
      </c>
      <c r="E168">
        <f>SUMIFS(lunes!$D:$D, lunes!$A:$A, $A168, lunes!$C:$C, "SALIDA") +
 SUMIFS(martes!$D:$D, martes!$A:$A, $A168, martes!$C:$C, "SALIDA") +
 SUMIFS(miercoles!$D:$D, miercoles!$A:$A, $A168, miercoles!$C:$C, "SALIDA") +
 SUMIFS(jueves!$D:$D, jueves!$A:$A, $A168, jueves!$C:$C, "SALIDA") +
 SUMIFS(viernes!$D:$D, viernes!$A:$A, $A168, viernes!$C:$C, "SALIDA") +
 SUMIFS(sabado!$D:$D, sabado!$A:$A, $A168, sabado!$C:$C, "SALIDA")</f>
        <v>0</v>
      </c>
      <c r="F168">
        <f t="shared" si="15"/>
        <v>17</v>
      </c>
      <c r="G168">
        <f>IFERROR(VLOOKUP(A168, sabado!A:I, 9, 0),
 IFERROR(VLOOKUP(A168, viernes!A:I, 9, 0),
 IFERROR(VLOOKUP(A168, jueves!A:I, 9, 0),
 IFERROR(VLOOKUP(A168, miercoles!A:I, 9, 0),
 IFERROR(VLOOKUP(A168, martes!A:I, 9, 0),
 IFERROR(VLOOKUP(A168, lunes!A:I, 9, 0),
 B168))))))</f>
        <v>17</v>
      </c>
      <c r="H168">
        <f>VLOOKUP(A168, Configuracion!A:C, 3, FALSE)</f>
        <v>5</v>
      </c>
      <c r="I168">
        <f t="shared" si="16"/>
        <v>0</v>
      </c>
      <c r="J168">
        <f>SUMIFS(lunes!$F:$F, lunes!$A:$A, $A168, lunes!$C:$C, "VENTA") +
 SUMIFS(martes!$F:$F, martes!$A:$A, $A168, martes!$C:$C, "VENTA") +
 SUMIFS(miercoles!$F:$F, miercoles!$A:$A, $A168, miercoles!$C:$C, "VENTA") +
 SUMIFS(jueves!$F:$F, jueves!$A:$A, $A168, jueves!$C:$C, "VENTA") +
 SUMIFS(viernes!$F:$F, viernes!$A:$A, $A168, viernes!$C:$C, "VENTA") +
 SUMIFS(sabado!$F:$F, sabado!$A:$A, $A168, sabado!$C:$C, "VENTA")</f>
        <v>0</v>
      </c>
      <c r="K168">
        <f t="shared" si="17"/>
        <v>0</v>
      </c>
    </row>
    <row r="169" spans="1:11" x14ac:dyDescent="0.3">
      <c r="A169" s="1" t="str">
        <f>Configuracion!A170</f>
        <v>TANQUE GASOLINA 20L</v>
      </c>
      <c r="B169">
        <f>VLOOKUP(A169, Configuracion!A:B, 2, FALSE)</f>
        <v>8</v>
      </c>
      <c r="C169">
        <f>SUMIFS(lunes!D:D, lunes!A:A, A169, lunes!C:C, "VENTA") +
 SUMIFS(martes!D:D, martes!A:A, A169, martes!C:C, "VENTA") +
 SUMIFS(miercoles!D:D, miercoles!A:A, A169, miercoles!C:C, "VENTA") +
 SUMIFS(jueves!D:D, jueves!A:A, A169, jueves!C:C, "VENTA") +
 SUMIFS(viernes!D:D, viernes!A:A, A169, viernes!C:C, "VENTA") +
 SUMIFS(sabado!D:D, sabado!A:A, A169, sabado!C:C, "VENTA")</f>
        <v>0</v>
      </c>
      <c r="D169">
        <f>SUMIFS(lunes!$D:$D, lunes!$A:$A, $A169, lunes!$C:$C, "ENTRADA") +
 SUMIFS(martes!$D:$D, martes!$A:$A, $A169, martes!$C:$C, "ENTRADA") +
 SUMIFS(miercoles!$D:$D, miercoles!$A:$A, $A169, miercoles!$C:$C, "ENTRADA") +
 SUMIFS(jueves!$D:$D, jueves!$A:$A, $A169, jueves!$C:$C, "ENTRADA") +
 SUMIFS(viernes!$D:$D, viernes!$A:$A, $A169, viernes!$C:$C, "ENTRADA") +
 SUMIFS(sabado!$D:$D, sabado!$A:$A, $A169, sabado!$C:$C, "ENTRADA")</f>
        <v>0</v>
      </c>
      <c r="E169">
        <f>SUMIFS(lunes!$D:$D, lunes!$A:$A, $A169, lunes!$C:$C, "SALIDA") +
 SUMIFS(martes!$D:$D, martes!$A:$A, $A169, martes!$C:$C, "SALIDA") +
 SUMIFS(miercoles!$D:$D, miercoles!$A:$A, $A169, miercoles!$C:$C, "SALIDA") +
 SUMIFS(jueves!$D:$D, jueves!$A:$A, $A169, jueves!$C:$C, "SALIDA") +
 SUMIFS(viernes!$D:$D, viernes!$A:$A, $A169, viernes!$C:$C, "SALIDA") +
 SUMIFS(sabado!$D:$D, sabado!$A:$A, $A169, sabado!$C:$C, "SALIDA")</f>
        <v>0</v>
      </c>
      <c r="F169">
        <f t="shared" si="15"/>
        <v>8</v>
      </c>
      <c r="G169">
        <f>IFERROR(VLOOKUP(A169, sabado!A:I, 9, 0),
 IFERROR(VLOOKUP(A169, viernes!A:I, 9, 0),
 IFERROR(VLOOKUP(A169, jueves!A:I, 9, 0),
 IFERROR(VLOOKUP(A169, miercoles!A:I, 9, 0),
 IFERROR(VLOOKUP(A169, martes!A:I, 9, 0),
 IFERROR(VLOOKUP(A169, lunes!A:I, 9, 0),
 B169))))))</f>
        <v>8</v>
      </c>
      <c r="H169">
        <f>VLOOKUP(A169, Configuracion!A:C, 3, FALSE)</f>
        <v>20</v>
      </c>
      <c r="I169">
        <f t="shared" si="16"/>
        <v>0</v>
      </c>
      <c r="J169">
        <f>SUMIFS(lunes!$F:$F, lunes!$A:$A, $A169, lunes!$C:$C, "VENTA") +
 SUMIFS(martes!$F:$F, martes!$A:$A, $A169, martes!$C:$C, "VENTA") +
 SUMIFS(miercoles!$F:$F, miercoles!$A:$A, $A169, miercoles!$C:$C, "VENTA") +
 SUMIFS(jueves!$F:$F, jueves!$A:$A, $A169, jueves!$C:$C, "VENTA") +
 SUMIFS(viernes!$F:$F, viernes!$A:$A, $A169, viernes!$C:$C, "VENTA") +
 SUMIFS(sabado!$F:$F, sabado!$A:$A, $A169, sabado!$C:$C, "VENTA")</f>
        <v>0</v>
      </c>
      <c r="K169">
        <f t="shared" si="17"/>
        <v>0</v>
      </c>
    </row>
    <row r="170" spans="1:11" x14ac:dyDescent="0.3">
      <c r="A170" s="1" t="str">
        <f>Configuracion!A171</f>
        <v>VENTILADOR DE PEDESTAL SILVERAIR</v>
      </c>
      <c r="B170">
        <f>VLOOKUP(A170, Configuracion!A:B, 2, FALSE)</f>
        <v>1</v>
      </c>
      <c r="C170">
        <f>SUMIFS(lunes!D:D, lunes!A:A, A170, lunes!C:C, "VENTA") +
 SUMIFS(martes!D:D, martes!A:A, A170, martes!C:C, "VENTA") +
 SUMIFS(miercoles!D:D, miercoles!A:A, A170, miercoles!C:C, "VENTA") +
 SUMIFS(jueves!D:D, jueves!A:A, A170, jueves!C:C, "VENTA") +
 SUMIFS(viernes!D:D, viernes!A:A, A170, viernes!C:C, "VENTA") +
 SUMIFS(sabado!D:D, sabado!A:A, A170, sabado!C:C, "VENTA")</f>
        <v>0</v>
      </c>
      <c r="D170">
        <f>SUMIFS(lunes!$D:$D, lunes!$A:$A, $A170, lunes!$C:$C, "ENTRADA") +
 SUMIFS(martes!$D:$D, martes!$A:$A, $A170, martes!$C:$C, "ENTRADA") +
 SUMIFS(miercoles!$D:$D, miercoles!$A:$A, $A170, miercoles!$C:$C, "ENTRADA") +
 SUMIFS(jueves!$D:$D, jueves!$A:$A, $A170, jueves!$C:$C, "ENTRADA") +
 SUMIFS(viernes!$D:$D, viernes!$A:$A, $A170, viernes!$C:$C, "ENTRADA") +
 SUMIFS(sabado!$D:$D, sabado!$A:$A, $A170, sabado!$C:$C, "ENTRADA")</f>
        <v>0</v>
      </c>
      <c r="E170">
        <f>SUMIFS(lunes!$D:$D, lunes!$A:$A, $A170, lunes!$C:$C, "SALIDA") +
 SUMIFS(martes!$D:$D, martes!$A:$A, $A170, martes!$C:$C, "SALIDA") +
 SUMIFS(miercoles!$D:$D, miercoles!$A:$A, $A170, miercoles!$C:$C, "SALIDA") +
 SUMIFS(jueves!$D:$D, jueves!$A:$A, $A170, jueves!$C:$C, "SALIDA") +
 SUMIFS(viernes!$D:$D, viernes!$A:$A, $A170, viernes!$C:$C, "SALIDA") +
 SUMIFS(sabado!$D:$D, sabado!$A:$A, $A170, sabado!$C:$C, "SALIDA")</f>
        <v>0</v>
      </c>
      <c r="F170">
        <f t="shared" si="15"/>
        <v>1</v>
      </c>
      <c r="G170">
        <f>IFERROR(VLOOKUP(A170, sabado!A:I, 9, 0),
 IFERROR(VLOOKUP(A170, viernes!A:I, 9, 0),
 IFERROR(VLOOKUP(A170, jueves!A:I, 9, 0),
 IFERROR(VLOOKUP(A170, miercoles!A:I, 9, 0),
 IFERROR(VLOOKUP(A170, martes!A:I, 9, 0),
 IFERROR(VLOOKUP(A170, lunes!A:I, 9, 0),
 B170))))))</f>
        <v>1</v>
      </c>
      <c r="H170">
        <f>VLOOKUP(A170, Configuracion!A:C, 3, FALSE)</f>
        <v>35</v>
      </c>
      <c r="I170">
        <f t="shared" si="16"/>
        <v>0</v>
      </c>
      <c r="J170">
        <f>SUMIFS(lunes!$F:$F, lunes!$A:$A, $A170, lunes!$C:$C, "VENTA") +
 SUMIFS(martes!$F:$F, martes!$A:$A, $A170, martes!$C:$C, "VENTA") +
 SUMIFS(miercoles!$F:$F, miercoles!$A:$A, $A170, miercoles!$C:$C, "VENTA") +
 SUMIFS(jueves!$F:$F, jueves!$A:$A, $A170, jueves!$C:$C, "VENTA") +
 SUMIFS(viernes!$F:$F, viernes!$A:$A, $A170, viernes!$C:$C, "VENTA") +
 SUMIFS(sabado!$F:$F, sabado!$A:$A, $A170, sabado!$C:$C, "VENTA")</f>
        <v>0</v>
      </c>
      <c r="K170">
        <f t="shared" si="17"/>
        <v>0</v>
      </c>
    </row>
    <row r="171" spans="1:11" x14ac:dyDescent="0.3">
      <c r="A171" s="1" t="str">
        <f>Configuracion!A172</f>
        <v>VENTILADOR DE PARED SILVERAIR</v>
      </c>
      <c r="B171">
        <f>VLOOKUP(A171, Configuracion!A:B, 2, FALSE)</f>
        <v>0</v>
      </c>
      <c r="C171">
        <f>SUMIFS(lunes!D:D, lunes!A:A, A171, lunes!C:C, "VENTA") +
 SUMIFS(martes!D:D, martes!A:A, A171, martes!C:C, "VENTA") +
 SUMIFS(miercoles!D:D, miercoles!A:A, A171, miercoles!C:C, "VENTA") +
 SUMIFS(jueves!D:D, jueves!A:A, A171, jueves!C:C, "VENTA") +
 SUMIFS(viernes!D:D, viernes!A:A, A171, viernes!C:C, "VENTA") +
 SUMIFS(sabado!D:D, sabado!A:A, A171, sabado!C:C, "VENTA")</f>
        <v>0</v>
      </c>
      <c r="D171">
        <f>SUMIFS(lunes!$D:$D, lunes!$A:$A, $A171, lunes!$C:$C, "ENTRADA") +
 SUMIFS(martes!$D:$D, martes!$A:$A, $A171, martes!$C:$C, "ENTRADA") +
 SUMIFS(miercoles!$D:$D, miercoles!$A:$A, $A171, miercoles!$C:$C, "ENTRADA") +
 SUMIFS(jueves!$D:$D, jueves!$A:$A, $A171, jueves!$C:$C, "ENTRADA") +
 SUMIFS(viernes!$D:$D, viernes!$A:$A, $A171, viernes!$C:$C, "ENTRADA") +
 SUMIFS(sabado!$D:$D, sabado!$A:$A, $A171, sabado!$C:$C, "ENTRADA")</f>
        <v>0</v>
      </c>
      <c r="E171">
        <f>SUMIFS(lunes!$D:$D, lunes!$A:$A, $A171, lunes!$C:$C, "SALIDA") +
 SUMIFS(martes!$D:$D, martes!$A:$A, $A171, martes!$C:$C, "SALIDA") +
 SUMIFS(miercoles!$D:$D, miercoles!$A:$A, $A171, miercoles!$C:$C, "SALIDA") +
 SUMIFS(jueves!$D:$D, jueves!$A:$A, $A171, jueves!$C:$C, "SALIDA") +
 SUMIFS(viernes!$D:$D, viernes!$A:$A, $A171, viernes!$C:$C, "SALIDA") +
 SUMIFS(sabado!$D:$D, sabado!$A:$A, $A171, sabado!$C:$C, "SALIDA")</f>
        <v>0</v>
      </c>
      <c r="F171">
        <f t="shared" si="15"/>
        <v>0</v>
      </c>
      <c r="G171">
        <f>IFERROR(VLOOKUP(A171, sabado!A:I, 9, 0),
 IFERROR(VLOOKUP(A171, viernes!A:I, 9, 0),
 IFERROR(VLOOKUP(A171, jueves!A:I, 9, 0),
 IFERROR(VLOOKUP(A171, miercoles!A:I, 9, 0),
 IFERROR(VLOOKUP(A171, martes!A:I, 9, 0),
 IFERROR(VLOOKUP(A171, lunes!A:I, 9, 0),
 B171))))))</f>
        <v>0</v>
      </c>
      <c r="H171">
        <f>VLOOKUP(A171, Configuracion!A:C, 3, FALSE)</f>
        <v>50</v>
      </c>
      <c r="I171">
        <f t="shared" si="16"/>
        <v>0</v>
      </c>
      <c r="J171">
        <f>SUMIFS(lunes!$F:$F, lunes!$A:$A, $A171, lunes!$C:$C, "VENTA") +
 SUMIFS(martes!$F:$F, martes!$A:$A, $A171, martes!$C:$C, "VENTA") +
 SUMIFS(miercoles!$F:$F, miercoles!$A:$A, $A171, miercoles!$C:$C, "VENTA") +
 SUMIFS(jueves!$F:$F, jueves!$A:$A, $A171, jueves!$C:$C, "VENTA") +
 SUMIFS(viernes!$F:$F, viernes!$A:$A, $A171, viernes!$C:$C, "VENTA") +
 SUMIFS(sabado!$F:$F, sabado!$A:$A, $A171, sabado!$C:$C, "VENTA")</f>
        <v>0</v>
      </c>
      <c r="K171">
        <f t="shared" si="17"/>
        <v>0</v>
      </c>
    </row>
    <row r="172" spans="1:11" x14ac:dyDescent="0.3">
      <c r="A172" s="1" t="str">
        <f>Configuracion!A173</f>
        <v>VENTILADOR DE PARED RECARGABLE</v>
      </c>
      <c r="B172">
        <f>VLOOKUP(A172, Configuracion!A:B, 2, FALSE)</f>
        <v>0</v>
      </c>
      <c r="C172">
        <f>SUMIFS(lunes!D:D, lunes!A:A, A172, lunes!C:C, "VENTA") +
 SUMIFS(martes!D:D, martes!A:A, A172, martes!C:C, "VENTA") +
 SUMIFS(miercoles!D:D, miercoles!A:A, A172, miercoles!C:C, "VENTA") +
 SUMIFS(jueves!D:D, jueves!A:A, A172, jueves!C:C, "VENTA") +
 SUMIFS(viernes!D:D, viernes!A:A, A172, viernes!C:C, "VENTA") +
 SUMIFS(sabado!D:D, sabado!A:A, A172, sabado!C:C, "VENTA")</f>
        <v>0</v>
      </c>
      <c r="D172">
        <f>SUMIFS(lunes!$D:$D, lunes!$A:$A, $A172, lunes!$C:$C, "ENTRADA") +
 SUMIFS(martes!$D:$D, martes!$A:$A, $A172, martes!$C:$C, "ENTRADA") +
 SUMIFS(miercoles!$D:$D, miercoles!$A:$A, $A172, miercoles!$C:$C, "ENTRADA") +
 SUMIFS(jueves!$D:$D, jueves!$A:$A, $A172, jueves!$C:$C, "ENTRADA") +
 SUMIFS(viernes!$D:$D, viernes!$A:$A, $A172, viernes!$C:$C, "ENTRADA") +
 SUMIFS(sabado!$D:$D, sabado!$A:$A, $A172, sabado!$C:$C, "ENTRADA")</f>
        <v>0</v>
      </c>
      <c r="E172">
        <f>SUMIFS(lunes!$D:$D, lunes!$A:$A, $A172, lunes!$C:$C, "SALIDA") +
 SUMIFS(martes!$D:$D, martes!$A:$A, $A172, martes!$C:$C, "SALIDA") +
 SUMIFS(miercoles!$D:$D, miercoles!$A:$A, $A172, miercoles!$C:$C, "SALIDA") +
 SUMIFS(jueves!$D:$D, jueves!$A:$A, $A172, jueves!$C:$C, "SALIDA") +
 SUMIFS(viernes!$D:$D, viernes!$A:$A, $A172, viernes!$C:$C, "SALIDA") +
 SUMIFS(sabado!$D:$D, sabado!$A:$A, $A172, sabado!$C:$C, "SALIDA")</f>
        <v>0</v>
      </c>
      <c r="F172">
        <f t="shared" si="15"/>
        <v>0</v>
      </c>
      <c r="G172">
        <f>IFERROR(VLOOKUP(A172, sabado!A:I, 9, 0),
 IFERROR(VLOOKUP(A172, viernes!A:I, 9, 0),
 IFERROR(VLOOKUP(A172, jueves!A:I, 9, 0),
 IFERROR(VLOOKUP(A172, miercoles!A:I, 9, 0),
 IFERROR(VLOOKUP(A172, martes!A:I, 9, 0),
 IFERROR(VLOOKUP(A172, lunes!A:I, 9, 0),
 B172))))))</f>
        <v>0</v>
      </c>
      <c r="H172">
        <f>VLOOKUP(A172, Configuracion!A:C, 3, FALSE)</f>
        <v>65</v>
      </c>
      <c r="I172">
        <f t="shared" si="16"/>
        <v>0</v>
      </c>
      <c r="J172">
        <f>SUMIFS(lunes!$F:$F, lunes!$A:$A, $A172, lunes!$C:$C, "VENTA") +
 SUMIFS(martes!$F:$F, martes!$A:$A, $A172, martes!$C:$C, "VENTA") +
 SUMIFS(miercoles!$F:$F, miercoles!$A:$A, $A172, miercoles!$C:$C, "VENTA") +
 SUMIFS(jueves!$F:$F, jueves!$A:$A, $A172, jueves!$C:$C, "VENTA") +
 SUMIFS(viernes!$F:$F, viernes!$A:$A, $A172, viernes!$C:$C, "VENTA") +
 SUMIFS(sabado!$F:$F, sabado!$A:$A, $A172, sabado!$C:$C, "VENTA")</f>
        <v>0</v>
      </c>
      <c r="K172">
        <f t="shared" si="17"/>
        <v>0</v>
      </c>
    </row>
    <row r="173" spans="1:11" x14ac:dyDescent="0.3">
      <c r="A173" s="1" t="str">
        <f>Configuracion!A174</f>
        <v xml:space="preserve">VENTILADOR DE PARED EKO </v>
      </c>
      <c r="B173">
        <f>VLOOKUP(A173, Configuracion!A:B, 2, FALSE)</f>
        <v>2</v>
      </c>
      <c r="C173">
        <f>SUMIFS(lunes!D:D, lunes!A:A, A173, lunes!C:C, "VENTA") +
 SUMIFS(martes!D:D, martes!A:A, A173, martes!C:C, "VENTA") +
 SUMIFS(miercoles!D:D, miercoles!A:A, A173, miercoles!C:C, "VENTA") +
 SUMIFS(jueves!D:D, jueves!A:A, A173, jueves!C:C, "VENTA") +
 SUMIFS(viernes!D:D, viernes!A:A, A173, viernes!C:C, "VENTA") +
 SUMIFS(sabado!D:D, sabado!A:A, A173, sabado!C:C, "VENTA")</f>
        <v>0</v>
      </c>
      <c r="D173">
        <f>SUMIFS(lunes!$D:$D, lunes!$A:$A, $A173, lunes!$C:$C, "ENTRADA") +
 SUMIFS(martes!$D:$D, martes!$A:$A, $A173, martes!$C:$C, "ENTRADA") +
 SUMIFS(miercoles!$D:$D, miercoles!$A:$A, $A173, miercoles!$C:$C, "ENTRADA") +
 SUMIFS(jueves!$D:$D, jueves!$A:$A, $A173, jueves!$C:$C, "ENTRADA") +
 SUMIFS(viernes!$D:$D, viernes!$A:$A, $A173, viernes!$C:$C, "ENTRADA") +
 SUMIFS(sabado!$D:$D, sabado!$A:$A, $A173, sabado!$C:$C, "ENTRADA")</f>
        <v>0</v>
      </c>
      <c r="E173">
        <f>SUMIFS(lunes!$D:$D, lunes!$A:$A, $A173, lunes!$C:$C, "SALIDA") +
 SUMIFS(martes!$D:$D, martes!$A:$A, $A173, martes!$C:$C, "SALIDA") +
 SUMIFS(miercoles!$D:$D, miercoles!$A:$A, $A173, miercoles!$C:$C, "SALIDA") +
 SUMIFS(jueves!$D:$D, jueves!$A:$A, $A173, jueves!$C:$C, "SALIDA") +
 SUMIFS(viernes!$D:$D, viernes!$A:$A, $A173, viernes!$C:$C, "SALIDA") +
 SUMIFS(sabado!$D:$D, sabado!$A:$A, $A173, sabado!$C:$C, "SALIDA")</f>
        <v>0</v>
      </c>
      <c r="F173">
        <f t="shared" si="15"/>
        <v>2</v>
      </c>
      <c r="G173">
        <f>IFERROR(VLOOKUP(A173, sabado!A:I, 9, 0),
 IFERROR(VLOOKUP(A173, viernes!A:I, 9, 0),
 IFERROR(VLOOKUP(A173, jueves!A:I, 9, 0),
 IFERROR(VLOOKUP(A173, miercoles!A:I, 9, 0),
 IFERROR(VLOOKUP(A173, martes!A:I, 9, 0),
 IFERROR(VLOOKUP(A173, lunes!A:I, 9, 0),
 B173))))))</f>
        <v>2</v>
      </c>
      <c r="H173">
        <f>VLOOKUP(A173, Configuracion!A:C, 3, FALSE)</f>
        <v>50</v>
      </c>
      <c r="I173">
        <f t="shared" si="16"/>
        <v>0</v>
      </c>
      <c r="J173">
        <f>SUMIFS(lunes!$F:$F, lunes!$A:$A, $A173, lunes!$C:$C, "VENTA") +
 SUMIFS(martes!$F:$F, martes!$A:$A, $A173, martes!$C:$C, "VENTA") +
 SUMIFS(miercoles!$F:$F, miercoles!$A:$A, $A173, miercoles!$C:$C, "VENTA") +
 SUMIFS(jueves!$F:$F, jueves!$A:$A, $A173, jueves!$C:$C, "VENTA") +
 SUMIFS(viernes!$F:$F, viernes!$A:$A, $A173, viernes!$C:$C, "VENTA") +
 SUMIFS(sabado!$F:$F, sabado!$A:$A, $A173, sabado!$C:$C, "VENTA")</f>
        <v>0</v>
      </c>
      <c r="K173">
        <f t="shared" si="17"/>
        <v>0</v>
      </c>
    </row>
    <row r="174" spans="1:11" x14ac:dyDescent="0.3">
      <c r="A174" s="1" t="str">
        <f>Configuracion!A175</f>
        <v>VENTILADOR INDUSTRIAL 30</v>
      </c>
      <c r="B174">
        <f>VLOOKUP(A174, Configuracion!A:B, 2, FALSE)</f>
        <v>0</v>
      </c>
      <c r="C174">
        <f>SUMIFS(lunes!D:D, lunes!A:A, A174, lunes!C:C, "VENTA") +
 SUMIFS(martes!D:D, martes!A:A, A174, martes!C:C, "VENTA") +
 SUMIFS(miercoles!D:D, miercoles!A:A, A174, miercoles!C:C, "VENTA") +
 SUMIFS(jueves!D:D, jueves!A:A, A174, jueves!C:C, "VENTA") +
 SUMIFS(viernes!D:D, viernes!A:A, A174, viernes!C:C, "VENTA") +
 SUMIFS(sabado!D:D, sabado!A:A, A174, sabado!C:C, "VENTA")</f>
        <v>0</v>
      </c>
      <c r="D174">
        <f>SUMIFS(lunes!$D:$D, lunes!$A:$A, $A174, lunes!$C:$C, "ENTRADA") +
 SUMIFS(martes!$D:$D, martes!$A:$A, $A174, martes!$C:$C, "ENTRADA") +
 SUMIFS(miercoles!$D:$D, miercoles!$A:$A, $A174, miercoles!$C:$C, "ENTRADA") +
 SUMIFS(jueves!$D:$D, jueves!$A:$A, $A174, jueves!$C:$C, "ENTRADA") +
 SUMIFS(viernes!$D:$D, viernes!$A:$A, $A174, viernes!$C:$C, "ENTRADA") +
 SUMIFS(sabado!$D:$D, sabado!$A:$A, $A174, sabado!$C:$C, "ENTRADA")</f>
        <v>0</v>
      </c>
      <c r="E174">
        <f>SUMIFS(lunes!$D:$D, lunes!$A:$A, $A174, lunes!$C:$C, "SALIDA") +
 SUMIFS(martes!$D:$D, martes!$A:$A, $A174, martes!$C:$C, "SALIDA") +
 SUMIFS(miercoles!$D:$D, miercoles!$A:$A, $A174, miercoles!$C:$C, "SALIDA") +
 SUMIFS(jueves!$D:$D, jueves!$A:$A, $A174, jueves!$C:$C, "SALIDA") +
 SUMIFS(viernes!$D:$D, viernes!$A:$A, $A174, viernes!$C:$C, "SALIDA") +
 SUMIFS(sabado!$D:$D, sabado!$A:$A, $A174, sabado!$C:$C, "SALIDA")</f>
        <v>0</v>
      </c>
      <c r="F174">
        <f t="shared" si="15"/>
        <v>0</v>
      </c>
      <c r="G174">
        <f>IFERROR(VLOOKUP(A174, sabado!A:I, 9, 0),
 IFERROR(VLOOKUP(A174, viernes!A:I, 9, 0),
 IFERROR(VLOOKUP(A174, jueves!A:I, 9, 0),
 IFERROR(VLOOKUP(A174, miercoles!A:I, 9, 0),
 IFERROR(VLOOKUP(A174, martes!A:I, 9, 0),
 IFERROR(VLOOKUP(A174, lunes!A:I, 9, 0),
 B174))))))</f>
        <v>0</v>
      </c>
      <c r="H174">
        <f>VLOOKUP(A174, Configuracion!A:C, 3, FALSE)</f>
        <v>140</v>
      </c>
      <c r="I174">
        <f t="shared" si="16"/>
        <v>0</v>
      </c>
      <c r="J174">
        <f>SUMIFS(lunes!$F:$F, lunes!$A:$A, $A174, lunes!$C:$C, "VENTA") +
 SUMIFS(martes!$F:$F, martes!$A:$A, $A174, martes!$C:$C, "VENTA") +
 SUMIFS(miercoles!$F:$F, miercoles!$A:$A, $A174, miercoles!$C:$C, "VENTA") +
 SUMIFS(jueves!$F:$F, jueves!$A:$A, $A174, jueves!$C:$C, "VENTA") +
 SUMIFS(viernes!$F:$F, viernes!$A:$A, $A174, viernes!$C:$C, "VENTA") +
 SUMIFS(sabado!$F:$F, sabado!$A:$A, $A174, sabado!$C:$C, "VENTA")</f>
        <v>0</v>
      </c>
      <c r="K174">
        <f t="shared" si="17"/>
        <v>0</v>
      </c>
    </row>
    <row r="175" spans="1:11" x14ac:dyDescent="0.3">
      <c r="A175" s="1" t="str">
        <f>Configuracion!A176</f>
        <v>VENTILADOR RECARGABLE CHIQUITO DE 20000 MAH F6</v>
      </c>
      <c r="B175">
        <f>VLOOKUP(A175, Configuracion!A:B, 2, FALSE)</f>
        <v>0</v>
      </c>
      <c r="C175">
        <f>SUMIFS(lunes!D:D, lunes!A:A, A175, lunes!C:C, "VENTA") +
 SUMIFS(martes!D:D, martes!A:A, A175, martes!C:C, "VENTA") +
 SUMIFS(miercoles!D:D, miercoles!A:A, A175, miercoles!C:C, "VENTA") +
 SUMIFS(jueves!D:D, jueves!A:A, A175, jueves!C:C, "VENTA") +
 SUMIFS(viernes!D:D, viernes!A:A, A175, viernes!C:C, "VENTA") +
 SUMIFS(sabado!D:D, sabado!A:A, A175, sabado!C:C, "VENTA")</f>
        <v>0</v>
      </c>
      <c r="D175">
        <f>SUMIFS(lunes!$D:$D, lunes!$A:$A, $A175, lunes!$C:$C, "ENTRADA") +
 SUMIFS(martes!$D:$D, martes!$A:$A, $A175, martes!$C:$C, "ENTRADA") +
 SUMIFS(miercoles!$D:$D, miercoles!$A:$A, $A175, miercoles!$C:$C, "ENTRADA") +
 SUMIFS(jueves!$D:$D, jueves!$A:$A, $A175, jueves!$C:$C, "ENTRADA") +
 SUMIFS(viernes!$D:$D, viernes!$A:$A, $A175, viernes!$C:$C, "ENTRADA") +
 SUMIFS(sabado!$D:$D, sabado!$A:$A, $A175, sabado!$C:$C, "ENTRADA")</f>
        <v>0</v>
      </c>
      <c r="E175">
        <f>SUMIFS(lunes!$D:$D, lunes!$A:$A, $A175, lunes!$C:$C, "SALIDA") +
 SUMIFS(martes!$D:$D, martes!$A:$A, $A175, martes!$C:$C, "SALIDA") +
 SUMIFS(miercoles!$D:$D, miercoles!$A:$A, $A175, miercoles!$C:$C, "SALIDA") +
 SUMIFS(jueves!$D:$D, jueves!$A:$A, $A175, jueves!$C:$C, "SALIDA") +
 SUMIFS(viernes!$D:$D, viernes!$A:$A, $A175, viernes!$C:$C, "SALIDA") +
 SUMIFS(sabado!$D:$D, sabado!$A:$A, $A175, sabado!$C:$C, "SALIDA")</f>
        <v>0</v>
      </c>
      <c r="F175">
        <f t="shared" si="15"/>
        <v>0</v>
      </c>
      <c r="G175">
        <f>IFERROR(VLOOKUP(A175, sabado!A:I, 9, 0),
 IFERROR(VLOOKUP(A175, viernes!A:I, 9, 0),
 IFERROR(VLOOKUP(A175, jueves!A:I, 9, 0),
 IFERROR(VLOOKUP(A175, miercoles!A:I, 9, 0),
 IFERROR(VLOOKUP(A175, martes!A:I, 9, 0),
 IFERROR(VLOOKUP(A175, lunes!A:I, 9, 0),
 B175))))))</f>
        <v>0</v>
      </c>
      <c r="H175">
        <f>VLOOKUP(A175, Configuracion!A:C, 3, FALSE)</f>
        <v>55</v>
      </c>
      <c r="I175">
        <f t="shared" si="16"/>
        <v>0</v>
      </c>
      <c r="J175">
        <f>SUMIFS(lunes!$F:$F, lunes!$A:$A, $A175, lunes!$C:$C, "VENTA") +
 SUMIFS(martes!$F:$F, martes!$A:$A, $A175, martes!$C:$C, "VENTA") +
 SUMIFS(miercoles!$F:$F, miercoles!$A:$A, $A175, miercoles!$C:$C, "VENTA") +
 SUMIFS(jueves!$F:$F, jueves!$A:$A, $A175, jueves!$C:$C, "VENTA") +
 SUMIFS(viernes!$F:$F, viernes!$A:$A, $A175, viernes!$C:$C, "VENTA") +
 SUMIFS(sabado!$F:$F, sabado!$A:$A, $A175, sabado!$C:$C, "VENTA")</f>
        <v>0</v>
      </c>
      <c r="K175">
        <f t="shared" si="17"/>
        <v>0</v>
      </c>
    </row>
    <row r="176" spans="1:11" x14ac:dyDescent="0.3">
      <c r="A176" s="1" t="str">
        <f>Configuracion!A177</f>
        <v>VENTILADOR RECARGABLE  SANKEY</v>
      </c>
      <c r="B176">
        <f>VLOOKUP(A176, Configuracion!A:B, 2, FALSE)</f>
        <v>0</v>
      </c>
      <c r="C176">
        <f>SUMIFS(lunes!D:D, lunes!A:A, A176, lunes!C:C, "VENTA") +
 SUMIFS(martes!D:D, martes!A:A, A176, martes!C:C, "VENTA") +
 SUMIFS(miercoles!D:D, miercoles!A:A, A176, miercoles!C:C, "VENTA") +
 SUMIFS(jueves!D:D, jueves!A:A, A176, jueves!C:C, "VENTA") +
 SUMIFS(viernes!D:D, viernes!A:A, A176, viernes!C:C, "VENTA") +
 SUMIFS(sabado!D:D, sabado!A:A, A176, sabado!C:C, "VENTA")</f>
        <v>0</v>
      </c>
      <c r="D176">
        <f>SUMIFS(lunes!$D:$D, lunes!$A:$A, $A176, lunes!$C:$C, "ENTRADA") +
 SUMIFS(martes!$D:$D, martes!$A:$A, $A176, martes!$C:$C, "ENTRADA") +
 SUMIFS(miercoles!$D:$D, miercoles!$A:$A, $A176, miercoles!$C:$C, "ENTRADA") +
 SUMIFS(jueves!$D:$D, jueves!$A:$A, $A176, jueves!$C:$C, "ENTRADA") +
 SUMIFS(viernes!$D:$D, viernes!$A:$A, $A176, viernes!$C:$C, "ENTRADA") +
 SUMIFS(sabado!$D:$D, sabado!$A:$A, $A176, sabado!$C:$C, "ENTRADA")</f>
        <v>0</v>
      </c>
      <c r="E176">
        <f>SUMIFS(lunes!$D:$D, lunes!$A:$A, $A176, lunes!$C:$C, "SALIDA") +
 SUMIFS(martes!$D:$D, martes!$A:$A, $A176, martes!$C:$C, "SALIDA") +
 SUMIFS(miercoles!$D:$D, miercoles!$A:$A, $A176, miercoles!$C:$C, "SALIDA") +
 SUMIFS(jueves!$D:$D, jueves!$A:$A, $A176, jueves!$C:$C, "SALIDA") +
 SUMIFS(viernes!$D:$D, viernes!$A:$A, $A176, viernes!$C:$C, "SALIDA") +
 SUMIFS(sabado!$D:$D, sabado!$A:$A, $A176, sabado!$C:$C, "SALIDA")</f>
        <v>0</v>
      </c>
      <c r="F176">
        <f t="shared" si="15"/>
        <v>0</v>
      </c>
      <c r="G176">
        <f>IFERROR(VLOOKUP(A176, sabado!A:I, 9, 0),
 IFERROR(VLOOKUP(A176, viernes!A:I, 9, 0),
 IFERROR(VLOOKUP(A176, jueves!A:I, 9, 0),
 IFERROR(VLOOKUP(A176, miercoles!A:I, 9, 0),
 IFERROR(VLOOKUP(A176, martes!A:I, 9, 0),
 IFERROR(VLOOKUP(A176, lunes!A:I, 9, 0),
 B176))))))</f>
        <v>0</v>
      </c>
      <c r="H176">
        <f>VLOOKUP(A176, Configuracion!A:C, 3, FALSE)</f>
        <v>70</v>
      </c>
      <c r="I176">
        <f t="shared" si="16"/>
        <v>0</v>
      </c>
      <c r="J176">
        <f>SUMIFS(lunes!$F:$F, lunes!$A:$A, $A176, lunes!$C:$C, "VENTA") +
 SUMIFS(martes!$F:$F, martes!$A:$A, $A176, martes!$C:$C, "VENTA") +
 SUMIFS(miercoles!$F:$F, miercoles!$A:$A, $A176, miercoles!$C:$C, "VENTA") +
 SUMIFS(jueves!$F:$F, jueves!$A:$A, $A176, jueves!$C:$C, "VENTA") +
 SUMIFS(viernes!$F:$F, viernes!$A:$A, $A176, viernes!$C:$C, "VENTA") +
 SUMIFS(sabado!$F:$F, sabado!$A:$A, $A176, sabado!$C:$C, "VENTA")</f>
        <v>0</v>
      </c>
      <c r="K176">
        <f t="shared" si="17"/>
        <v>0</v>
      </c>
    </row>
    <row r="177" spans="1:11" x14ac:dyDescent="0.3">
      <c r="A177" s="1" t="str">
        <f>Configuracion!A178</f>
        <v>VENTILADOR RECARGABLE CON PANEL , MARCA FERRE</v>
      </c>
      <c r="B177">
        <f>VLOOKUP(A177, Configuracion!A:B, 2, FALSE)</f>
        <v>0</v>
      </c>
      <c r="C177">
        <f>SUMIFS(lunes!D:D, lunes!A:A, A177, lunes!C:C, "VENTA") +
 SUMIFS(martes!D:D, martes!A:A, A177, martes!C:C, "VENTA") +
 SUMIFS(miercoles!D:D, miercoles!A:A, A177, miercoles!C:C, "VENTA") +
 SUMIFS(jueves!D:D, jueves!A:A, A177, jueves!C:C, "VENTA") +
 SUMIFS(viernes!D:D, viernes!A:A, A177, viernes!C:C, "VENTA") +
 SUMIFS(sabado!D:D, sabado!A:A, A177, sabado!C:C, "VENTA")</f>
        <v>0</v>
      </c>
      <c r="D177">
        <f>SUMIFS(lunes!$D:$D, lunes!$A:$A, $A177, lunes!$C:$C, "ENTRADA") +
 SUMIFS(martes!$D:$D, martes!$A:$A, $A177, martes!$C:$C, "ENTRADA") +
 SUMIFS(miercoles!$D:$D, miercoles!$A:$A, $A177, miercoles!$C:$C, "ENTRADA") +
 SUMIFS(jueves!$D:$D, jueves!$A:$A, $A177, jueves!$C:$C, "ENTRADA") +
 SUMIFS(viernes!$D:$D, viernes!$A:$A, $A177, viernes!$C:$C, "ENTRADA") +
 SUMIFS(sabado!$D:$D, sabado!$A:$A, $A177, sabado!$C:$C, "ENTRADA")</f>
        <v>0</v>
      </c>
      <c r="E177">
        <f>SUMIFS(lunes!$D:$D, lunes!$A:$A, $A177, lunes!$C:$C, "SALIDA") +
 SUMIFS(martes!$D:$D, martes!$A:$A, $A177, martes!$C:$C, "SALIDA") +
 SUMIFS(miercoles!$D:$D, miercoles!$A:$A, $A177, miercoles!$C:$C, "SALIDA") +
 SUMIFS(jueves!$D:$D, jueves!$A:$A, $A177, jueves!$C:$C, "SALIDA") +
 SUMIFS(viernes!$D:$D, viernes!$A:$A, $A177, viernes!$C:$C, "SALIDA") +
 SUMIFS(sabado!$D:$D, sabado!$A:$A, $A177, sabado!$C:$C, "SALIDA")</f>
        <v>0</v>
      </c>
      <c r="F177">
        <f t="shared" si="15"/>
        <v>0</v>
      </c>
      <c r="G177">
        <f>IFERROR(VLOOKUP(A177, sabado!A:I, 9, 0),
 IFERROR(VLOOKUP(A177, viernes!A:I, 9, 0),
 IFERROR(VLOOKUP(A177, jueves!A:I, 9, 0),
 IFERROR(VLOOKUP(A177, miercoles!A:I, 9, 0),
 IFERROR(VLOOKUP(A177, martes!A:I, 9, 0),
 IFERROR(VLOOKUP(A177, lunes!A:I, 9, 0),
 B177))))))</f>
        <v>0</v>
      </c>
      <c r="H177">
        <f>VLOOKUP(A177, Configuracion!A:C, 3, FALSE)</f>
        <v>90</v>
      </c>
      <c r="I177">
        <f t="shared" si="16"/>
        <v>0</v>
      </c>
      <c r="J177">
        <f>SUMIFS(lunes!$F:$F, lunes!$A:$A, $A177, lunes!$C:$C, "VENTA") +
 SUMIFS(martes!$F:$F, martes!$A:$A, $A177, martes!$C:$C, "VENTA") +
 SUMIFS(miercoles!$F:$F, miercoles!$A:$A, $A177, miercoles!$C:$C, "VENTA") +
 SUMIFS(jueves!$F:$F, jueves!$A:$A, $A177, jueves!$C:$C, "VENTA") +
 SUMIFS(viernes!$F:$F, viernes!$A:$A, $A177, viernes!$C:$C, "VENTA") +
 SUMIFS(sabado!$F:$F, sabado!$A:$A, $A177, sabado!$C:$C, "VENTA")</f>
        <v>0</v>
      </c>
      <c r="K177">
        <f t="shared" si="17"/>
        <v>0</v>
      </c>
    </row>
    <row r="178" spans="1:11" x14ac:dyDescent="0.3">
      <c r="A178" s="1" t="str">
        <f>Configuracion!A179</f>
        <v>VENTILADOR RECARGABLE CON PANEL y LAMPARA</v>
      </c>
      <c r="B178">
        <f>VLOOKUP(A178, Configuracion!A:B, 2, FALSE)</f>
        <v>0</v>
      </c>
      <c r="C178">
        <f>SUMIFS(lunes!D:D, lunes!A:A, A178, lunes!C:C, "VENTA") +
 SUMIFS(martes!D:D, martes!A:A, A178, martes!C:C, "VENTA") +
 SUMIFS(miercoles!D:D, miercoles!A:A, A178, miercoles!C:C, "VENTA") +
 SUMIFS(jueves!D:D, jueves!A:A, A178, jueves!C:C, "VENTA") +
 SUMIFS(viernes!D:D, viernes!A:A, A178, viernes!C:C, "VENTA") +
 SUMIFS(sabado!D:D, sabado!A:A, A178, sabado!C:C, "VENTA")</f>
        <v>0</v>
      </c>
      <c r="D178">
        <f>SUMIFS(lunes!$D:$D, lunes!$A:$A, $A178, lunes!$C:$C, "ENTRADA") +
 SUMIFS(martes!$D:$D, martes!$A:$A, $A178, martes!$C:$C, "ENTRADA") +
 SUMIFS(miercoles!$D:$D, miercoles!$A:$A, $A178, miercoles!$C:$C, "ENTRADA") +
 SUMIFS(jueves!$D:$D, jueves!$A:$A, $A178, jueves!$C:$C, "ENTRADA") +
 SUMIFS(viernes!$D:$D, viernes!$A:$A, $A178, viernes!$C:$C, "ENTRADA") +
 SUMIFS(sabado!$D:$D, sabado!$A:$A, $A178, sabado!$C:$C, "ENTRADA")</f>
        <v>0</v>
      </c>
      <c r="E178">
        <f>SUMIFS(lunes!$D:$D, lunes!$A:$A, $A178, lunes!$C:$C, "SALIDA") +
 SUMIFS(martes!$D:$D, martes!$A:$A, $A178, martes!$C:$C, "SALIDA") +
 SUMIFS(miercoles!$D:$D, miercoles!$A:$A, $A178, miercoles!$C:$C, "SALIDA") +
 SUMIFS(jueves!$D:$D, jueves!$A:$A, $A178, jueves!$C:$C, "SALIDA") +
 SUMIFS(viernes!$D:$D, viernes!$A:$A, $A178, viernes!$C:$C, "SALIDA") +
 SUMIFS(sabado!$D:$D, sabado!$A:$A, $A178, sabado!$C:$C, "SALIDA")</f>
        <v>0</v>
      </c>
      <c r="F178">
        <f t="shared" si="15"/>
        <v>0</v>
      </c>
      <c r="G178">
        <f>IFERROR(VLOOKUP(A178, sabado!A:I, 9, 0),
 IFERROR(VLOOKUP(A178, viernes!A:I, 9, 0),
 IFERROR(VLOOKUP(A178, jueves!A:I, 9, 0),
 IFERROR(VLOOKUP(A178, miercoles!A:I, 9, 0),
 IFERROR(VLOOKUP(A178, martes!A:I, 9, 0),
 IFERROR(VLOOKUP(A178, lunes!A:I, 9, 0),
 B178))))))</f>
        <v>0</v>
      </c>
      <c r="H178">
        <f>VLOOKUP(A178, Configuracion!A:C, 3, FALSE)</f>
        <v>90</v>
      </c>
      <c r="I178">
        <f t="shared" si="16"/>
        <v>0</v>
      </c>
      <c r="J178">
        <f>SUMIFS(lunes!$F:$F, lunes!$A:$A, $A178, lunes!$C:$C, "VENTA") +
 SUMIFS(martes!$F:$F, martes!$A:$A, $A178, martes!$C:$C, "VENTA") +
 SUMIFS(miercoles!$F:$F, miercoles!$A:$A, $A178, miercoles!$C:$C, "VENTA") +
 SUMIFS(jueves!$F:$F, jueves!$A:$A, $A178, jueves!$C:$C, "VENTA") +
 SUMIFS(viernes!$F:$F, viernes!$A:$A, $A178, viernes!$C:$C, "VENTA") +
 SUMIFS(sabado!$F:$F, sabado!$A:$A, $A178, sabado!$C:$C, "VENTA")</f>
        <v>0</v>
      </c>
      <c r="K178">
        <f t="shared" si="17"/>
        <v>0</v>
      </c>
    </row>
    <row r="179" spans="1:11" x14ac:dyDescent="0.3">
      <c r="A179" s="1" t="str">
        <f>Configuracion!A180</f>
        <v>VENTILADOR DE PEDESTAL EKO 18</v>
      </c>
      <c r="B179">
        <f>VLOOKUP(A179, Configuracion!A:B, 2, FALSE)</f>
        <v>3</v>
      </c>
      <c r="C179">
        <f>SUMIFS(lunes!D:D, lunes!A:A, A179, lunes!C:C, "VENTA") +
 SUMIFS(martes!D:D, martes!A:A, A179, martes!C:C, "VENTA") +
 SUMIFS(miercoles!D:D, miercoles!A:A, A179, miercoles!C:C, "VENTA") +
 SUMIFS(jueves!D:D, jueves!A:A, A179, jueves!C:C, "VENTA") +
 SUMIFS(viernes!D:D, viernes!A:A, A179, viernes!C:C, "VENTA") +
 SUMIFS(sabado!D:D, sabado!A:A, A179, sabado!C:C, "VENTA")</f>
        <v>0</v>
      </c>
      <c r="D179">
        <f>SUMIFS(lunes!$D:$D, lunes!$A:$A, $A179, lunes!$C:$C, "ENTRADA") +
 SUMIFS(martes!$D:$D, martes!$A:$A, $A179, martes!$C:$C, "ENTRADA") +
 SUMIFS(miercoles!$D:$D, miercoles!$A:$A, $A179, miercoles!$C:$C, "ENTRADA") +
 SUMIFS(jueves!$D:$D, jueves!$A:$A, $A179, jueves!$C:$C, "ENTRADA") +
 SUMIFS(viernes!$D:$D, viernes!$A:$A, $A179, viernes!$C:$C, "ENTRADA") +
 SUMIFS(sabado!$D:$D, sabado!$A:$A, $A179, sabado!$C:$C, "ENTRADA")</f>
        <v>0</v>
      </c>
      <c r="E179">
        <f>SUMIFS(lunes!$D:$D, lunes!$A:$A, $A179, lunes!$C:$C, "SALIDA") +
 SUMIFS(martes!$D:$D, martes!$A:$A, $A179, martes!$C:$C, "SALIDA") +
 SUMIFS(miercoles!$D:$D, miercoles!$A:$A, $A179, miercoles!$C:$C, "SALIDA") +
 SUMIFS(jueves!$D:$D, jueves!$A:$A, $A179, jueves!$C:$C, "SALIDA") +
 SUMIFS(viernes!$D:$D, viernes!$A:$A, $A179, viernes!$C:$C, "SALIDA") +
 SUMIFS(sabado!$D:$D, sabado!$A:$A, $A179, sabado!$C:$C, "SALIDA")</f>
        <v>0</v>
      </c>
      <c r="F179">
        <f t="shared" si="15"/>
        <v>3</v>
      </c>
      <c r="G179">
        <f>IFERROR(VLOOKUP(A179, sabado!A:I, 9, 0),
 IFERROR(VLOOKUP(A179, viernes!A:I, 9, 0),
 IFERROR(VLOOKUP(A179, jueves!A:I, 9, 0),
 IFERROR(VLOOKUP(A179, miercoles!A:I, 9, 0),
 IFERROR(VLOOKUP(A179, martes!A:I, 9, 0),
 IFERROR(VLOOKUP(A179, lunes!A:I, 9, 0),
 B179))))))</f>
        <v>3</v>
      </c>
      <c r="H179">
        <f>VLOOKUP(A179, Configuracion!A:C, 3, FALSE)</f>
        <v>40</v>
      </c>
      <c r="I179">
        <f t="shared" si="16"/>
        <v>0</v>
      </c>
      <c r="J179">
        <f>SUMIFS(lunes!$F:$F, lunes!$A:$A, $A179, lunes!$C:$C, "VENTA") +
 SUMIFS(martes!$F:$F, martes!$A:$A, $A179, martes!$C:$C, "VENTA") +
 SUMIFS(miercoles!$F:$F, miercoles!$A:$A, $A179, miercoles!$C:$C, "VENTA") +
 SUMIFS(jueves!$F:$F, jueves!$A:$A, $A179, jueves!$C:$C, "VENTA") +
 SUMIFS(viernes!$F:$F, viernes!$A:$A, $A179, viernes!$C:$C, "VENTA") +
 SUMIFS(sabado!$F:$F, sabado!$A:$A, $A179, sabado!$C:$C, "VENTA")</f>
        <v>0</v>
      </c>
      <c r="K179">
        <f t="shared" si="17"/>
        <v>0</v>
      </c>
    </row>
    <row r="180" spans="1:11" x14ac:dyDescent="0.3">
      <c r="A180" s="1" t="str">
        <f>Configuracion!A181</f>
        <v>VENTILADOR DE PEDESTAL EKO 16</v>
      </c>
      <c r="B180">
        <f>VLOOKUP(A180, Configuracion!A:B, 2, FALSE)</f>
        <v>4</v>
      </c>
      <c r="C180">
        <f>SUMIFS(lunes!D:D, lunes!A:A, A180, lunes!C:C, "VENTA") +
 SUMIFS(martes!D:D, martes!A:A, A180, martes!C:C, "VENTA") +
 SUMIFS(miercoles!D:D, miercoles!A:A, A180, miercoles!C:C, "VENTA") +
 SUMIFS(jueves!D:D, jueves!A:A, A180, jueves!C:C, "VENTA") +
 SUMIFS(viernes!D:D, viernes!A:A, A180, viernes!C:C, "VENTA") +
 SUMIFS(sabado!D:D, sabado!A:A, A180, sabado!C:C, "VENTA")</f>
        <v>0</v>
      </c>
      <c r="D180">
        <f>SUMIFS(lunes!$D:$D, lunes!$A:$A, $A180, lunes!$C:$C, "ENTRADA") +
 SUMIFS(martes!$D:$D, martes!$A:$A, $A180, martes!$C:$C, "ENTRADA") +
 SUMIFS(miercoles!$D:$D, miercoles!$A:$A, $A180, miercoles!$C:$C, "ENTRADA") +
 SUMIFS(jueves!$D:$D, jueves!$A:$A, $A180, jueves!$C:$C, "ENTRADA") +
 SUMIFS(viernes!$D:$D, viernes!$A:$A, $A180, viernes!$C:$C, "ENTRADA") +
 SUMIFS(sabado!$D:$D, sabado!$A:$A, $A180, sabado!$C:$C, "ENTRADA")</f>
        <v>0</v>
      </c>
      <c r="E180">
        <f>SUMIFS(lunes!$D:$D, lunes!$A:$A, $A180, lunes!$C:$C, "SALIDA") +
 SUMIFS(martes!$D:$D, martes!$A:$A, $A180, martes!$C:$C, "SALIDA") +
 SUMIFS(miercoles!$D:$D, miercoles!$A:$A, $A180, miercoles!$C:$C, "SALIDA") +
 SUMIFS(jueves!$D:$D, jueves!$A:$A, $A180, jueves!$C:$C, "SALIDA") +
 SUMIFS(viernes!$D:$D, viernes!$A:$A, $A180, viernes!$C:$C, "SALIDA") +
 SUMIFS(sabado!$D:$D, sabado!$A:$A, $A180, sabado!$C:$C, "SALIDA")</f>
        <v>0</v>
      </c>
      <c r="F180">
        <f t="shared" si="15"/>
        <v>4</v>
      </c>
      <c r="G180">
        <f>IFERROR(VLOOKUP(A180, sabado!A:I, 9, 0),
 IFERROR(VLOOKUP(A180, viernes!A:I, 9, 0),
 IFERROR(VLOOKUP(A180, jueves!A:I, 9, 0),
 IFERROR(VLOOKUP(A180, miercoles!A:I, 9, 0),
 IFERROR(VLOOKUP(A180, martes!A:I, 9, 0),
 IFERROR(VLOOKUP(A180, lunes!A:I, 9, 0),
 B180))))))</f>
        <v>4</v>
      </c>
      <c r="H180">
        <f>VLOOKUP(A180, Configuracion!A:C, 3, FALSE)</f>
        <v>45</v>
      </c>
      <c r="I180">
        <f t="shared" si="16"/>
        <v>0</v>
      </c>
      <c r="J180">
        <f>SUMIFS(lunes!$F:$F, lunes!$A:$A, $A180, lunes!$C:$C, "VENTA") +
 SUMIFS(martes!$F:$F, martes!$A:$A, $A180, martes!$C:$C, "VENTA") +
 SUMIFS(miercoles!$F:$F, miercoles!$A:$A, $A180, miercoles!$C:$C, "VENTA") +
 SUMIFS(jueves!$F:$F, jueves!$A:$A, $A180, jueves!$C:$C, "VENTA") +
 SUMIFS(viernes!$F:$F, viernes!$A:$A, $A180, viernes!$C:$C, "VENTA") +
 SUMIFS(sabado!$F:$F, sabado!$A:$A, $A180, sabado!$C:$C, "VENTA")</f>
        <v>0</v>
      </c>
      <c r="K180">
        <f t="shared" si="17"/>
        <v>0</v>
      </c>
    </row>
    <row r="181" spans="1:11" x14ac:dyDescent="0.3">
      <c r="A181" s="1" t="str">
        <f>Configuracion!A182</f>
        <v>VENTILADOR DE TECHO ROYAL 56</v>
      </c>
      <c r="B181">
        <f>VLOOKUP(A181, Configuracion!A:B, 2, FALSE)</f>
        <v>0</v>
      </c>
      <c r="C181">
        <f>SUMIFS(lunes!D:D, lunes!A:A, A181, lunes!C:C, "VENTA") +
 SUMIFS(martes!D:D, martes!A:A, A181, martes!C:C, "VENTA") +
 SUMIFS(miercoles!D:D, miercoles!A:A, A181, miercoles!C:C, "VENTA") +
 SUMIFS(jueves!D:D, jueves!A:A, A181, jueves!C:C, "VENTA") +
 SUMIFS(viernes!D:D, viernes!A:A, A181, viernes!C:C, "VENTA") +
 SUMIFS(sabado!D:D, sabado!A:A, A181, sabado!C:C, "VENTA")</f>
        <v>0</v>
      </c>
      <c r="D181">
        <f>SUMIFS(lunes!$D:$D, lunes!$A:$A, $A181, lunes!$C:$C, "ENTRADA") +
 SUMIFS(martes!$D:$D, martes!$A:$A, $A181, martes!$C:$C, "ENTRADA") +
 SUMIFS(miercoles!$D:$D, miercoles!$A:$A, $A181, miercoles!$C:$C, "ENTRADA") +
 SUMIFS(jueves!$D:$D, jueves!$A:$A, $A181, jueves!$C:$C, "ENTRADA") +
 SUMIFS(viernes!$D:$D, viernes!$A:$A, $A181, viernes!$C:$C, "ENTRADA") +
 SUMIFS(sabado!$D:$D, sabado!$A:$A, $A181, sabado!$C:$C, "ENTRADA")</f>
        <v>0</v>
      </c>
      <c r="E181">
        <f>SUMIFS(lunes!$D:$D, lunes!$A:$A, $A181, lunes!$C:$C, "SALIDA") +
 SUMIFS(martes!$D:$D, martes!$A:$A, $A181, martes!$C:$C, "SALIDA") +
 SUMIFS(miercoles!$D:$D, miercoles!$A:$A, $A181, miercoles!$C:$C, "SALIDA") +
 SUMIFS(jueves!$D:$D, jueves!$A:$A, $A181, jueves!$C:$C, "SALIDA") +
 SUMIFS(viernes!$D:$D, viernes!$A:$A, $A181, viernes!$C:$C, "SALIDA") +
 SUMIFS(sabado!$D:$D, sabado!$A:$A, $A181, sabado!$C:$C, "SALIDA")</f>
        <v>0</v>
      </c>
      <c r="F181">
        <f t="shared" si="15"/>
        <v>0</v>
      </c>
      <c r="G181">
        <f>IFERROR(VLOOKUP(A181, sabado!A:I, 9, 0),
 IFERROR(VLOOKUP(A181, viernes!A:I, 9, 0),
 IFERROR(VLOOKUP(A181, jueves!A:I, 9, 0),
 IFERROR(VLOOKUP(A181, miercoles!A:I, 9, 0),
 IFERROR(VLOOKUP(A181, martes!A:I, 9, 0),
 IFERROR(VLOOKUP(A181, lunes!A:I, 9, 0),
 B181))))))</f>
        <v>0</v>
      </c>
      <c r="H181">
        <f>VLOOKUP(A181, Configuracion!A:C, 3, FALSE)</f>
        <v>50</v>
      </c>
      <c r="I181">
        <f t="shared" si="16"/>
        <v>0</v>
      </c>
      <c r="J181">
        <f>SUMIFS(lunes!$F:$F, lunes!$A:$A, $A181, lunes!$C:$C, "VENTA") +
 SUMIFS(martes!$F:$F, martes!$A:$A, $A181, martes!$C:$C, "VENTA") +
 SUMIFS(miercoles!$F:$F, miercoles!$A:$A, $A181, miercoles!$C:$C, "VENTA") +
 SUMIFS(jueves!$F:$F, jueves!$A:$A, $A181, jueves!$C:$C, "VENTA") +
 SUMIFS(viernes!$F:$F, viernes!$A:$A, $A181, viernes!$C:$C, "VENTA") +
 SUMIFS(sabado!$F:$F, sabado!$A:$A, $A181, sabado!$C:$C, "VENTA")</f>
        <v>0</v>
      </c>
      <c r="K181">
        <f t="shared" si="17"/>
        <v>0</v>
      </c>
    </row>
    <row r="182" spans="1:11" x14ac:dyDescent="0.3">
      <c r="A182" s="1" t="str">
        <f>Configuracion!A183</f>
        <v>VITRINA SANKEY 8P</v>
      </c>
      <c r="B182">
        <f>VLOOKUP(A182, Configuracion!A:B, 2, FALSE)</f>
        <v>1</v>
      </c>
      <c r="C182">
        <f>SUMIFS(lunes!D:D, lunes!A:A, A182, lunes!C:C, "VENTA") +
 SUMIFS(martes!D:D, martes!A:A, A182, martes!C:C, "VENTA") +
 SUMIFS(miercoles!D:D, miercoles!A:A, A182, miercoles!C:C, "VENTA") +
 SUMIFS(jueves!D:D, jueves!A:A, A182, jueves!C:C, "VENTA") +
 SUMIFS(viernes!D:D, viernes!A:A, A182, viernes!C:C, "VENTA") +
 SUMIFS(sabado!D:D, sabado!A:A, A182, sabado!C:C, "VENTA")</f>
        <v>0</v>
      </c>
      <c r="D182">
        <f>SUMIFS(lunes!$D:$D, lunes!$A:$A, $A182, lunes!$C:$C, "ENTRADA") +
 SUMIFS(martes!$D:$D, martes!$A:$A, $A182, martes!$C:$C, "ENTRADA") +
 SUMIFS(miercoles!$D:$D, miercoles!$A:$A, $A182, miercoles!$C:$C, "ENTRADA") +
 SUMIFS(jueves!$D:$D, jueves!$A:$A, $A182, jueves!$C:$C, "ENTRADA") +
 SUMIFS(viernes!$D:$D, viernes!$A:$A, $A182, viernes!$C:$C, "ENTRADA") +
 SUMIFS(sabado!$D:$D, sabado!$A:$A, $A182, sabado!$C:$C, "ENTRADA")</f>
        <v>0</v>
      </c>
      <c r="E182">
        <f>SUMIFS(lunes!$D:$D, lunes!$A:$A, $A182, lunes!$C:$C, "SALIDA") +
 SUMIFS(martes!$D:$D, martes!$A:$A, $A182, martes!$C:$C, "SALIDA") +
 SUMIFS(miercoles!$D:$D, miercoles!$A:$A, $A182, miercoles!$C:$C, "SALIDA") +
 SUMIFS(jueves!$D:$D, jueves!$A:$A, $A182, jueves!$C:$C, "SALIDA") +
 SUMIFS(viernes!$D:$D, viernes!$A:$A, $A182, viernes!$C:$C, "SALIDA") +
 SUMIFS(sabado!$D:$D, sabado!$A:$A, $A182, sabado!$C:$C, "SALIDA")</f>
        <v>0</v>
      </c>
      <c r="F182">
        <f t="shared" si="15"/>
        <v>1</v>
      </c>
      <c r="G182">
        <f>IFERROR(VLOOKUP(A182, sabado!A:I, 9, 0),
 IFERROR(VLOOKUP(A182, viernes!A:I, 9, 0),
 IFERROR(VLOOKUP(A182, jueves!A:I, 9, 0),
 IFERROR(VLOOKUP(A182, miercoles!A:I, 9, 0),
 IFERROR(VLOOKUP(A182, martes!A:I, 9, 0),
 IFERROR(VLOOKUP(A182, lunes!A:I, 9, 0),
 B182))))))</f>
        <v>1</v>
      </c>
      <c r="H182">
        <f>VLOOKUP(A182, Configuracion!A:C, 3, FALSE)</f>
        <v>500</v>
      </c>
      <c r="I182">
        <f t="shared" si="16"/>
        <v>0</v>
      </c>
      <c r="J182">
        <f>SUMIFS(lunes!$F:$F, lunes!$A:$A, $A182, lunes!$C:$C, "VENTA") +
 SUMIFS(martes!$F:$F, martes!$A:$A, $A182, martes!$C:$C, "VENTA") +
 SUMIFS(miercoles!$F:$F, miercoles!$A:$A, $A182, miercoles!$C:$C, "VENTA") +
 SUMIFS(jueves!$F:$F, jueves!$A:$A, $A182, jueves!$C:$C, "VENTA") +
 SUMIFS(viernes!$F:$F, viernes!$A:$A, $A182, viernes!$C:$C, "VENTA") +
 SUMIFS(sabado!$F:$F, sabado!$A:$A, $A182, sabado!$C:$C, "VENTA")</f>
        <v>0</v>
      </c>
      <c r="K182">
        <f t="shared" si="17"/>
        <v>0</v>
      </c>
    </row>
    <row r="183" spans="1:11" x14ac:dyDescent="0.3">
      <c r="A183" s="1" t="str">
        <f>Configuracion!A184</f>
        <v>RIEL</v>
      </c>
      <c r="B183">
        <f>VLOOKUP(A183, Configuracion!A:B, 2, FALSE)</f>
        <v>19</v>
      </c>
      <c r="C183">
        <f>SUMIFS(lunes!D:D, lunes!A:A, A183, lunes!C:C, "VENTA") +
 SUMIFS(martes!D:D, martes!A:A, A183, martes!C:C, "VENTA") +
 SUMIFS(miercoles!D:D, miercoles!A:A, A183, miercoles!C:C, "VENTA") +
 SUMIFS(jueves!D:D, jueves!A:A, A183, jueves!C:C, "VENTA") +
 SUMIFS(viernes!D:D, viernes!A:A, A183, viernes!C:C, "VENTA") +
 SUMIFS(sabado!D:D, sabado!A:A, A183, sabado!C:C, "VENTA")</f>
        <v>0</v>
      </c>
      <c r="D183">
        <f>SUMIFS(lunes!$D:$D, lunes!$A:$A, $A183, lunes!$C:$C, "ENTRADA") +
 SUMIFS(martes!$D:$D, martes!$A:$A, $A183, martes!$C:$C, "ENTRADA") +
 SUMIFS(miercoles!$D:$D, miercoles!$A:$A, $A183, miercoles!$C:$C, "ENTRADA") +
 SUMIFS(jueves!$D:$D, jueves!$A:$A, $A183, jueves!$C:$C, "ENTRADA") +
 SUMIFS(viernes!$D:$D, viernes!$A:$A, $A183, viernes!$C:$C, "ENTRADA") +
 SUMIFS(sabado!$D:$D, sabado!$A:$A, $A183, sabado!$C:$C, "ENTRADA")</f>
        <v>0</v>
      </c>
      <c r="E183">
        <f>SUMIFS(lunes!$D:$D, lunes!$A:$A, $A183, lunes!$C:$C, "SALIDA") +
 SUMIFS(martes!$D:$D, martes!$A:$A, $A183, martes!$C:$C, "SALIDA") +
 SUMIFS(miercoles!$D:$D, miercoles!$A:$A, $A183, miercoles!$C:$C, "SALIDA") +
 SUMIFS(jueves!$D:$D, jueves!$A:$A, $A183, jueves!$C:$C, "SALIDA") +
 SUMIFS(viernes!$D:$D, viernes!$A:$A, $A183, viernes!$C:$C, "SALIDA") +
 SUMIFS(sabado!$D:$D, sabado!$A:$A, $A183, sabado!$C:$C, "SALIDA")</f>
        <v>2</v>
      </c>
      <c r="F183">
        <f t="shared" si="15"/>
        <v>17</v>
      </c>
      <c r="G183">
        <f>IFERROR(VLOOKUP(A183, sabado!A:I, 9, 0),
 IFERROR(VLOOKUP(A183, viernes!A:I, 9, 0),
 IFERROR(VLOOKUP(A183, jueves!A:I, 9, 0),
 IFERROR(VLOOKUP(A183, miercoles!A:I, 9, 0),
 IFERROR(VLOOKUP(A183, martes!A:I, 9, 0),
 IFERROR(VLOOKUP(A183, lunes!A:I, 9, 0),
 B183))))))</f>
        <v>17</v>
      </c>
      <c r="H183">
        <f>VLOOKUP(A183, Configuracion!A:C, 3, FALSE)</f>
        <v>0</v>
      </c>
      <c r="I183">
        <f t="shared" si="16"/>
        <v>0</v>
      </c>
      <c r="J183">
        <f>SUMIFS(lunes!$F:$F, lunes!$A:$A, $A183, lunes!$C:$C, "VENTA") +
 SUMIFS(martes!$F:$F, martes!$A:$A, $A183, martes!$C:$C, "VENTA") +
 SUMIFS(miercoles!$F:$F, miercoles!$A:$A, $A183, miercoles!$C:$C, "VENTA") +
 SUMIFS(jueves!$F:$F, jueves!$A:$A, $A183, jueves!$C:$C, "VENTA") +
 SUMIFS(viernes!$F:$F, viernes!$A:$A, $A183, viernes!$C:$C, "VENTA") +
 SUMIFS(sabado!$F:$F, sabado!$A:$A, $A183, sabado!$C:$C, "VENTA")</f>
        <v>0</v>
      </c>
      <c r="K183">
        <f t="shared" si="17"/>
        <v>0</v>
      </c>
    </row>
    <row r="184" spans="1:11" x14ac:dyDescent="0.3">
      <c r="A184" s="1" t="str">
        <f>Configuracion!A185</f>
        <v>CONECTOR DE RIEL</v>
      </c>
      <c r="B184">
        <f>VLOOKUP(A184, Configuracion!A:B, 2, FALSE)</f>
        <v>12</v>
      </c>
      <c r="C184">
        <f>SUMIFS(lunes!D:D, lunes!A:A, A184, lunes!C:C, "VENTA") +
 SUMIFS(martes!D:D, martes!A:A, A184, martes!C:C, "VENTA") +
 SUMIFS(miercoles!D:D, miercoles!A:A, A184, miercoles!C:C, "VENTA") +
 SUMIFS(jueves!D:D, jueves!A:A, A184, jueves!C:C, "VENTA") +
 SUMIFS(viernes!D:D, viernes!A:A, A184, viernes!C:C, "VENTA") +
 SUMIFS(sabado!D:D, sabado!A:A, A184, sabado!C:C, "VENTA")</f>
        <v>0</v>
      </c>
      <c r="D184">
        <f>SUMIFS(lunes!$D:$D, lunes!$A:$A, $A184, lunes!$C:$C, "ENTRADA") +
 SUMIFS(martes!$D:$D, martes!$A:$A, $A184, martes!$C:$C, "ENTRADA") +
 SUMIFS(miercoles!$D:$D, miercoles!$A:$A, $A184, miercoles!$C:$C, "ENTRADA") +
 SUMIFS(jueves!$D:$D, jueves!$A:$A, $A184, jueves!$C:$C, "ENTRADA") +
 SUMIFS(viernes!$D:$D, viernes!$A:$A, $A184, viernes!$C:$C, "ENTRADA") +
 SUMIFS(sabado!$D:$D, sabado!$A:$A, $A184, sabado!$C:$C, "ENTRADA")</f>
        <v>0</v>
      </c>
      <c r="E184">
        <f>SUMIFS(lunes!$D:$D, lunes!$A:$A, $A184, lunes!$C:$C, "SALIDA") +
 SUMIFS(martes!$D:$D, martes!$A:$A, $A184, martes!$C:$C, "SALIDA") +
 SUMIFS(miercoles!$D:$D, miercoles!$A:$A, $A184, miercoles!$C:$C, "SALIDA") +
 SUMIFS(jueves!$D:$D, jueves!$A:$A, $A184, jueves!$C:$C, "SALIDA") +
 SUMIFS(viernes!$D:$D, viernes!$A:$A, $A184, viernes!$C:$C, "SALIDA") +
 SUMIFS(sabado!$D:$D, sabado!$A:$A, $A184, sabado!$C:$C, "SALIDA")</f>
        <v>0</v>
      </c>
      <c r="F184">
        <f t="shared" si="15"/>
        <v>12</v>
      </c>
      <c r="G184">
        <f>IFERROR(VLOOKUP(A184, sabado!A:I, 9, 0),
 IFERROR(VLOOKUP(A184, viernes!A:I, 9, 0),
 IFERROR(VLOOKUP(A184, jueves!A:I, 9, 0),
 IFERROR(VLOOKUP(A184, miercoles!A:I, 9, 0),
 IFERROR(VLOOKUP(A184, martes!A:I, 9, 0),
 IFERROR(VLOOKUP(A184, lunes!A:I, 9, 0),
 B184))))))</f>
        <v>12</v>
      </c>
      <c r="H184">
        <f>VLOOKUP(A184, Configuracion!A:C, 3, FALSE)</f>
        <v>0</v>
      </c>
      <c r="I184">
        <f t="shared" si="16"/>
        <v>0</v>
      </c>
      <c r="J184">
        <f>SUMIFS(lunes!$F:$F, lunes!$A:$A, $A184, lunes!$C:$C, "VENTA") +
 SUMIFS(martes!$F:$F, martes!$A:$A, $A184, martes!$C:$C, "VENTA") +
 SUMIFS(miercoles!$F:$F, miercoles!$A:$A, $A184, miercoles!$C:$C, "VENTA") +
 SUMIFS(jueves!$F:$F, jueves!$A:$A, $A184, jueves!$C:$C, "VENTA") +
 SUMIFS(viernes!$F:$F, viernes!$A:$A, $A184, viernes!$C:$C, "VENTA") +
 SUMIFS(sabado!$F:$F, sabado!$A:$A, $A184, sabado!$C:$C, "VENTA")</f>
        <v>0</v>
      </c>
      <c r="K184">
        <f t="shared" si="17"/>
        <v>0</v>
      </c>
    </row>
    <row r="185" spans="1:11" x14ac:dyDescent="0.3">
      <c r="A185" s="1" t="str">
        <f>Configuracion!A186</f>
        <v>EXPANCIONADORES</v>
      </c>
      <c r="B185">
        <f>VLOOKUP(A185, Configuracion!A:B, 2, FALSE)</f>
        <v>200</v>
      </c>
      <c r="C185">
        <f>SUMIFS(lunes!D:D, lunes!A:A, A185, lunes!C:C, "VENTA") +
 SUMIFS(martes!D:D, martes!A:A, A185, martes!C:C, "VENTA") +
 SUMIFS(miercoles!D:D, miercoles!A:A, A185, miercoles!C:C, "VENTA") +
 SUMIFS(jueves!D:D, jueves!A:A, A185, jueves!C:C, "VENTA") +
 SUMIFS(viernes!D:D, viernes!A:A, A185, viernes!C:C, "VENTA") +
 SUMIFS(sabado!D:D, sabado!A:A, A185, sabado!C:C, "VENTA")</f>
        <v>0</v>
      </c>
      <c r="D185">
        <f>SUMIFS(lunes!$D:$D, lunes!$A:$A, $A185, lunes!$C:$C, "ENTRADA") +
 SUMIFS(martes!$D:$D, martes!$A:$A, $A185, martes!$C:$C, "ENTRADA") +
 SUMIFS(miercoles!$D:$D, miercoles!$A:$A, $A185, miercoles!$C:$C, "ENTRADA") +
 SUMIFS(jueves!$D:$D, jueves!$A:$A, $A185, jueves!$C:$C, "ENTRADA") +
 SUMIFS(viernes!$D:$D, viernes!$A:$A, $A185, viernes!$C:$C, "ENTRADA") +
 SUMIFS(sabado!$D:$D, sabado!$A:$A, $A185, sabado!$C:$C, "ENTRADA")</f>
        <v>0</v>
      </c>
      <c r="E185">
        <f>SUMIFS(lunes!$D:$D, lunes!$A:$A, $A185, lunes!$C:$C, "SALIDA") +
 SUMIFS(martes!$D:$D, martes!$A:$A, $A185, martes!$C:$C, "SALIDA") +
 SUMIFS(miercoles!$D:$D, miercoles!$A:$A, $A185, miercoles!$C:$C, "SALIDA") +
 SUMIFS(jueves!$D:$D, jueves!$A:$A, $A185, jueves!$C:$C, "SALIDA") +
 SUMIFS(viernes!$D:$D, viernes!$A:$A, $A185, viernes!$C:$C, "SALIDA") +
 SUMIFS(sabado!$D:$D, sabado!$A:$A, $A185, sabado!$C:$C, "SALIDA")</f>
        <v>12</v>
      </c>
      <c r="F185">
        <f t="shared" si="15"/>
        <v>188</v>
      </c>
      <c r="G185">
        <f>IFERROR(VLOOKUP(A185, sabado!A:I, 9, 0),
 IFERROR(VLOOKUP(A185, viernes!A:I, 9, 0),
 IFERROR(VLOOKUP(A185, jueves!A:I, 9, 0),
 IFERROR(VLOOKUP(A185, miercoles!A:I, 9, 0),
 IFERROR(VLOOKUP(A185, martes!A:I, 9, 0),
 IFERROR(VLOOKUP(A185, lunes!A:I, 9, 0),
 B185))))))</f>
        <v>188</v>
      </c>
      <c r="H185">
        <f>VLOOKUP(A185, Configuracion!A:C, 3, FALSE)</f>
        <v>0</v>
      </c>
      <c r="I185">
        <f t="shared" si="16"/>
        <v>0</v>
      </c>
      <c r="J185">
        <f>SUMIFS(lunes!$F:$F, lunes!$A:$A, $A185, lunes!$C:$C, "VENTA") +
 SUMIFS(martes!$F:$F, martes!$A:$A, $A185, martes!$C:$C, "VENTA") +
 SUMIFS(miercoles!$F:$F, miercoles!$A:$A, $A185, miercoles!$C:$C, "VENTA") +
 SUMIFS(jueves!$F:$F, jueves!$A:$A, $A185, jueves!$C:$C, "VENTA") +
 SUMIFS(viernes!$F:$F, viernes!$A:$A, $A185, viernes!$C:$C, "VENTA") +
 SUMIFS(sabado!$F:$F, sabado!$A:$A, $A185, sabado!$C:$C, "VENTA")</f>
        <v>0</v>
      </c>
      <c r="K185">
        <f t="shared" si="17"/>
        <v>0</v>
      </c>
    </row>
    <row r="186" spans="1:11" x14ac:dyDescent="0.3">
      <c r="A186" s="1" t="str">
        <f>Configuracion!A187</f>
        <v>PLATINAS</v>
      </c>
      <c r="B186">
        <f>VLOOKUP(A186, Configuracion!A:B, 2, FALSE)</f>
        <v>9</v>
      </c>
      <c r="C186">
        <f>SUMIFS(lunes!D:D, lunes!A:A, A186, lunes!C:C, "VENTA") +
 SUMIFS(martes!D:D, martes!A:A, A186, martes!C:C, "VENTA") +
 SUMIFS(miercoles!D:D, miercoles!A:A, A186, miercoles!C:C, "VENTA") +
 SUMIFS(jueves!D:D, jueves!A:A, A186, jueves!C:C, "VENTA") +
 SUMIFS(viernes!D:D, viernes!A:A, A186, viernes!C:C, "VENTA") +
 SUMIFS(sabado!D:D, sabado!A:A, A186, sabado!C:C, "VENTA")</f>
        <v>0</v>
      </c>
      <c r="D186">
        <f>SUMIFS(lunes!$D:$D, lunes!$A:$A, $A186, lunes!$C:$C, "ENTRADA") +
 SUMIFS(martes!$D:$D, martes!$A:$A, $A186, martes!$C:$C, "ENTRADA") +
 SUMIFS(miercoles!$D:$D, miercoles!$A:$A, $A186, miercoles!$C:$C, "ENTRADA") +
 SUMIFS(jueves!$D:$D, jueves!$A:$A, $A186, jueves!$C:$C, "ENTRADA") +
 SUMIFS(viernes!$D:$D, viernes!$A:$A, $A186, viernes!$C:$C, "ENTRADA") +
 SUMIFS(sabado!$D:$D, sabado!$A:$A, $A186, sabado!$C:$C, "ENTRADA")</f>
        <v>0</v>
      </c>
      <c r="E186">
        <f>SUMIFS(lunes!$D:$D, lunes!$A:$A, $A186, lunes!$C:$C, "SALIDA") +
 SUMIFS(martes!$D:$D, martes!$A:$A, $A186, martes!$C:$C, "SALIDA") +
 SUMIFS(miercoles!$D:$D, miercoles!$A:$A, $A186, miercoles!$C:$C, "SALIDA") +
 SUMIFS(jueves!$D:$D, jueves!$A:$A, $A186, jueves!$C:$C, "SALIDA") +
 SUMIFS(viernes!$D:$D, viernes!$A:$A, $A186, viernes!$C:$C, "SALIDA") +
 SUMIFS(sabado!$D:$D, sabado!$A:$A, $A186, sabado!$C:$C, "SALIDA")</f>
        <v>1</v>
      </c>
      <c r="F186">
        <f t="shared" si="15"/>
        <v>8</v>
      </c>
      <c r="G186">
        <f>IFERROR(VLOOKUP(A186, sabado!A:I, 9, 0),
 IFERROR(VLOOKUP(A186, viernes!A:I, 9, 0),
 IFERROR(VLOOKUP(A186, jueves!A:I, 9, 0),
 IFERROR(VLOOKUP(A186, miercoles!A:I, 9, 0),
 IFERROR(VLOOKUP(A186, martes!A:I, 9, 0),
 IFERROR(VLOOKUP(A186, lunes!A:I, 9, 0),
 B186))))))</f>
        <v>8</v>
      </c>
      <c r="H186">
        <f>VLOOKUP(A186, Configuracion!A:C, 3, FALSE)</f>
        <v>0</v>
      </c>
      <c r="I186">
        <f t="shared" si="16"/>
        <v>0</v>
      </c>
      <c r="J186">
        <f>SUMIFS(lunes!$F:$F, lunes!$A:$A, $A186, lunes!$C:$C, "VENTA") +
 SUMIFS(martes!$F:$F, martes!$A:$A, $A186, martes!$C:$C, "VENTA") +
 SUMIFS(miercoles!$F:$F, miercoles!$A:$A, $A186, miercoles!$C:$C, "VENTA") +
 SUMIFS(jueves!$F:$F, jueves!$A:$A, $A186, jueves!$C:$C, "VENTA") +
 SUMIFS(viernes!$F:$F, viernes!$A:$A, $A186, viernes!$C:$C, "VENTA") +
 SUMIFS(sabado!$F:$F, sabado!$A:$A, $A186, sabado!$C:$C, "VENTA")</f>
        <v>0</v>
      </c>
      <c r="K186">
        <f t="shared" si="17"/>
        <v>0</v>
      </c>
    </row>
    <row r="187" spans="1:11" x14ac:dyDescent="0.3">
      <c r="A187" s="1" t="str">
        <f>Configuracion!A188</f>
        <v>SUJETADOR EXTERIOR</v>
      </c>
      <c r="B187">
        <f>VLOOKUP(A187, Configuracion!A:B, 2, FALSE)</f>
        <v>36</v>
      </c>
      <c r="C187">
        <f>SUMIFS(lunes!D:D, lunes!A:A, A187, lunes!C:C, "VENTA") +
 SUMIFS(martes!D:D, martes!A:A, A187, martes!C:C, "VENTA") +
 SUMIFS(miercoles!D:D, miercoles!A:A, A187, miercoles!C:C, "VENTA") +
 SUMIFS(jueves!D:D, jueves!A:A, A187, jueves!C:C, "VENTA") +
 SUMIFS(viernes!D:D, viernes!A:A, A187, viernes!C:C, "VENTA") +
 SUMIFS(sabado!D:D, sabado!A:A, A187, sabado!C:C, "VENTA")</f>
        <v>0</v>
      </c>
      <c r="D187">
        <f>SUMIFS(lunes!$D:$D, lunes!$A:$A, $A187, lunes!$C:$C, "ENTRADA") +
 SUMIFS(martes!$D:$D, martes!$A:$A, $A187, martes!$C:$C, "ENTRADA") +
 SUMIFS(miercoles!$D:$D, miercoles!$A:$A, $A187, miercoles!$C:$C, "ENTRADA") +
 SUMIFS(jueves!$D:$D, jueves!$A:$A, $A187, jueves!$C:$C, "ENTRADA") +
 SUMIFS(viernes!$D:$D, viernes!$A:$A, $A187, viernes!$C:$C, "ENTRADA") +
 SUMIFS(sabado!$D:$D, sabado!$A:$A, $A187, sabado!$C:$C, "ENTRADA")</f>
        <v>0</v>
      </c>
      <c r="E187">
        <f>SUMIFS(lunes!$D:$D, lunes!$A:$A, $A187, lunes!$C:$C, "SALIDA") +
 SUMIFS(martes!$D:$D, martes!$A:$A, $A187, martes!$C:$C, "SALIDA") +
 SUMIFS(miercoles!$D:$D, miercoles!$A:$A, $A187, miercoles!$C:$C, "SALIDA") +
 SUMIFS(jueves!$D:$D, jueves!$A:$A, $A187, jueves!$C:$C, "SALIDA") +
 SUMIFS(viernes!$D:$D, viernes!$A:$A, $A187, viernes!$C:$C, "SALIDA") +
 SUMIFS(sabado!$D:$D, sabado!$A:$A, $A187, sabado!$C:$C, "SALIDA")</f>
        <v>4</v>
      </c>
      <c r="F187">
        <f t="shared" si="15"/>
        <v>32</v>
      </c>
      <c r="G187">
        <f>IFERROR(VLOOKUP(A187, sabado!A:I, 9, 0),
 IFERROR(VLOOKUP(A187, viernes!A:I, 9, 0),
 IFERROR(VLOOKUP(A187, jueves!A:I, 9, 0),
 IFERROR(VLOOKUP(A187, miercoles!A:I, 9, 0),
 IFERROR(VLOOKUP(A187, martes!A:I, 9, 0),
 IFERROR(VLOOKUP(A187, lunes!A:I, 9, 0),
 B187))))))</f>
        <v>32</v>
      </c>
      <c r="H187">
        <f>VLOOKUP(A187, Configuracion!A:C, 3, FALSE)</f>
        <v>0</v>
      </c>
      <c r="I187">
        <f t="shared" si="16"/>
        <v>0</v>
      </c>
      <c r="J187">
        <f>SUMIFS(lunes!$F:$F, lunes!$A:$A, $A187, lunes!$C:$C, "VENTA") +
 SUMIFS(martes!$F:$F, martes!$A:$A, $A187, martes!$C:$C, "VENTA") +
 SUMIFS(miercoles!$F:$F, miercoles!$A:$A, $A187, miercoles!$C:$C, "VENTA") +
 SUMIFS(jueves!$F:$F, jueves!$A:$A, $A187, jueves!$C:$C, "VENTA") +
 SUMIFS(viernes!$F:$F, viernes!$A:$A, $A187, viernes!$C:$C, "VENTA") +
 SUMIFS(sabado!$F:$F, sabado!$A:$A, $A187, sabado!$C:$C, "VENTA")</f>
        <v>0</v>
      </c>
      <c r="K187">
        <f t="shared" si="17"/>
        <v>0</v>
      </c>
    </row>
    <row r="188" spans="1:11" x14ac:dyDescent="0.3">
      <c r="A188" s="1" t="str">
        <f>Configuracion!A189</f>
        <v>GANCHO TIERRA</v>
      </c>
      <c r="B188">
        <f>VLOOKUP(A188, Configuracion!A:B, 2, FALSE)</f>
        <v>9</v>
      </c>
      <c r="C188">
        <f>SUMIFS(lunes!D:D, lunes!A:A, A188, lunes!C:C, "VENTA") +
 SUMIFS(martes!D:D, martes!A:A, A188, martes!C:C, "VENTA") +
 SUMIFS(miercoles!D:D, miercoles!A:A, A188, miercoles!C:C, "VENTA") +
 SUMIFS(jueves!D:D, jueves!A:A, A188, jueves!C:C, "VENTA") +
 SUMIFS(viernes!D:D, viernes!A:A, A188, viernes!C:C, "VENTA") +
 SUMIFS(sabado!D:D, sabado!A:A, A188, sabado!C:C, "VENTA")</f>
        <v>0</v>
      </c>
      <c r="D188">
        <f>SUMIFS(lunes!$D:$D, lunes!$A:$A, $A188, lunes!$C:$C, "ENTRADA") +
 SUMIFS(martes!$D:$D, martes!$A:$A, $A188, martes!$C:$C, "ENTRADA") +
 SUMIFS(miercoles!$D:$D, miercoles!$A:$A, $A188, miercoles!$C:$C, "ENTRADA") +
 SUMIFS(jueves!$D:$D, jueves!$A:$A, $A188, jueves!$C:$C, "ENTRADA") +
 SUMIFS(viernes!$D:$D, viernes!$A:$A, $A188, viernes!$C:$C, "ENTRADA") +
 SUMIFS(sabado!$D:$D, sabado!$A:$A, $A188, sabado!$C:$C, "ENTRADA")</f>
        <v>0</v>
      </c>
      <c r="E188">
        <f>SUMIFS(lunes!$D:$D, lunes!$A:$A, $A188, lunes!$C:$C, "SALIDA") +
 SUMIFS(martes!$D:$D, martes!$A:$A, $A188, martes!$C:$C, "SALIDA") +
 SUMIFS(miercoles!$D:$D, miercoles!$A:$A, $A188, miercoles!$C:$C, "SALIDA") +
 SUMIFS(jueves!$D:$D, jueves!$A:$A, $A188, jueves!$C:$C, "SALIDA") +
 SUMIFS(viernes!$D:$D, viernes!$A:$A, $A188, viernes!$C:$C, "SALIDA") +
 SUMIFS(sabado!$D:$D, sabado!$A:$A, $A188, sabado!$C:$C, "SALIDA")</f>
        <v>1</v>
      </c>
      <c r="F188">
        <f t="shared" si="15"/>
        <v>8</v>
      </c>
      <c r="G188">
        <f>IFERROR(VLOOKUP(A188, sabado!A:I, 9, 0),
 IFERROR(VLOOKUP(A188, viernes!A:I, 9, 0),
 IFERROR(VLOOKUP(A188, jueves!A:I, 9, 0),
 IFERROR(VLOOKUP(A188, miercoles!A:I, 9, 0),
 IFERROR(VLOOKUP(A188, martes!A:I, 9, 0),
 IFERROR(VLOOKUP(A188, lunes!A:I, 9, 0),
 B188))))))</f>
        <v>8</v>
      </c>
      <c r="H188">
        <f>VLOOKUP(A188, Configuracion!A:C, 3, FALSE)</f>
        <v>0</v>
      </c>
      <c r="I188">
        <f t="shared" si="16"/>
        <v>0</v>
      </c>
      <c r="J188">
        <f>SUMIFS(lunes!$F:$F, lunes!$A:$A, $A188, lunes!$C:$C, "VENTA") +
 SUMIFS(martes!$F:$F, martes!$A:$A, $A188, martes!$C:$C, "VENTA") +
 SUMIFS(miercoles!$F:$F, miercoles!$A:$A, $A188, miercoles!$C:$C, "VENTA") +
 SUMIFS(jueves!$F:$F, jueves!$A:$A, $A188, jueves!$C:$C, "VENTA") +
 SUMIFS(viernes!$F:$F, viernes!$A:$A, $A188, viernes!$C:$C, "VENTA") +
 SUMIFS(sabado!$F:$F, sabado!$A:$A, $A188, sabado!$C:$C, "VENTA")</f>
        <v>0</v>
      </c>
      <c r="K188">
        <f t="shared" si="17"/>
        <v>0</v>
      </c>
    </row>
    <row r="189" spans="1:11" x14ac:dyDescent="0.3">
      <c r="A189" s="1" t="str">
        <f>Configuracion!A190</f>
        <v>PATAS TRASERAS AJUSTABLES</v>
      </c>
      <c r="B189">
        <f>VLOOKUP(A189, Configuracion!A:B, 2, FALSE)</f>
        <v>57</v>
      </c>
      <c r="C189">
        <f>SUMIFS(lunes!D:D, lunes!A:A, A189, lunes!C:C, "VENTA") +
 SUMIFS(martes!D:D, martes!A:A, A189, martes!C:C, "VENTA") +
 SUMIFS(miercoles!D:D, miercoles!A:A, A189, miercoles!C:C, "VENTA") +
 SUMIFS(jueves!D:D, jueves!A:A, A189, jueves!C:C, "VENTA") +
 SUMIFS(viernes!D:D, viernes!A:A, A189, viernes!C:C, "VENTA") +
 SUMIFS(sabado!D:D, sabado!A:A, A189, sabado!C:C, "VENTA")</f>
        <v>0</v>
      </c>
      <c r="D189">
        <f>SUMIFS(lunes!$D:$D, lunes!$A:$A, $A189, lunes!$C:$C, "ENTRADA") +
 SUMIFS(martes!$D:$D, martes!$A:$A, $A189, martes!$C:$C, "ENTRADA") +
 SUMIFS(miercoles!$D:$D, miercoles!$A:$A, $A189, miercoles!$C:$C, "ENTRADA") +
 SUMIFS(jueves!$D:$D, jueves!$A:$A, $A189, jueves!$C:$C, "ENTRADA") +
 SUMIFS(viernes!$D:$D, viernes!$A:$A, $A189, viernes!$C:$C, "ENTRADA") +
 SUMIFS(sabado!$D:$D, sabado!$A:$A, $A189, sabado!$C:$C, "ENTRADA")</f>
        <v>0</v>
      </c>
      <c r="E189">
        <f>SUMIFS(lunes!$D:$D, lunes!$A:$A, $A189, lunes!$C:$C, "SALIDA") +
 SUMIFS(martes!$D:$D, martes!$A:$A, $A189, martes!$C:$C, "SALIDA") +
 SUMIFS(miercoles!$D:$D, miercoles!$A:$A, $A189, miercoles!$C:$C, "SALIDA") +
 SUMIFS(jueves!$D:$D, jueves!$A:$A, $A189, jueves!$C:$C, "SALIDA") +
 SUMIFS(viernes!$D:$D, viernes!$A:$A, $A189, viernes!$C:$C, "SALIDA") +
 SUMIFS(sabado!$D:$D, sabado!$A:$A, $A189, sabado!$C:$C, "SALIDA")</f>
        <v>3</v>
      </c>
      <c r="F189">
        <f t="shared" si="15"/>
        <v>54</v>
      </c>
      <c r="G189">
        <f>IFERROR(VLOOKUP(A189, sabado!A:I, 9, 0),
 IFERROR(VLOOKUP(A189, viernes!A:I, 9, 0),
 IFERROR(VLOOKUP(A189, jueves!A:I, 9, 0),
 IFERROR(VLOOKUP(A189, miercoles!A:I, 9, 0),
 IFERROR(VLOOKUP(A189, martes!A:I, 9, 0),
 IFERROR(VLOOKUP(A189, lunes!A:I, 9, 0),
 B189))))))</f>
        <v>54</v>
      </c>
      <c r="H189">
        <f>VLOOKUP(A189, Configuracion!A:C, 3, FALSE)</f>
        <v>0</v>
      </c>
      <c r="I189">
        <f t="shared" si="16"/>
        <v>0</v>
      </c>
      <c r="J189">
        <f>SUMIFS(lunes!$F:$F, lunes!$A:$A, $A189, lunes!$C:$C, "VENTA") +
 SUMIFS(martes!$F:$F, martes!$A:$A, $A189, martes!$C:$C, "VENTA") +
 SUMIFS(miercoles!$F:$F, miercoles!$A:$A, $A189, miercoles!$C:$C, "VENTA") +
 SUMIFS(jueves!$F:$F, jueves!$A:$A, $A189, jueves!$C:$C, "VENTA") +
 SUMIFS(viernes!$F:$F, viernes!$A:$A, $A189, viernes!$C:$C, "VENTA") +
 SUMIFS(sabado!$F:$F, sabado!$A:$A, $A189, sabado!$C:$C, "VENTA")</f>
        <v>0</v>
      </c>
      <c r="K189">
        <f t="shared" si="17"/>
        <v>0</v>
      </c>
    </row>
    <row r="190" spans="1:11" x14ac:dyDescent="0.3">
      <c r="A190" s="1" t="str">
        <f>Configuracion!A191</f>
        <v>PATAS DELANTERA AJUSTABLE</v>
      </c>
      <c r="B190">
        <f>VLOOKUP(A190, Configuracion!A:B, 2, FALSE)</f>
        <v>56</v>
      </c>
      <c r="C190">
        <f>SUMIFS(lunes!D:D, lunes!A:A, A190, lunes!C:C, "VENTA") +
 SUMIFS(martes!D:D, martes!A:A, A190, martes!C:C, "VENTA") +
 SUMIFS(miercoles!D:D, miercoles!A:A, A190, miercoles!C:C, "VENTA") +
 SUMIFS(jueves!D:D, jueves!A:A, A190, jueves!C:C, "VENTA") +
 SUMIFS(viernes!D:D, viernes!A:A, A190, viernes!C:C, "VENTA") +
 SUMIFS(sabado!D:D, sabado!A:A, A190, sabado!C:C, "VENTA")</f>
        <v>0</v>
      </c>
      <c r="D190">
        <f>SUMIFS(lunes!$D:$D, lunes!$A:$A, $A190, lunes!$C:$C, "ENTRADA") +
 SUMIFS(martes!$D:$D, martes!$A:$A, $A190, martes!$C:$C, "ENTRADA") +
 SUMIFS(miercoles!$D:$D, miercoles!$A:$A, $A190, miercoles!$C:$C, "ENTRADA") +
 SUMIFS(jueves!$D:$D, jueves!$A:$A, $A190, jueves!$C:$C, "ENTRADA") +
 SUMIFS(viernes!$D:$D, viernes!$A:$A, $A190, viernes!$C:$C, "ENTRADA") +
 SUMIFS(sabado!$D:$D, sabado!$A:$A, $A190, sabado!$C:$C, "ENTRADA")</f>
        <v>0</v>
      </c>
      <c r="E190">
        <f>SUMIFS(lunes!$D:$D, lunes!$A:$A, $A190, lunes!$C:$C, "SALIDA") +
 SUMIFS(martes!$D:$D, martes!$A:$A, $A190, martes!$C:$C, "SALIDA") +
 SUMIFS(miercoles!$D:$D, miercoles!$A:$A, $A190, miercoles!$C:$C, "SALIDA") +
 SUMIFS(jueves!$D:$D, jueves!$A:$A, $A190, jueves!$C:$C, "SALIDA") +
 SUMIFS(viernes!$D:$D, viernes!$A:$A, $A190, viernes!$C:$C, "SALIDA") +
 SUMIFS(sabado!$D:$D, sabado!$A:$A, $A190, sabado!$C:$C, "SALIDA")</f>
        <v>3</v>
      </c>
      <c r="F190">
        <f t="shared" si="15"/>
        <v>53</v>
      </c>
      <c r="G190">
        <f>IFERROR(VLOOKUP(A190, sabado!A:I, 9, 0),
 IFERROR(VLOOKUP(A190, viernes!A:I, 9, 0),
 IFERROR(VLOOKUP(A190, jueves!A:I, 9, 0),
 IFERROR(VLOOKUP(A190, miercoles!A:I, 9, 0),
 IFERROR(VLOOKUP(A190, martes!A:I, 9, 0),
 IFERROR(VLOOKUP(A190, lunes!A:I, 9, 0),
 B190))))))</f>
        <v>53</v>
      </c>
      <c r="H190">
        <f>VLOOKUP(A190, Configuracion!A:C, 3, FALSE)</f>
        <v>0</v>
      </c>
      <c r="I190">
        <f t="shared" si="16"/>
        <v>0</v>
      </c>
      <c r="J190">
        <f>SUMIFS(lunes!$F:$F, lunes!$A:$A, $A190, lunes!$C:$C, "VENTA") +
 SUMIFS(martes!$F:$F, martes!$A:$A, $A190, martes!$C:$C, "VENTA") +
 SUMIFS(miercoles!$F:$F, miercoles!$A:$A, $A190, miercoles!$C:$C, "VENTA") +
 SUMIFS(jueves!$F:$F, jueves!$A:$A, $A190, jueves!$C:$C, "VENTA") +
 SUMIFS(viernes!$F:$F, viernes!$A:$A, $A190, viernes!$C:$C, "VENTA") +
 SUMIFS(sabado!$F:$F, sabado!$A:$A, $A190, sabado!$C:$C, "VENTA")</f>
        <v>0</v>
      </c>
      <c r="K190">
        <f t="shared" si="17"/>
        <v>0</v>
      </c>
    </row>
    <row r="191" spans="1:11" x14ac:dyDescent="0.3">
      <c r="A191" s="1" t="s">
        <v>193</v>
      </c>
      <c r="I191">
        <f>SUM(I2:I190)</f>
        <v>11525</v>
      </c>
      <c r="J191">
        <f>SUM(J2:J190)</f>
        <v>11515</v>
      </c>
    </row>
  </sheetData>
  <mergeCells count="8">
    <mergeCell ref="M13:N14"/>
    <mergeCell ref="M16:N16"/>
    <mergeCell ref="M17:N18"/>
    <mergeCell ref="M4:N4"/>
    <mergeCell ref="M8:N8"/>
    <mergeCell ref="M12:N12"/>
    <mergeCell ref="M5:N6"/>
    <mergeCell ref="M9:N10"/>
  </mergeCells>
  <conditionalFormatting sqref="G2:G190">
    <cfRule type="cellIs" dxfId="0" priority="1" operator="notEqual">
      <formula>F2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>
      <selection activeCell="B2" sqref="B2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2</vt:i4>
      </vt:variant>
    </vt:vector>
  </HeadingPairs>
  <TitlesOfParts>
    <vt:vector size="11" baseType="lpstr">
      <vt:lpstr>Configuracion</vt:lpstr>
      <vt:lpstr>lunes</vt:lpstr>
      <vt:lpstr>martes</vt:lpstr>
      <vt:lpstr>miercoles</vt:lpstr>
      <vt:lpstr>jueves</vt:lpstr>
      <vt:lpstr>viernes</vt:lpstr>
      <vt:lpstr>sabado</vt:lpstr>
      <vt:lpstr>COMPROBACION</vt:lpstr>
      <vt:lpstr>CONTROL INV</vt:lpstr>
      <vt:lpstr>LISTA_GESTORES</vt:lpstr>
      <vt:lpstr>LISTA_PRODUCTOS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2026-09-20T02:30:21Z</dcterms:modified>
</cp:coreProperties>
</file>